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adaccloud.sharepoint.com/teams/PRAR03046/Shared Documents/09 IT - Technik/16_Entwicklungen und Formulare/"/>
    </mc:Choice>
  </mc:AlternateContent>
  <xr:revisionPtr revIDLastSave="0" documentId="8_{6650275C-89CD-49DA-A7E1-48ED1BFEC81B}" xr6:coauthVersionLast="47" xr6:coauthVersionMax="47" xr10:uidLastSave="{00000000-0000-0000-0000-000000000000}"/>
  <bookViews>
    <workbookView xWindow="-120" yWindow="-120" windowWidth="29040" windowHeight="15720" xr2:uid="{9B002686-C493-420E-A6DF-31C0553492F5}"/>
  </bookViews>
  <sheets>
    <sheet name="Z-Programme" sheetId="3" r:id="rId1"/>
    <sheet name="Tabelle3" sheetId="12" r:id="rId2"/>
    <sheet name="Zuordnung Z-Programme zu DEVs" sheetId="5" r:id="rId3"/>
    <sheet name="ZProgramm-ZTransaktion - KOMPLE" sheetId="4" r:id="rId4"/>
    <sheet name="CALM" sheetId="6" r:id="rId5"/>
    <sheet name="USR mit Z-Artefakt" sheetId="7" r:id="rId6"/>
    <sheet name="sbbnv temp d010sinf" sheetId="8" r:id="rId7"/>
    <sheet name="Z-EQA300" sheetId="9" r:id="rId8"/>
    <sheet name="Tabelle1" sheetId="10" r:id="rId9"/>
    <sheet name="Tabelle2" sheetId="11" r:id="rId10"/>
    <sheet name="Z-Programme (2)" sheetId="13" r:id="rId11"/>
    <sheet name="Tabelle5" sheetId="15" r:id="rId12"/>
  </sheets>
  <externalReferences>
    <externalReference r:id="rId13"/>
  </externalReferences>
  <definedNames>
    <definedName name="_xlnm._FilterDatabase" localSheetId="4" hidden="1">CALM!$A$1:$AO$189</definedName>
    <definedName name="_xlnm._FilterDatabase" localSheetId="5" hidden="1">'USR mit Z-Artefakt'!$A$1:$AN$189</definedName>
    <definedName name="_xlnm._FilterDatabase" localSheetId="7" hidden="1">'Z-EQA300'!$A$2:$C$211</definedName>
    <definedName name="_xlnm._FilterDatabase" localSheetId="0" hidden="1">'Z-Programme'!$A$1:$J$661</definedName>
    <definedName name="_xlnm._FilterDatabase" localSheetId="10" hidden="1">'Z-Programme (2)'!$A$1:$J$661</definedName>
    <definedName name="_xlnm._FilterDatabase" localSheetId="3" hidden="1">'ZProgramm-ZTransaktion - KOMPLE'!$A$1:$Q$657</definedName>
    <definedName name="_xlnm._FilterDatabase" localSheetId="2" hidden="1">'Zuordnung Z-Programme zu DEVs'!$A$1:$H$217</definedName>
    <definedName name="Datenschnitt_Übernahme__in_S_4_geplant">#N/A</definedName>
  </definedNames>
  <calcPr calcId="191028"/>
  <pivotCaches>
    <pivotCache cacheId="446" r:id="rId14"/>
    <pivotCache cacheId="447" r:id="rId15"/>
  </pivotCaches>
  <extLs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3" i="4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2" i="7"/>
  <c r="E50" i="6"/>
  <c r="E51" i="6"/>
  <c r="E53" i="6"/>
  <c r="E55" i="6"/>
  <c r="E56" i="6"/>
  <c r="E59" i="6"/>
  <c r="E65" i="6"/>
  <c r="E66" i="6"/>
  <c r="E67" i="6"/>
  <c r="E72" i="6"/>
  <c r="E73" i="6"/>
  <c r="E77" i="6"/>
  <c r="E78" i="6"/>
  <c r="E79" i="6"/>
  <c r="E80" i="6"/>
  <c r="E83" i="6"/>
  <c r="E84" i="6"/>
  <c r="E86" i="6"/>
  <c r="E87" i="6"/>
  <c r="E88" i="6"/>
  <c r="E89" i="6"/>
  <c r="E90" i="6"/>
  <c r="E91" i="6"/>
  <c r="E92" i="6"/>
  <c r="E93" i="6"/>
  <c r="E95" i="6"/>
  <c r="E97" i="6"/>
  <c r="E101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3" i="6"/>
  <c r="E135" i="6"/>
  <c r="E143" i="6"/>
  <c r="E144" i="6"/>
  <c r="E145" i="6"/>
  <c r="E169" i="6"/>
  <c r="E185" i="6"/>
  <c r="E186" i="6"/>
  <c r="E26" i="6"/>
  <c r="E37" i="6"/>
  <c r="E38" i="6"/>
  <c r="E39" i="6"/>
  <c r="E40" i="6"/>
  <c r="E41" i="6"/>
  <c r="E44" i="6"/>
  <c r="E45" i="6"/>
  <c r="E46" i="6"/>
  <c r="E47" i="6"/>
  <c r="E48" i="6"/>
  <c r="E4" i="6"/>
  <c r="E10" i="6"/>
  <c r="E11" i="6"/>
  <c r="E12" i="6"/>
  <c r="E13" i="6"/>
  <c r="E15" i="6"/>
  <c r="E16" i="6"/>
  <c r="E17" i="6"/>
  <c r="E18" i="6"/>
  <c r="E19" i="6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2" i="4"/>
  <c r="Q652" i="4"/>
  <c r="N651" i="4"/>
  <c r="Q650" i="4"/>
  <c r="N650" i="4"/>
  <c r="Q649" i="4"/>
  <c r="N649" i="4"/>
  <c r="Q647" i="4"/>
  <c r="N647" i="4"/>
  <c r="N644" i="4"/>
  <c r="Q643" i="4"/>
  <c r="N635" i="4"/>
  <c r="Q635" i="4"/>
  <c r="Q630" i="4"/>
  <c r="N630" i="4"/>
  <c r="Q629" i="4"/>
  <c r="N628" i="4"/>
  <c r="Q622" i="4"/>
  <c r="N622" i="4"/>
  <c r="Q621" i="4"/>
  <c r="N619" i="4"/>
  <c r="Q618" i="4"/>
  <c r="N618" i="4"/>
  <c r="N617" i="4"/>
  <c r="Q616" i="4"/>
  <c r="N616" i="4"/>
  <c r="Q614" i="4"/>
  <c r="N613" i="4"/>
  <c r="Q613" i="4"/>
  <c r="Q612" i="4"/>
  <c r="N603" i="4"/>
  <c r="Q603" i="4"/>
  <c r="N602" i="4"/>
  <c r="N601" i="4"/>
  <c r="Q598" i="4"/>
  <c r="Q594" i="4"/>
  <c r="Q593" i="4"/>
  <c r="N593" i="4"/>
  <c r="N590" i="4"/>
  <c r="Q587" i="4"/>
  <c r="N587" i="4"/>
  <c r="N584" i="4"/>
  <c r="N583" i="4"/>
  <c r="N581" i="4"/>
  <c r="Q581" i="4"/>
  <c r="N576" i="4"/>
  <c r="Q575" i="4"/>
  <c r="N575" i="4"/>
  <c r="Q573" i="4"/>
  <c r="Q572" i="4"/>
  <c r="N572" i="4"/>
  <c r="Q568" i="4"/>
  <c r="N568" i="4"/>
  <c r="Q567" i="4"/>
  <c r="Q566" i="4"/>
  <c r="Q565" i="4"/>
  <c r="N565" i="4"/>
  <c r="Q561" i="4"/>
  <c r="N561" i="4"/>
  <c r="N560" i="4"/>
  <c r="Q558" i="4"/>
  <c r="Q557" i="4"/>
  <c r="N555" i="4"/>
  <c r="Q553" i="4"/>
  <c r="Q551" i="4"/>
  <c r="N551" i="4"/>
  <c r="Q547" i="4"/>
  <c r="Q546" i="4"/>
  <c r="N546" i="4"/>
  <c r="N539" i="4"/>
  <c r="N532" i="4"/>
  <c r="Q530" i="4"/>
  <c r="N530" i="4"/>
  <c r="Q528" i="4"/>
  <c r="N528" i="4"/>
  <c r="N527" i="4"/>
  <c r="N524" i="4"/>
  <c r="N521" i="4"/>
  <c r="Q521" i="4"/>
  <c r="N519" i="4"/>
  <c r="N518" i="4"/>
  <c r="Q518" i="4"/>
  <c r="N515" i="4"/>
  <c r="Q514" i="4"/>
  <c r="Q509" i="4"/>
  <c r="N509" i="4"/>
  <c r="N507" i="4"/>
  <c r="Q507" i="4"/>
  <c r="N502" i="4"/>
  <c r="N501" i="4"/>
  <c r="Q500" i="4"/>
  <c r="Q498" i="4"/>
  <c r="N497" i="4"/>
  <c r="Q494" i="4"/>
  <c r="N493" i="4"/>
  <c r="Q492" i="4"/>
  <c r="N492" i="4"/>
  <c r="N491" i="4"/>
  <c r="N490" i="4"/>
  <c r="Q485" i="4"/>
  <c r="N485" i="4"/>
  <c r="Q483" i="4"/>
  <c r="N483" i="4"/>
  <c r="Q482" i="4"/>
  <c r="N478" i="4"/>
  <c r="N475" i="4"/>
  <c r="N474" i="4"/>
  <c r="Q471" i="4"/>
  <c r="N471" i="4"/>
  <c r="Q469" i="4"/>
  <c r="Q468" i="4"/>
  <c r="N468" i="4"/>
  <c r="N464" i="4"/>
  <c r="Q461" i="4"/>
  <c r="N456" i="4"/>
  <c r="Q455" i="4"/>
  <c r="N455" i="4"/>
  <c r="Q454" i="4"/>
  <c r="N452" i="4"/>
  <c r="Q451" i="4"/>
  <c r="Q446" i="4"/>
  <c r="N446" i="4"/>
  <c r="Q444" i="4"/>
  <c r="N444" i="4"/>
  <c r="N442" i="4"/>
  <c r="N440" i="4"/>
  <c r="Q437" i="4"/>
  <c r="N437" i="4"/>
  <c r="Q436" i="4"/>
  <c r="N436" i="4"/>
  <c r="Q431" i="4"/>
  <c r="N431" i="4"/>
  <c r="Q428" i="4"/>
  <c r="N428" i="4"/>
  <c r="N426" i="4"/>
  <c r="Q426" i="4"/>
  <c r="N424" i="4"/>
  <c r="Q423" i="4"/>
  <c r="N423" i="4"/>
  <c r="Q421" i="4"/>
  <c r="N421" i="4"/>
  <c r="Q420" i="4"/>
  <c r="N420" i="4"/>
  <c r="Q419" i="4"/>
  <c r="N419" i="4"/>
  <c r="Q417" i="4"/>
  <c r="N417" i="4"/>
  <c r="Q416" i="4"/>
  <c r="N416" i="4"/>
  <c r="Q412" i="4"/>
  <c r="N412" i="4"/>
  <c r="Q411" i="4"/>
  <c r="Q410" i="4"/>
  <c r="Q408" i="4"/>
  <c r="N407" i="4"/>
  <c r="Q407" i="4"/>
  <c r="Q406" i="4"/>
  <c r="N406" i="4"/>
  <c r="Q402" i="4"/>
  <c r="N402" i="4"/>
  <c r="Q398" i="4"/>
  <c r="N396" i="4"/>
  <c r="N395" i="4"/>
  <c r="Q384" i="4"/>
  <c r="N384" i="4"/>
  <c r="N380" i="4"/>
  <c r="Q374" i="4"/>
  <c r="N372" i="4"/>
  <c r="N371" i="4"/>
  <c r="N370" i="4"/>
  <c r="N366" i="4"/>
  <c r="N363" i="4"/>
  <c r="Q362" i="4"/>
  <c r="N361" i="4"/>
  <c r="N360" i="4"/>
  <c r="Q358" i="4"/>
  <c r="N358" i="4"/>
  <c r="N357" i="4"/>
  <c r="Q357" i="4"/>
  <c r="N352" i="4"/>
  <c r="Q352" i="4"/>
  <c r="N351" i="4"/>
  <c r="Q351" i="4"/>
  <c r="N346" i="4"/>
  <c r="Q345" i="4"/>
  <c r="N345" i="4"/>
  <c r="N344" i="4"/>
  <c r="Q342" i="4"/>
  <c r="Q339" i="4"/>
  <c r="Q335" i="4"/>
  <c r="N335" i="4"/>
  <c r="Q333" i="4"/>
  <c r="N333" i="4"/>
  <c r="N332" i="4"/>
  <c r="N331" i="4"/>
  <c r="Q330" i="4"/>
  <c r="Q325" i="4"/>
  <c r="Q324" i="4"/>
  <c r="N323" i="4"/>
  <c r="N320" i="4"/>
  <c r="Q317" i="4"/>
  <c r="N317" i="4"/>
  <c r="N316" i="4"/>
  <c r="N315" i="4"/>
  <c r="N314" i="4"/>
  <c r="Q312" i="4"/>
  <c r="Q310" i="4"/>
  <c r="N306" i="4"/>
  <c r="N305" i="4"/>
  <c r="Q305" i="4"/>
  <c r="N303" i="4"/>
  <c r="Q303" i="4"/>
  <c r="Q302" i="4"/>
  <c r="Q300" i="4"/>
  <c r="Q294" i="4"/>
  <c r="N288" i="4"/>
  <c r="N287" i="4"/>
  <c r="N286" i="4"/>
  <c r="N284" i="4"/>
  <c r="N281" i="4"/>
  <c r="N280" i="4"/>
  <c r="N277" i="4"/>
  <c r="N275" i="4"/>
  <c r="Q274" i="4"/>
  <c r="N273" i="4"/>
  <c r="N272" i="4"/>
  <c r="N270" i="4"/>
  <c r="N268" i="4"/>
  <c r="N267" i="4"/>
  <c r="Q266" i="4"/>
  <c r="Q263" i="4"/>
  <c r="N263" i="4"/>
  <c r="N259" i="4"/>
  <c r="Q259" i="4"/>
  <c r="Q255" i="4"/>
  <c r="N255" i="4"/>
  <c r="N251" i="4"/>
  <c r="N248" i="4"/>
  <c r="Q245" i="4"/>
  <c r="Q242" i="4"/>
  <c r="N242" i="4"/>
  <c r="N240" i="4"/>
  <c r="N239" i="4"/>
  <c r="N234" i="4"/>
  <c r="Q227" i="4"/>
  <c r="N227" i="4"/>
  <c r="Q226" i="4"/>
  <c r="N226" i="4"/>
  <c r="Q225" i="4"/>
  <c r="N225" i="4"/>
  <c r="N224" i="4"/>
  <c r="Q222" i="4"/>
  <c r="N222" i="4"/>
  <c r="N221" i="4"/>
  <c r="N220" i="4"/>
  <c r="Q217" i="4"/>
  <c r="N214" i="4"/>
  <c r="N210" i="4"/>
  <c r="Q210" i="4"/>
  <c r="Q208" i="4"/>
  <c r="N208" i="4"/>
  <c r="N207" i="4"/>
  <c r="Q204" i="4"/>
  <c r="N203" i="4"/>
  <c r="Q202" i="4"/>
  <c r="Q200" i="4"/>
  <c r="N200" i="4"/>
  <c r="N198" i="4"/>
  <c r="Q197" i="4"/>
  <c r="N193" i="4"/>
  <c r="Q191" i="4"/>
  <c r="N191" i="4"/>
  <c r="N190" i="4"/>
  <c r="N188" i="4"/>
  <c r="Q187" i="4"/>
  <c r="N187" i="4"/>
  <c r="N186" i="4"/>
  <c r="N181" i="4"/>
  <c r="N175" i="4"/>
  <c r="Q175" i="4"/>
  <c r="Q174" i="4"/>
  <c r="N174" i="4"/>
  <c r="Q170" i="4"/>
  <c r="N167" i="4"/>
  <c r="Q163" i="4"/>
  <c r="N163" i="4"/>
  <c r="Q161" i="4"/>
  <c r="N161" i="4"/>
  <c r="Q159" i="4"/>
  <c r="N159" i="4"/>
  <c r="N158" i="4"/>
  <c r="Q158" i="4"/>
  <c r="N156" i="4"/>
  <c r="N152" i="4"/>
  <c r="N151" i="4"/>
  <c r="N150" i="4"/>
  <c r="N149" i="4"/>
  <c r="Q147" i="4"/>
  <c r="N147" i="4"/>
  <c r="Q145" i="4"/>
  <c r="N143" i="4"/>
  <c r="N142" i="4"/>
  <c r="N140" i="4"/>
  <c r="Q137" i="4"/>
  <c r="Q130" i="4"/>
  <c r="N130" i="4"/>
  <c r="Q129" i="4"/>
  <c r="N129" i="4"/>
  <c r="Q127" i="4"/>
  <c r="N127" i="4"/>
  <c r="N126" i="4"/>
  <c r="Q126" i="4"/>
  <c r="Q124" i="4"/>
  <c r="N124" i="4"/>
  <c r="Q123" i="4"/>
  <c r="N123" i="4"/>
  <c r="N120" i="4"/>
  <c r="N116" i="4"/>
  <c r="Q115" i="4"/>
  <c r="N115" i="4"/>
  <c r="N114" i="4"/>
  <c r="Q111" i="4"/>
  <c r="N111" i="4"/>
  <c r="Q107" i="4"/>
  <c r="N107" i="4"/>
  <c r="Q103" i="4"/>
  <c r="N103" i="4"/>
  <c r="Q101" i="4"/>
  <c r="N101" i="4"/>
  <c r="Q99" i="4"/>
  <c r="Q98" i="4"/>
  <c r="N98" i="4"/>
  <c r="Q95" i="4"/>
  <c r="Q91" i="4"/>
  <c r="N91" i="4"/>
  <c r="Q90" i="4"/>
  <c r="N90" i="4"/>
  <c r="Q89" i="4"/>
  <c r="N88" i="4"/>
  <c r="Q88" i="4"/>
  <c r="Q85" i="4"/>
  <c r="N85" i="4"/>
  <c r="Q83" i="4"/>
  <c r="N83" i="4"/>
  <c r="N82" i="4"/>
  <c r="N81" i="4"/>
  <c r="Q80" i="4"/>
  <c r="Q76" i="4"/>
  <c r="N76" i="4"/>
  <c r="Q74" i="4"/>
  <c r="Q72" i="4"/>
  <c r="Q69" i="4"/>
  <c r="Q68" i="4"/>
  <c r="N67" i="4"/>
  <c r="N64" i="4"/>
  <c r="Q63" i="4"/>
  <c r="N63" i="4"/>
  <c r="Q62" i="4"/>
  <c r="Q60" i="4"/>
  <c r="Q59" i="4"/>
  <c r="N59" i="4"/>
  <c r="Q58" i="4"/>
  <c r="N58" i="4"/>
  <c r="Q54" i="4"/>
  <c r="N53" i="4"/>
  <c r="Q50" i="4"/>
  <c r="N50" i="4"/>
  <c r="Q43" i="4"/>
  <c r="N43" i="4"/>
  <c r="Q40" i="4"/>
  <c r="N40" i="4"/>
  <c r="Q39" i="4"/>
  <c r="N34" i="4"/>
  <c r="Q34" i="4"/>
  <c r="N33" i="4"/>
  <c r="Q26" i="4"/>
  <c r="N26" i="4"/>
  <c r="N24" i="4"/>
  <c r="Q21" i="4"/>
  <c r="Q19" i="4"/>
  <c r="Q18" i="4"/>
  <c r="N18" i="4"/>
  <c r="N17" i="4"/>
  <c r="Q16" i="4"/>
  <c r="Q15" i="4"/>
  <c r="N15" i="4"/>
  <c r="Q14" i="4"/>
  <c r="N14" i="4"/>
  <c r="Q13" i="4"/>
  <c r="N13" i="4"/>
  <c r="Q12" i="4"/>
  <c r="Q10" i="4"/>
  <c r="Q8" i="4"/>
  <c r="Q5" i="4"/>
  <c r="N5" i="4"/>
  <c r="Q109" i="4" l="1"/>
  <c r="Q46" i="4"/>
  <c r="N95" i="4"/>
  <c r="N405" i="4"/>
  <c r="Q414" i="4"/>
  <c r="N414" i="4"/>
  <c r="Q439" i="4"/>
  <c r="N439" i="4"/>
  <c r="N654" i="4"/>
  <c r="Q654" i="4"/>
  <c r="N209" i="4"/>
  <c r="N216" i="4"/>
  <c r="Q216" i="4"/>
  <c r="Q17" i="4"/>
  <c r="Q35" i="4"/>
  <c r="N177" i="4"/>
  <c r="N197" i="4"/>
  <c r="N382" i="4"/>
  <c r="Q628" i="4"/>
  <c r="N641" i="4"/>
  <c r="Q641" i="4"/>
  <c r="Q84" i="4"/>
  <c r="Q297" i="4"/>
  <c r="N297" i="4"/>
  <c r="N341" i="4"/>
  <c r="Q341" i="4"/>
  <c r="N534" i="4"/>
  <c r="N73" i="4"/>
  <c r="Q73" i="4"/>
  <c r="Q128" i="4"/>
  <c r="N128" i="4"/>
  <c r="N285" i="4"/>
  <c r="Q534" i="4"/>
  <c r="N99" i="4"/>
  <c r="N393" i="4"/>
  <c r="N450" i="4"/>
  <c r="N394" i="4"/>
  <c r="Q399" i="4"/>
  <c r="Q49" i="4"/>
  <c r="N49" i="4"/>
  <c r="Q42" i="4"/>
  <c r="Q6" i="4"/>
  <c r="Q254" i="4"/>
  <c r="N254" i="4"/>
  <c r="N298" i="4"/>
  <c r="N204" i="4"/>
  <c r="N279" i="4"/>
  <c r="Q31" i="4"/>
  <c r="N31" i="4"/>
  <c r="N39" i="4"/>
  <c r="N56" i="4"/>
  <c r="Q56" i="4"/>
  <c r="Q29" i="4"/>
  <c r="N29" i="4"/>
  <c r="Q508" i="4"/>
  <c r="N508" i="4"/>
  <c r="Q525" i="4"/>
  <c r="Q96" i="4"/>
  <c r="N183" i="4"/>
  <c r="N257" i="4"/>
  <c r="Q257" i="4"/>
  <c r="N269" i="4"/>
  <c r="N379" i="4"/>
  <c r="Q224" i="4"/>
  <c r="Q258" i="4"/>
  <c r="N258" i="4"/>
  <c r="N525" i="4"/>
  <c r="Q601" i="4"/>
  <c r="N612" i="4"/>
  <c r="Q536" i="4"/>
  <c r="N536" i="4"/>
  <c r="Q607" i="4"/>
  <c r="N607" i="4"/>
  <c r="Q53" i="4"/>
  <c r="N72" i="4"/>
  <c r="N113" i="4"/>
  <c r="N153" i="4"/>
  <c r="Q153" i="4"/>
  <c r="Q176" i="4"/>
  <c r="N176" i="4"/>
  <c r="Q313" i="4"/>
  <c r="N365" i="4"/>
  <c r="N233" i="4"/>
  <c r="N19" i="4"/>
  <c r="N22" i="4"/>
  <c r="N77" i="4"/>
  <c r="Q113" i="4"/>
  <c r="Q203" i="4"/>
  <c r="N212" i="4"/>
  <c r="Q212" i="4"/>
  <c r="Q219" i="4"/>
  <c r="N219" i="4"/>
  <c r="N276" i="4"/>
  <c r="N289" i="4"/>
  <c r="N313" i="4"/>
  <c r="N386" i="4"/>
  <c r="N465" i="4"/>
  <c r="Q465" i="4"/>
  <c r="Q401" i="4"/>
  <c r="N401" i="4"/>
  <c r="N12" i="4"/>
  <c r="Q22" i="4"/>
  <c r="Q27" i="4"/>
  <c r="Q37" i="4"/>
  <c r="N54" i="4"/>
  <c r="Q77" i="4"/>
  <c r="N340" i="4"/>
  <c r="Q347" i="4"/>
  <c r="N347" i="4"/>
  <c r="N68" i="4"/>
  <c r="Q194" i="4"/>
  <c r="Q307" i="4"/>
  <c r="N307" i="4"/>
  <c r="N321" i="4"/>
  <c r="Q326" i="4"/>
  <c r="N326" i="4"/>
  <c r="Q340" i="4"/>
  <c r="Q458" i="4"/>
  <c r="N504" i="4"/>
  <c r="Q504" i="4"/>
  <c r="N145" i="4"/>
  <c r="N172" i="4"/>
  <c r="Q172" i="4"/>
  <c r="Q334" i="4"/>
  <c r="Q487" i="4"/>
  <c r="N487" i="4"/>
  <c r="N598" i="4"/>
  <c r="N162" i="4"/>
  <c r="Q211" i="4"/>
  <c r="N211" i="4"/>
  <c r="Q261" i="4"/>
  <c r="N318" i="4"/>
  <c r="Q390" i="4"/>
  <c r="Q430" i="4"/>
  <c r="N435" i="4"/>
  <c r="Q459" i="4"/>
  <c r="N459" i="4"/>
  <c r="N520" i="4"/>
  <c r="N588" i="4"/>
  <c r="Q588" i="4"/>
  <c r="Q610" i="4"/>
  <c r="N610" i="4"/>
  <c r="Q97" i="4"/>
  <c r="N97" i="4"/>
  <c r="N105" i="4"/>
  <c r="N192" i="4"/>
  <c r="N237" i="4"/>
  <c r="N250" i="4"/>
  <c r="N261" i="4"/>
  <c r="N390" i="4"/>
  <c r="N430" i="4"/>
  <c r="Q435" i="4"/>
  <c r="N451" i="4"/>
  <c r="Q520" i="4"/>
  <c r="N558" i="4"/>
  <c r="Q81" i="4"/>
  <c r="Q131" i="4"/>
  <c r="Q162" i="4"/>
  <c r="N189" i="4"/>
  <c r="Q189" i="4"/>
  <c r="N278" i="4"/>
  <c r="N283" i="4"/>
  <c r="Q318" i="4"/>
  <c r="Q78" i="4"/>
  <c r="N78" i="4"/>
  <c r="Q105" i="4"/>
  <c r="N408" i="4"/>
  <c r="Q424" i="4"/>
  <c r="Q474" i="4"/>
  <c r="N585" i="4"/>
  <c r="Q585" i="4"/>
  <c r="Q110" i="4"/>
  <c r="N110" i="4"/>
  <c r="N302" i="4"/>
  <c r="Q344" i="4"/>
  <c r="Q452" i="4"/>
  <c r="N510" i="4"/>
  <c r="Q510" i="4"/>
  <c r="Q571" i="4"/>
  <c r="N571" i="4"/>
  <c r="Q100" i="4"/>
  <c r="Q195" i="4"/>
  <c r="Q223" i="4"/>
  <c r="N349" i="4"/>
  <c r="N549" i="4"/>
  <c r="Q556" i="4"/>
  <c r="N556" i="4"/>
  <c r="Q653" i="4"/>
  <c r="N100" i="4"/>
  <c r="N184" i="4"/>
  <c r="Q188" i="4"/>
  <c r="N375" i="4"/>
  <c r="N381" i="4"/>
  <c r="N391" i="4"/>
  <c r="N403" i="4"/>
  <c r="Q403" i="4"/>
  <c r="N470" i="4"/>
  <c r="Q470" i="4"/>
  <c r="Q475" i="4"/>
  <c r="Q481" i="4"/>
  <c r="N517" i="4"/>
  <c r="Q517" i="4"/>
  <c r="Q549" i="4"/>
  <c r="N80" i="4"/>
  <c r="Q120" i="4"/>
  <c r="N170" i="4"/>
  <c r="Q184" i="4"/>
  <c r="N195" i="4"/>
  <c r="N291" i="4"/>
  <c r="N300" i="4"/>
  <c r="N443" i="4"/>
  <c r="Q443" i="4"/>
  <c r="N454" i="4"/>
  <c r="Q464" i="4"/>
  <c r="Q542" i="4"/>
  <c r="N542" i="4"/>
  <c r="Q562" i="4"/>
  <c r="N578" i="4"/>
  <c r="Q578" i="4"/>
  <c r="Q634" i="4"/>
  <c r="N634" i="4"/>
  <c r="Q116" i="4"/>
  <c r="N185" i="4"/>
  <c r="Q338" i="4"/>
  <c r="N338" i="4"/>
  <c r="N376" i="4"/>
  <c r="Q490" i="4"/>
  <c r="Q495" i="4"/>
  <c r="N495" i="4"/>
  <c r="Q579" i="4"/>
  <c r="N579" i="4"/>
  <c r="N621" i="4"/>
  <c r="N600" i="4"/>
  <c r="Q600" i="4"/>
  <c r="N477" i="4"/>
  <c r="N538" i="4"/>
  <c r="Q538" i="4"/>
  <c r="N631" i="4"/>
  <c r="Q637" i="4"/>
  <c r="N637" i="4"/>
  <c r="N325" i="4"/>
  <c r="N447" i="4"/>
  <c r="Q460" i="4"/>
  <c r="N467" i="4"/>
  <c r="Q467" i="4"/>
  <c r="Q477" i="4"/>
  <c r="Q631" i="4"/>
  <c r="N482" i="4"/>
  <c r="Q580" i="4"/>
  <c r="N580" i="4"/>
  <c r="N605" i="4"/>
  <c r="Q316" i="4"/>
  <c r="Q331" i="4"/>
  <c r="N374" i="4"/>
  <c r="Q447" i="4"/>
  <c r="Q449" i="4"/>
  <c r="N460" i="4"/>
  <c r="Q527" i="4"/>
  <c r="Q539" i="4"/>
  <c r="Q486" i="4"/>
  <c r="N559" i="4"/>
  <c r="Q559" i="4"/>
  <c r="Q589" i="4"/>
  <c r="N589" i="4"/>
  <c r="N614" i="4"/>
  <c r="N643" i="4"/>
  <c r="N629" i="4"/>
  <c r="Q638" i="4"/>
  <c r="N638" i="4"/>
  <c r="N646" i="4"/>
  <c r="N564" i="4"/>
  <c r="Q606" i="4"/>
  <c r="Q624" i="4"/>
  <c r="Q540" i="4"/>
  <c r="Q584" i="4"/>
  <c r="N606" i="4"/>
  <c r="Q611" i="4"/>
  <c r="N611" i="4"/>
  <c r="N624" i="4"/>
  <c r="Q564" i="4"/>
  <c r="Q619" i="4"/>
  <c r="Q560" i="4"/>
  <c r="N566" i="4"/>
  <c r="Q576" i="4"/>
  <c r="Q590" i="4"/>
  <c r="Q651" i="4"/>
  <c r="N385" i="4"/>
  <c r="Q385" i="4"/>
  <c r="Q457" i="4"/>
  <c r="Q512" i="4"/>
  <c r="N512" i="4"/>
  <c r="Q537" i="4"/>
  <c r="N537" i="4"/>
  <c r="Q262" i="4"/>
  <c r="N262" i="4"/>
  <c r="Q327" i="4"/>
  <c r="N327" i="4"/>
  <c r="Q57" i="4"/>
  <c r="N57" i="4"/>
  <c r="Q173" i="4"/>
  <c r="Q247" i="4"/>
  <c r="N247" i="4"/>
  <c r="Q293" i="4"/>
  <c r="N293" i="4"/>
  <c r="N324" i="4"/>
  <c r="Q20" i="4"/>
  <c r="N20" i="4"/>
  <c r="Q41" i="4"/>
  <c r="N41" i="4"/>
  <c r="Q48" i="4"/>
  <c r="Q86" i="4"/>
  <c r="N86" i="4"/>
  <c r="Q165" i="4"/>
  <c r="N165" i="4"/>
  <c r="N173" i="4"/>
  <c r="N202" i="4"/>
  <c r="Q214" i="4"/>
  <c r="Q24" i="4"/>
  <c r="N38" i="4"/>
  <c r="Q135" i="4"/>
  <c r="N205" i="4"/>
  <c r="Q205" i="4"/>
  <c r="N400" i="4"/>
  <c r="Q415" i="4"/>
  <c r="Q503" i="4"/>
  <c r="N569" i="4"/>
  <c r="Q569" i="4"/>
  <c r="N642" i="4"/>
  <c r="N35" i="4"/>
  <c r="Q38" i="4"/>
  <c r="Q52" i="4"/>
  <c r="Q87" i="4"/>
  <c r="N87" i="4"/>
  <c r="Q118" i="4"/>
  <c r="Q201" i="4"/>
  <c r="N201" i="4"/>
  <c r="N597" i="4"/>
  <c r="N353" i="4"/>
  <c r="Q597" i="4"/>
  <c r="Q608" i="4"/>
  <c r="N608" i="4"/>
  <c r="Q55" i="4"/>
  <c r="N55" i="4"/>
  <c r="Q79" i="4"/>
  <c r="N117" i="4"/>
  <c r="Q119" i="4"/>
  <c r="Q229" i="4"/>
  <c r="Q304" i="4"/>
  <c r="Q336" i="4"/>
  <c r="N336" i="4"/>
  <c r="Q356" i="4"/>
  <c r="N356" i="4"/>
  <c r="N438" i="4"/>
  <c r="Q438" i="4"/>
  <c r="N479" i="4"/>
  <c r="Q479" i="4"/>
  <c r="N486" i="4"/>
  <c r="N8" i="4"/>
  <c r="Q71" i="4"/>
  <c r="N71" i="4"/>
  <c r="N74" i="4"/>
  <c r="Q117" i="4"/>
  <c r="N119" i="4"/>
  <c r="N235" i="4"/>
  <c r="Q343" i="4"/>
  <c r="N425" i="4"/>
  <c r="N552" i="4"/>
  <c r="Q33" i="4"/>
  <c r="N42" i="4"/>
  <c r="Q64" i="4"/>
  <c r="N79" i="4"/>
  <c r="N132" i="4"/>
  <c r="Q132" i="4"/>
  <c r="N229" i="4"/>
  <c r="Q231" i="4"/>
  <c r="N231" i="4"/>
  <c r="N271" i="4"/>
  <c r="N304" i="4"/>
  <c r="Q391" i="4"/>
  <c r="Q425" i="4"/>
  <c r="Q466" i="4"/>
  <c r="N466" i="4"/>
  <c r="N498" i="4"/>
  <c r="Q513" i="4"/>
  <c r="Q529" i="4"/>
  <c r="N529" i="4"/>
  <c r="N548" i="4"/>
  <c r="Q552" i="4"/>
  <c r="Q441" i="4"/>
  <c r="N441" i="4"/>
  <c r="Q61" i="4"/>
  <c r="N61" i="4"/>
  <c r="N138" i="4"/>
  <c r="Q456" i="4"/>
  <c r="Q4" i="4"/>
  <c r="Q51" i="4"/>
  <c r="N51" i="4"/>
  <c r="N69" i="4"/>
  <c r="N106" i="4"/>
  <c r="N109" i="4"/>
  <c r="Q138" i="4"/>
  <c r="Q445" i="4"/>
  <c r="N445" i="4"/>
  <c r="N6" i="4"/>
  <c r="Q82" i="4"/>
  <c r="Q496" i="4"/>
  <c r="N496" i="4"/>
  <c r="Q648" i="4"/>
  <c r="N46" i="4"/>
  <c r="N648" i="4"/>
  <c r="Q70" i="4"/>
  <c r="N70" i="4"/>
  <c r="Q265" i="4"/>
  <c r="N265" i="4"/>
  <c r="Q167" i="4"/>
  <c r="N301" i="4"/>
  <c r="Q301" i="4"/>
  <c r="Q67" i="4"/>
  <c r="N96" i="4"/>
  <c r="Q104" i="4"/>
  <c r="N104" i="4"/>
  <c r="Q168" i="4"/>
  <c r="N168" i="4"/>
  <c r="N180" i="4"/>
  <c r="N246" i="4"/>
  <c r="N252" i="4"/>
  <c r="Q252" i="4"/>
  <c r="N294" i="4"/>
  <c r="Q308" i="4"/>
  <c r="N308" i="4"/>
  <c r="N343" i="4"/>
  <c r="Q442" i="4"/>
  <c r="Q548" i="4"/>
  <c r="Q28" i="4"/>
  <c r="N28" i="4"/>
  <c r="Q164" i="4"/>
  <c r="N164" i="4"/>
  <c r="Q322" i="4"/>
  <c r="Q422" i="4"/>
  <c r="N422" i="4"/>
  <c r="N472" i="4"/>
  <c r="Q472" i="4"/>
  <c r="Q506" i="4"/>
  <c r="N506" i="4"/>
  <c r="Q44" i="4"/>
  <c r="N44" i="4"/>
  <c r="Q295" i="4"/>
  <c r="N295" i="4"/>
  <c r="N322" i="4"/>
  <c r="N448" i="4"/>
  <c r="Q448" i="4"/>
  <c r="N457" i="4"/>
  <c r="Q2" i="4"/>
  <c r="N2" i="4"/>
  <c r="N4" i="4"/>
  <c r="N48" i="4"/>
  <c r="N66" i="4"/>
  <c r="Q112" i="4"/>
  <c r="N112" i="4"/>
  <c r="Q141" i="4"/>
  <c r="N141" i="4"/>
  <c r="N157" i="4"/>
  <c r="N328" i="4"/>
  <c r="N16" i="4"/>
  <c r="N27" i="4"/>
  <c r="Q45" i="4"/>
  <c r="N45" i="4"/>
  <c r="Q66" i="4"/>
  <c r="N373" i="4"/>
  <c r="N415" i="4"/>
  <c r="Q563" i="4"/>
  <c r="Q646" i="4"/>
  <c r="N10" i="4"/>
  <c r="Q32" i="4"/>
  <c r="N32" i="4"/>
  <c r="N94" i="4"/>
  <c r="Q106" i="4"/>
  <c r="N118" i="4"/>
  <c r="N171" i="4"/>
  <c r="Q171" i="4"/>
  <c r="N418" i="4"/>
  <c r="Q418" i="4"/>
  <c r="N449" i="4"/>
  <c r="Q582" i="4"/>
  <c r="N582" i="4"/>
  <c r="Q644" i="4"/>
  <c r="Q94" i="4"/>
  <c r="Q154" i="4"/>
  <c r="N154" i="4"/>
  <c r="Q238" i="4"/>
  <c r="N238" i="4"/>
  <c r="N243" i="4"/>
  <c r="N319" i="4"/>
  <c r="Q319" i="4"/>
  <c r="N359" i="4"/>
  <c r="N503" i="4"/>
  <c r="N563" i="4"/>
  <c r="Q642" i="4"/>
  <c r="N9" i="4"/>
  <c r="N135" i="4"/>
  <c r="N148" i="4"/>
  <c r="N573" i="4"/>
  <c r="Q627" i="4"/>
  <c r="N627" i="4"/>
  <c r="Q9" i="4"/>
  <c r="N21" i="4"/>
  <c r="N52" i="4"/>
  <c r="Q122" i="4"/>
  <c r="N122" i="4"/>
  <c r="N241" i="4"/>
  <c r="Q489" i="4"/>
  <c r="N489" i="4"/>
  <c r="N577" i="4"/>
  <c r="Q577" i="4"/>
  <c r="Q23" i="4"/>
  <c r="N23" i="4"/>
  <c r="Q3" i="4"/>
  <c r="N3" i="4"/>
  <c r="N60" i="4"/>
  <c r="Q30" i="4"/>
  <c r="N30" i="4"/>
  <c r="N37" i="4"/>
  <c r="Q160" i="4"/>
  <c r="N160" i="4"/>
  <c r="Q213" i="4"/>
  <c r="N213" i="4"/>
  <c r="N217" i="4"/>
  <c r="N292" i="4"/>
  <c r="N368" i="4"/>
  <c r="N387" i="4"/>
  <c r="Q387" i="4"/>
  <c r="N461" i="4"/>
  <c r="Q499" i="4"/>
  <c r="N499" i="4"/>
  <c r="N513" i="4"/>
  <c r="Q544" i="4"/>
  <c r="N544" i="4"/>
  <c r="Q337" i="4"/>
  <c r="Q11" i="4"/>
  <c r="N11" i="4"/>
  <c r="Q93" i="4"/>
  <c r="N93" i="4"/>
  <c r="Q102" i="4"/>
  <c r="Q146" i="4"/>
  <c r="N146" i="4"/>
  <c r="Q169" i="4"/>
  <c r="N169" i="4"/>
  <c r="N182" i="4"/>
  <c r="Q206" i="4"/>
  <c r="N206" i="4"/>
  <c r="Q299" i="4"/>
  <c r="N299" i="4"/>
  <c r="N312" i="4"/>
  <c r="N337" i="4"/>
  <c r="N348" i="4"/>
  <c r="Q350" i="4"/>
  <c r="N350" i="4"/>
  <c r="N377" i="4"/>
  <c r="N404" i="4"/>
  <c r="Q404" i="4"/>
  <c r="Q434" i="4"/>
  <c r="Q473" i="4"/>
  <c r="Q476" i="4"/>
  <c r="N476" i="4"/>
  <c r="Q591" i="4"/>
  <c r="N591" i="4"/>
  <c r="Q114" i="4"/>
  <c r="N392" i="4"/>
  <c r="Q392" i="4"/>
  <c r="Q75" i="4"/>
  <c r="N75" i="4"/>
  <c r="Q36" i="4"/>
  <c r="N36" i="4"/>
  <c r="Q65" i="4"/>
  <c r="N65" i="4"/>
  <c r="N92" i="4"/>
  <c r="Q108" i="4"/>
  <c r="N121" i="4"/>
  <c r="Q196" i="4"/>
  <c r="N196" i="4"/>
  <c r="Q198" i="4"/>
  <c r="N253" i="4"/>
  <c r="N264" i="4"/>
  <c r="N329" i="4"/>
  <c r="Q388" i="4"/>
  <c r="Q413" i="4"/>
  <c r="N413" i="4"/>
  <c r="N434" i="4"/>
  <c r="Q440" i="4"/>
  <c r="N469" i="4"/>
  <c r="N473" i="4"/>
  <c r="Q480" i="4"/>
  <c r="N480" i="4"/>
  <c r="Q505" i="4"/>
  <c r="N531" i="4"/>
  <c r="Q531" i="4"/>
  <c r="Q535" i="4"/>
  <c r="N535" i="4"/>
  <c r="N541" i="4"/>
  <c r="Q143" i="4"/>
  <c r="N178" i="4"/>
  <c r="Q228" i="4"/>
  <c r="N228" i="4"/>
  <c r="Q244" i="4"/>
  <c r="N244" i="4"/>
  <c r="Q545" i="4"/>
  <c r="N545" i="4"/>
  <c r="Q25" i="4"/>
  <c r="N25" i="4"/>
  <c r="Q47" i="4"/>
  <c r="N47" i="4"/>
  <c r="Q7" i="4"/>
  <c r="N7" i="4"/>
  <c r="N62" i="4"/>
  <c r="Q92" i="4"/>
  <c r="N102" i="4"/>
  <c r="N108" i="4"/>
  <c r="N133" i="4"/>
  <c r="Q144" i="4"/>
  <c r="N144" i="4"/>
  <c r="N179" i="4"/>
  <c r="N194" i="4"/>
  <c r="N223" i="4"/>
  <c r="Q230" i="4"/>
  <c r="N230" i="4"/>
  <c r="Q253" i="4"/>
  <c r="Q264" i="4"/>
  <c r="N282" i="4"/>
  <c r="N290" i="4"/>
  <c r="N339" i="4"/>
  <c r="N354" i="4"/>
  <c r="N362" i="4"/>
  <c r="N367" i="4"/>
  <c r="Q371" i="4"/>
  <c r="N378" i="4"/>
  <c r="N388" i="4"/>
  <c r="N410" i="4"/>
  <c r="N505" i="4"/>
  <c r="Q541" i="4"/>
  <c r="Q632" i="4"/>
  <c r="N632" i="4"/>
  <c r="N249" i="4"/>
  <c r="Q256" i="4"/>
  <c r="Q296" i="4"/>
  <c r="N296" i="4"/>
  <c r="Q397" i="4"/>
  <c r="N429" i="4"/>
  <c r="Q429" i="4"/>
  <c r="Q432" i="4"/>
  <c r="Q453" i="4"/>
  <c r="N453" i="4"/>
  <c r="Q522" i="4"/>
  <c r="Q526" i="4"/>
  <c r="N526" i="4"/>
  <c r="Q533" i="4"/>
  <c r="N533" i="4"/>
  <c r="Q550" i="4"/>
  <c r="N550" i="4"/>
  <c r="Q592" i="4"/>
  <c r="N592" i="4"/>
  <c r="Q609" i="4"/>
  <c r="N609" i="4"/>
  <c r="N134" i="4"/>
  <c r="N136" i="4"/>
  <c r="N139" i="4"/>
  <c r="Q221" i="4"/>
  <c r="N236" i="4"/>
  <c r="N256" i="4"/>
  <c r="N342" i="4"/>
  <c r="Q372" i="4"/>
  <c r="N383" i="4"/>
  <c r="N432" i="4"/>
  <c r="Q462" i="4"/>
  <c r="N462" i="4"/>
  <c r="N484" i="4"/>
  <c r="Q493" i="4"/>
  <c r="N522" i="4"/>
  <c r="Q574" i="4"/>
  <c r="N574" i="4"/>
  <c r="N84" i="4"/>
  <c r="N89" i="4"/>
  <c r="N131" i="4"/>
  <c r="N137" i="4"/>
  <c r="Q139" i="4"/>
  <c r="Q199" i="4"/>
  <c r="N199" i="4"/>
  <c r="N215" i="4"/>
  <c r="Q306" i="4"/>
  <c r="Q315" i="4"/>
  <c r="N369" i="4"/>
  <c r="N397" i="4"/>
  <c r="N411" i="4"/>
  <c r="Q427" i="4"/>
  <c r="N427" i="4"/>
  <c r="N433" i="4"/>
  <c r="Q450" i="4"/>
  <c r="Q463" i="4"/>
  <c r="N463" i="4"/>
  <c r="Q484" i="4"/>
  <c r="N500" i="4"/>
  <c r="Q554" i="4"/>
  <c r="N554" i="4"/>
  <c r="Q595" i="4"/>
  <c r="N595" i="4"/>
  <c r="Q605" i="4"/>
  <c r="N639" i="4"/>
  <c r="Q639" i="4"/>
  <c r="Q125" i="4"/>
  <c r="Q134" i="4"/>
  <c r="N155" i="4"/>
  <c r="Q166" i="4"/>
  <c r="N166" i="4"/>
  <c r="Q193" i="4"/>
  <c r="Q215" i="4"/>
  <c r="N232" i="4"/>
  <c r="N245" i="4"/>
  <c r="Q260" i="4"/>
  <c r="N260" i="4"/>
  <c r="N274" i="4"/>
  <c r="N309" i="4"/>
  <c r="Q309" i="4"/>
  <c r="N334" i="4"/>
  <c r="N355" i="4"/>
  <c r="N398" i="4"/>
  <c r="Q478" i="4"/>
  <c r="N481" i="4"/>
  <c r="Q140" i="4"/>
  <c r="Q314" i="4"/>
  <c r="Q320" i="4"/>
  <c r="Q523" i="4"/>
  <c r="N523" i="4"/>
  <c r="Q620" i="4"/>
  <c r="N620" i="4"/>
  <c r="Q218" i="4"/>
  <c r="Q311" i="4"/>
  <c r="Q389" i="4"/>
  <c r="N389" i="4"/>
  <c r="N511" i="4"/>
  <c r="Q511" i="4"/>
  <c r="Q596" i="4"/>
  <c r="N218" i="4"/>
  <c r="N266" i="4"/>
  <c r="N310" i="4"/>
  <c r="N311" i="4"/>
  <c r="N364" i="4"/>
  <c r="N399" i="4"/>
  <c r="Q409" i="4"/>
  <c r="N409" i="4"/>
  <c r="Q515" i="4"/>
  <c r="Q524" i="4"/>
  <c r="N540" i="4"/>
  <c r="N596" i="4"/>
  <c r="Q602" i="4"/>
  <c r="N604" i="4"/>
  <c r="Q604" i="4"/>
  <c r="Q617" i="4"/>
  <c r="Q625" i="4"/>
  <c r="N625" i="4"/>
  <c r="N330" i="4"/>
  <c r="Q332" i="4"/>
  <c r="N567" i="4"/>
  <c r="N594" i="4"/>
  <c r="Q645" i="4"/>
  <c r="N645" i="4"/>
  <c r="N516" i="4"/>
  <c r="Q516" i="4"/>
  <c r="Q570" i="4"/>
  <c r="N570" i="4"/>
  <c r="N586" i="4"/>
  <c r="Q626" i="4"/>
  <c r="N626" i="4"/>
  <c r="Q323" i="4"/>
  <c r="Q395" i="4"/>
  <c r="Q497" i="4"/>
  <c r="N514" i="4"/>
  <c r="N547" i="4"/>
  <c r="Q586" i="4"/>
  <c r="Q615" i="4"/>
  <c r="N615" i="4"/>
  <c r="N652" i="4"/>
  <c r="N488" i="4"/>
  <c r="Q488" i="4"/>
  <c r="Q623" i="4"/>
  <c r="N623" i="4"/>
  <c r="N636" i="4"/>
  <c r="N458" i="4"/>
  <c r="Q491" i="4"/>
  <c r="N494" i="4"/>
  <c r="Q519" i="4"/>
  <c r="Q532" i="4"/>
  <c r="Q543" i="4"/>
  <c r="N543" i="4"/>
  <c r="Q555" i="4"/>
  <c r="N557" i="4"/>
  <c r="N562" i="4"/>
  <c r="Q583" i="4"/>
  <c r="N633" i="4"/>
  <c r="Q633" i="4"/>
  <c r="Q636" i="4"/>
  <c r="Q640" i="4"/>
  <c r="N640" i="4"/>
  <c r="N653" i="4"/>
  <c r="N553" i="4"/>
  <c r="Q599" i="4"/>
  <c r="N59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tc={A3FD767D-018A-41BB-A356-5B69935FA3FA}</author>
    <author>Hornsmann, Stefan</author>
    <author>tc={596280B7-B7BA-456B-A3D5-451AD6070BA6}</author>
    <author>tc={6F406BA4-BAF7-47F1-8BF3-5380A91592E9}</author>
  </authors>
  <commentList>
    <comment ref="A1" authorId="0" shapeId="0" xr:uid="{A3FD767D-018A-41BB-A356-5B69935FA3FA}">
      <text>
        <t>[Threaded comment]
Your version of Excel allows you to read this threaded comment; however, any edits to it will get removed if the file is opened in a newer version of Excel. Learn more: https://go.microsoft.com/fwlink/?linkid=870924
Comment:
    Nicht zu jedem Programm gibt es eine entsprechende Transaktion</t>
      </text>
    </comment>
    <comment ref="M1" authorId="1" shapeId="0" xr:uid="{8E1E972B-21C0-4FA9-9FFF-A9280CE34B8C}">
      <text>
        <r>
          <rPr>
            <sz val="10"/>
            <rFont val="Arial"/>
            <family val="2"/>
          </rPr>
          <t xml:space="preserve">Hornsmann, Stefan: Für P2P Nummer CALM Aufgabe (falls relevant)
</t>
        </r>
      </text>
    </comment>
    <comment ref="O1" authorId="2" shapeId="0" xr:uid="{596280B7-B7BA-456B-A3D5-451AD6070BA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Alles was aus den Gaplisten kommt, wurde bereits durchs KDB freigegeben, deshalb Formel: Wenn aus Gapliste, dann Freigabe</t>
      </text>
    </comment>
    <comment ref="Q1" authorId="3" shapeId="0" xr:uid="{6F406BA4-BAF7-47F1-8BF3-5380A91592E9}">
      <text>
        <t>[Threaded comment]
Your version of Excel allows you to read this threaded comment; however, any edits to it will get removed if the file is opened in a newer version of Excel. Learn more: https://go.microsoft.com/fwlink/?linkid=870924
Comment:
    Bewertung der Übernahme aus den entsprechenden Listen - falls vorhanden</t>
      </text>
    </comment>
  </commentList>
</comments>
</file>

<file path=xl/sharedStrings.xml><?xml version="1.0" encoding="utf-8"?>
<sst xmlns="http://schemas.openxmlformats.org/spreadsheetml/2006/main" count="14830" uniqueCount="2149">
  <si>
    <t>Z-Programm R/3
(insgesamt 654)</t>
  </si>
  <si>
    <t>vorhanden
EQA</t>
  </si>
  <si>
    <t>Übernahme 
in S/4
geplant</t>
  </si>
  <si>
    <t>USR
CALM</t>
  </si>
  <si>
    <t>Welle 1</t>
  </si>
  <si>
    <t>Welle 2</t>
  </si>
  <si>
    <t>Welle 3 ff</t>
  </si>
  <si>
    <t>Coding
Zahlwege</t>
  </si>
  <si>
    <t>Klärung 
durch</t>
  </si>
  <si>
    <t>Beschreibung</t>
  </si>
  <si>
    <t>Z_CLEAN_EVTTAB</t>
  </si>
  <si>
    <t>Nein</t>
  </si>
  <si>
    <t>Hilfsprogramm zur Bereinigung Inkonsistenzen in Jobtabelle BTCEVTJOB</t>
  </si>
  <si>
    <t>Z_IDOC_STATUS_SET</t>
  </si>
  <si>
    <t>Ja</t>
  </si>
  <si>
    <t>Idoc Status auf erledigt setzen (nur BuKrs 1000)</t>
  </si>
  <si>
    <t>Z_INFO_PRICING_SERVICES_USER</t>
  </si>
  <si>
    <t>Z_INFO_PRICING_SERVICES_USER lt. SAP Hinweis 1786263</t>
  </si>
  <si>
    <t>Z_REPAIR_ADRNR_1</t>
  </si>
  <si>
    <t>Reparatur der Adressinkonsistenz in Tabelle VBPA und KNA1</t>
  </si>
  <si>
    <t>Z_SAPMZSWA</t>
  </si>
  <si>
    <t xml:space="preserve">Nein </t>
  </si>
  <si>
    <t>Programm SAPMZSWA - Batterieservice</t>
  </si>
  <si>
    <t>Z_SAPMZSWA_MENUE</t>
  </si>
  <si>
    <t>Menü Batterieservice</t>
  </si>
  <si>
    <t>Z_SAPMZSWAT</t>
  </si>
  <si>
    <t>Modulpool: Elektronisches Bezahlen SWA-Terminal (Straßenwacht)</t>
  </si>
  <si>
    <t>Z0SAP_12</t>
  </si>
  <si>
    <t>Datendatei-View: Geplante Abschreibungen auf Anlagen</t>
  </si>
  <si>
    <t>ZAA_ANLAGENTR_COPY_LANGTEXT</t>
  </si>
  <si>
    <t>Anlagentransfer Langtexte kopieren</t>
  </si>
  <si>
    <t>ZAA_ANLAGENTRANSFER</t>
  </si>
  <si>
    <t>Anlagentransfer</t>
  </si>
  <si>
    <t>ZAA_CO_KONTIERUNG</t>
  </si>
  <si>
    <t>Änderung von Innenaufträgen/Kostenstellen in Anlagen</t>
  </si>
  <si>
    <t>ZAA_INVE01</t>
  </si>
  <si>
    <t>Inventurliste nach Anlagennummern / Anlagentext</t>
  </si>
  <si>
    <t>ZAA_INVE06</t>
  </si>
  <si>
    <t>ZAA_INVE07</t>
  </si>
  <si>
    <t>Inventurliste nach Kostenrechnungsobjekten</t>
  </si>
  <si>
    <t>ZAA_MASS_DOWN</t>
  </si>
  <si>
    <t>DEV-002</t>
  </si>
  <si>
    <t>Anlagenstamm Massenänderung: Download</t>
  </si>
  <si>
    <t>ZAA_MASS_UP</t>
  </si>
  <si>
    <t>Massenänderung Anlagenstamm: Upload CSV-Datei</t>
  </si>
  <si>
    <t>ZAA_RAHIST01</t>
  </si>
  <si>
    <t>Anlagenhistorie</t>
  </si>
  <si>
    <t>ZAA_RAPOST2010</t>
  </si>
  <si>
    <t>Buchen der Abschreibungen</t>
  </si>
  <si>
    <t>ZAA_STAMMDAT_ALV</t>
  </si>
  <si>
    <t>Stammdaten-Auswertung ALV-Liste ( mehrzeilig )</t>
  </si>
  <si>
    <t>ZACAC_DATA_TRANSFER</t>
  </si>
  <si>
    <t>DEV-150</t>
  </si>
  <si>
    <t>Übernahme von Debitoren-/Kreditorenrechnungen in die Accrual Engine</t>
  </si>
  <si>
    <t>ZACAC_DSITEMS</t>
  </si>
  <si>
    <t>Anzeigen von Abgrenzungsobjekten + kd.eigene Parameter</t>
  </si>
  <si>
    <t>ZBC_ADDR_CHECK</t>
  </si>
  <si>
    <t>Reparaturprogramm: Prüfen Debitoren auf fehlende Adresse-Einträge in Archivierung</t>
  </si>
  <si>
    <t>ZBC_AL_REORG_OUT</t>
  </si>
  <si>
    <t>Archivelink Reorganisation - Erstellen Löschdatei und Tabelle für's Löschen von Sätzen in den Verknüpfungstabellen</t>
  </si>
  <si>
    <t>ZBC_AL_REORG_RETURN</t>
  </si>
  <si>
    <t>Archivelink Reorganisation - Rückantwort NE-Databridge</t>
  </si>
  <si>
    <t>ZBC_AL_REORG_VTABS</t>
  </si>
  <si>
    <t>Archivelink Reorganisation - Pflege der Verknüpfungstabellen</t>
  </si>
  <si>
    <t>ZBC_ANONYM_ZQ1</t>
  </si>
  <si>
    <t>Anonymisierungstool in Q Systemen</t>
  </si>
  <si>
    <t>ZBC_BDCLOG_ALV</t>
  </si>
  <si>
    <t>Archivierte BDC Mappenprotokolle anzeigen</t>
  </si>
  <si>
    <t>ZBC_BDCLOG_ARCHIVE</t>
  </si>
  <si>
    <t>BDC Mappenprotokolle archivieren</t>
  </si>
  <si>
    <t>ZBC_BDCLOG_ARCHIVE_FIX</t>
  </si>
  <si>
    <t>BDC Mappenprotokolle archiv Objekte importieren</t>
  </si>
  <si>
    <t>ZBC_BELEG_VOLUME</t>
  </si>
  <si>
    <t>Ermittlung von Beleganzahl / -wert je Buchungskreis als Basis für Verteilschlüssel SAP Systempreis Verteilung</t>
  </si>
  <si>
    <t>ZBC_CALL_PROCEDURE</t>
  </si>
  <si>
    <t>Aufruf einer "Stored Procedure" in der Berichtswesendatenbank</t>
  </si>
  <si>
    <t>ZBC_CHECK_NRIV</t>
  </si>
  <si>
    <t>mit diesem Programm können Nummernkreise auf Fehler geprüft werden und freie Intervalle ermittelt werden.</t>
  </si>
  <si>
    <t>ZBC_COPY_DATASET</t>
  </si>
  <si>
    <t>Wird benötigt für ELMO für Dateiaufstellung für Netz HG105C. Es ist eine Kopie von ZFI_COPY_TEXT_DATASET ergänzt mit Archivierungsfunktionalität</t>
  </si>
  <si>
    <t>ZBC_EVENT_RAISE</t>
  </si>
  <si>
    <t>Auslösen eines Kundenereignisses</t>
  </si>
  <si>
    <t>ZBC_EXCELTABUPLOAD</t>
  </si>
  <si>
    <t>Generischer Upload von Excel-Tabellen in R/3-Tabellen</t>
  </si>
  <si>
    <t>ZBC_F110_JOBCTRL</t>
  </si>
  <si>
    <t>Offen</t>
  </si>
  <si>
    <t>?</t>
  </si>
  <si>
    <t>J. Schaut</t>
  </si>
  <si>
    <t>Zahllauf Folgeverarbeitungssteuerung</t>
  </si>
  <si>
    <t>ZBC_F110_SPOOL_UPDATE</t>
  </si>
  <si>
    <t>Update von Spool-Datasets (Zahllaufversion)</t>
  </si>
  <si>
    <t>ZBC_FILE_DELETE</t>
  </si>
  <si>
    <t>Dateienlöschung über Report ZBC_FILE_DELETE</t>
  </si>
  <si>
    <t>ZBC_FILE_EVENT_RAISE</t>
  </si>
  <si>
    <t>Dateieneventauslösung</t>
  </si>
  <si>
    <t>ZBC_GET_WORKLOAD_STATISTIC</t>
  </si>
  <si>
    <t>Download Workload Statistics</t>
  </si>
  <si>
    <t>ZBC_JOB_ABORT</t>
  </si>
  <si>
    <t>Job Abbrechen wenn eine Liste best. String enthält</t>
  </si>
  <si>
    <t>ZBC_JOBCONTROL</t>
  </si>
  <si>
    <t>ZBC_LOEVM_DEBI_KREDI</t>
  </si>
  <si>
    <t>Programm zur Pflege der Löschvormerkung für Debitoren und Kreditoren</t>
  </si>
  <si>
    <t>ZBC_LOEVM_DEBI_KREDI_2</t>
  </si>
  <si>
    <t>Setzen Löschvormerkung anhand Tage ohne Buchungen</t>
  </si>
  <si>
    <t>ZBC_LOGO_SWITCH</t>
  </si>
  <si>
    <t>P. Haisch</t>
  </si>
  <si>
    <t>Logo-Clicks ein/ausschalten -&gt; gehört zu OREA</t>
  </si>
  <si>
    <t>ZBC_MAESTRO</t>
  </si>
  <si>
    <t>ZBC_NACH_UPDATE_TESTSYSTEM</t>
  </si>
  <si>
    <t>Basis</t>
  </si>
  <si>
    <t>Update Tabelle NACH im Test-System ("Sofort ausgeben", "Ausgabegerät")</t>
  </si>
  <si>
    <t>ZBC_NOTFALLUSERAKTIEVIERUNG</t>
  </si>
  <si>
    <t>Programm zur automatischen Userinaktivierung</t>
  </si>
  <si>
    <t>ZBC_OREA_COA</t>
  </si>
  <si>
    <t>DEV-105</t>
  </si>
  <si>
    <t>Füllen der COA-Tabellen</t>
  </si>
  <si>
    <t>ZBC_OREA_COA_NACHVERARBEITUNG</t>
  </si>
  <si>
    <t>Nachverarbeitung der Freigabehierarchie</t>
  </si>
  <si>
    <t>ZBC_OREA_COA_TEST</t>
  </si>
  <si>
    <t xml:space="preserve">Testutils -&gt; OREA </t>
  </si>
  <si>
    <t>ZBC_OREA_COA_USER_LOESCHEN</t>
  </si>
  <si>
    <t>A. Gaida / R. Schildberger</t>
  </si>
  <si>
    <t>Löschen von einzelnen Usern aus der COA</t>
  </si>
  <si>
    <t>ZBC_OREA_FREIGEBER_TEST</t>
  </si>
  <si>
    <t>Test des Freigeberfunktionsbausteins</t>
  </si>
  <si>
    <t>ZBC_SET_TVARVC</t>
  </si>
  <si>
    <t>Parameter in TVARVC belegen und updaten</t>
  </si>
  <si>
    <t>ZBC_SPERR_STAMM_DS</t>
  </si>
  <si>
    <t>Datenschutz: Pflege Berechtigungsgruppe im Stammsatz</t>
  </si>
  <si>
    <t>ZBC_SPOOL_ARCHIV</t>
  </si>
  <si>
    <t>Drucklistenarchivierung</t>
  </si>
  <si>
    <t>ZBC_SPOOL_OUTPUT</t>
  </si>
  <si>
    <t>Zusätzliches Ausgeben / Senden von Spoollisten</t>
  </si>
  <si>
    <t>ZBC_SPOOL_PCOUNT</t>
  </si>
  <si>
    <t>Ermittlung Seitenanzahl und Ausgabe von Spool-Datasets</t>
  </si>
  <si>
    <t>ZBC_ST03N</t>
  </si>
  <si>
    <t>Auswertung Systemlast</t>
  </si>
  <si>
    <t>ZBC_TAB_EXPIMP</t>
  </si>
  <si>
    <t>ZBC_TAB_EXPIMP Tabellen Exportieren/Importieren</t>
  </si>
  <si>
    <t>ZBC_TABELLEN_TRANSFER</t>
  </si>
  <si>
    <t>Programm ZBC_TABELLEN_TRANSFER</t>
  </si>
  <si>
    <t>ZBC_USERINAKTIVIERUNG</t>
  </si>
  <si>
    <t>DEV-084</t>
  </si>
  <si>
    <t>ZBC_VARIANT_LIST</t>
  </si>
  <si>
    <t>Reportvarianten-Scanfunktionalität</t>
  </si>
  <si>
    <t>ZBC_VARIANT_LIST_ALV</t>
  </si>
  <si>
    <t>ZBC_ZEMAREP_FRGREORG</t>
  </si>
  <si>
    <t>Reorg Tabelle ZBC_ZEMAREP_FRG</t>
  </si>
  <si>
    <t>ZBC_ZEMAREP_GET</t>
  </si>
  <si>
    <t>lesen zemarep</t>
  </si>
  <si>
    <t>ZBC_ZEMAREP_USER</t>
  </si>
  <si>
    <t>ZEMAREP User-Pflege</t>
  </si>
  <si>
    <t>ZBC_ZEMAREP_USERCHG_REO</t>
  </si>
  <si>
    <t>Anzeige/Löschen Tabelle ZREP_USERCHG</t>
  </si>
  <si>
    <t>ZBC_ZEMAREP_USRGUELT</t>
  </si>
  <si>
    <t>user gültigkeit prüfen</t>
  </si>
  <si>
    <t>ZBC_ZRSLG_SERVERS_1692951</t>
  </si>
  <si>
    <t>Korrekturprogramm Upgrade SNOTE 2164430</t>
  </si>
  <si>
    <t>ZBC_ZRUTDDLSLDEL_2163340</t>
  </si>
  <si>
    <t>ZCA_MAIL2</t>
  </si>
  <si>
    <t>Globale Routinen Luftrettung</t>
  </si>
  <si>
    <t>ZCA_MAPPCHECK</t>
  </si>
  <si>
    <t>Mappenstatus</t>
  </si>
  <si>
    <t>ZCA_TEST_GOS</t>
  </si>
  <si>
    <t>Testprogramm</t>
  </si>
  <si>
    <t>ZCA_WARTEN</t>
  </si>
  <si>
    <t>Warten n Minuten (max. 30)</t>
  </si>
  <si>
    <t>ZCMFIFU1</t>
  </si>
  <si>
    <t>OSS: 156239 Report Datenaufbau Banksalden</t>
  </si>
  <si>
    <t>ZCO_ABSTIMMUNG</t>
  </si>
  <si>
    <t>Abstimmung Intercompany</t>
  </si>
  <si>
    <t>ZCO_ABSTIMMUNG_ARCHIVLINK</t>
  </si>
  <si>
    <t>FI: Archiv_Link_Rechnungsbeleg: FI-Rechnungsdruck</t>
  </si>
  <si>
    <t>ZCO_ABSTIMMUNG_PRUEFUNG</t>
  </si>
  <si>
    <t>Prüfung der CO/FI-Abstimmung</t>
  </si>
  <si>
    <t>ZCO_ABZUG_KSTPROJEKT_UMSETZUNG</t>
  </si>
  <si>
    <t>DEV-109</t>
  </si>
  <si>
    <t>Programm ZCO_ABZUG_KSTPROJEKT_UMSETZUNG</t>
  </si>
  <si>
    <t>ZCO_AVM_DATENABZUG</t>
  </si>
  <si>
    <t>DEV-110</t>
  </si>
  <si>
    <t>Kostenarten- / Profitcenter-Datenabzug</t>
  </si>
  <si>
    <t>ZCO_BEWEGUNGSDATEN_ERGRE</t>
  </si>
  <si>
    <t>Initialization und At Selection Screen</t>
  </si>
  <si>
    <t>ZCO_DATENABZUG_PCA</t>
  </si>
  <si>
    <t>ZCO_DRUCKER_SPOOL</t>
  </si>
  <si>
    <t>DEV-111</t>
  </si>
  <si>
    <t>ZCO_ERGEBNISRECHNUNG</t>
  </si>
  <si>
    <t>Datenabzug Controlling für die Ergebnisrechnung</t>
  </si>
  <si>
    <t>ZCO_HIERARCHIEPRUEFUNG</t>
  </si>
  <si>
    <t>Programm ZCO_HIERARCHIEPRUEFUNG</t>
  </si>
  <si>
    <t>ZCO_IA_ABRECHNUNGSSCHEMA</t>
  </si>
  <si>
    <t>Abrechnungsschema in vorhandenen Aufträgen aktualisieren</t>
  </si>
  <si>
    <t>ZCO_ILV_AUSWERT</t>
  </si>
  <si>
    <t>Abstimmung SAPCO mit Sachkonten ILV aus SAP-FI</t>
  </si>
  <si>
    <t>ZCO_ILV_AUTOMABHAK</t>
  </si>
  <si>
    <t>Programm ZCO_ILV_AUTOMABHAK</t>
  </si>
  <si>
    <t>ZCO_ILV_FI</t>
  </si>
  <si>
    <t>Auswertung FI-Buchungen für ILV</t>
  </si>
  <si>
    <t>ZCO_ILV_KENNZAHL</t>
  </si>
  <si>
    <t>Programm ZCO_ILV_KENNZAHLEN</t>
  </si>
  <si>
    <t>ZCO_ILV_KONVERT</t>
  </si>
  <si>
    <t>Konvertierung ILV-Schnittstelle: Alte -&gt; Neue Struktur</t>
  </si>
  <si>
    <t>ZCO_ILV_LIZENZVERRECHNUNG</t>
  </si>
  <si>
    <t>ZCO_ILV_PCDATEIUEBERNAHME</t>
  </si>
  <si>
    <t>Übernahme der Dateien für die ILV</t>
  </si>
  <si>
    <t>ZCO_ILV_POSTPROT_AKT</t>
  </si>
  <si>
    <t>Buchungsprotokolltabelle aktualisieren</t>
  </si>
  <si>
    <t>ZCO_ILV_SAMMLER_LOESCHEN</t>
  </si>
  <si>
    <t>Sammeldateiloeschung</t>
  </si>
  <si>
    <t>ZCO_ILV_STS</t>
  </si>
  <si>
    <t>Programm ZCO_ILV</t>
  </si>
  <si>
    <t>ZCO_ILV_VORPROGRAMM</t>
  </si>
  <si>
    <t>Vorprogramm zur ILV</t>
  </si>
  <si>
    <t>ZCO_KALC_DRUCK</t>
  </si>
  <si>
    <t>KALC FI Belegdaten für den Druck exportieren</t>
  </si>
  <si>
    <t>ZCO_KENNZAHLEN_ABZUG</t>
  </si>
  <si>
    <t>DEV-157</t>
  </si>
  <si>
    <t>Kennzahlen Abzug (Export)</t>
  </si>
  <si>
    <t>ZCO_KENNZAHLEN_IMPORT</t>
  </si>
  <si>
    <t>Kennzahlen Istschnittstelle Import</t>
  </si>
  <si>
    <t>ZCO_KENNZAHLEN_START</t>
  </si>
  <si>
    <t>Programm ZCO_KENNZAHLEN_START</t>
  </si>
  <si>
    <t>ZCO_KOSTENARTEN_ERGRE</t>
  </si>
  <si>
    <t>Kostenarten und Kostenartengruppen</t>
  </si>
  <si>
    <t>ZCO_KOSTENSTELLENEXPORT</t>
  </si>
  <si>
    <t>Auftrag- und Kostenstellenstammdaten: SQL-DB, TERMIKON, RACF, IBLA.</t>
  </si>
  <si>
    <t>ZCO_KSTABZUG_AVM</t>
  </si>
  <si>
    <t>DEV-112</t>
  </si>
  <si>
    <t>Kostenstellenabzug für AVM</t>
  </si>
  <si>
    <t>ZCO_KSTABZUG_LOGA</t>
  </si>
  <si>
    <t>Kostenstellenabzug für Loga</t>
  </si>
  <si>
    <t>ZCO_KSTABZUG_LOGA_FIX</t>
  </si>
  <si>
    <t>ZCO_KSTABZUG_PAM</t>
  </si>
  <si>
    <t>DEV-148</t>
  </si>
  <si>
    <t>Kostenstellenabzug für PAM -Übergangslösung für DV-Reporting</t>
  </si>
  <si>
    <t>ZCO_LEISTUNGSARTEN</t>
  </si>
  <si>
    <t>Lesen Leistungsarten</t>
  </si>
  <si>
    <t>ZCO_LEISTUNGSARTENSTAMM</t>
  </si>
  <si>
    <t>DEV-113</t>
  </si>
  <si>
    <t>Leistungsartenstamm</t>
  </si>
  <si>
    <t>ZCO_PBPLAN</t>
  </si>
  <si>
    <t>Personalplanung Planungsabzug</t>
  </si>
  <si>
    <t>ZCO_PCAABZUG</t>
  </si>
  <si>
    <t>DEV-114</t>
  </si>
  <si>
    <t>Profitcenterabzug für Kostenstellen</t>
  </si>
  <si>
    <t>ZCO_PFC_MASS_CHANGE</t>
  </si>
  <si>
    <t>Programm ZCO_PFC_MASS_CHANGE</t>
  </si>
  <si>
    <t>ZCO_PLANUNGSSCHNITTSTELLE</t>
  </si>
  <si>
    <t>DEV-115</t>
  </si>
  <si>
    <t>Programm ZCO_PLANUNGSSCHNITTSTELLE</t>
  </si>
  <si>
    <t>ZCO_PPLEIHZEITARBEIT</t>
  </si>
  <si>
    <t>Personalplanung Leih-/Zeitarbeit</t>
  </si>
  <si>
    <t>ZCO_PPPLAN</t>
  </si>
  <si>
    <t>ZCO_PPSAPDIFFERENZ</t>
  </si>
  <si>
    <t>Abzug Personalplanung für Differenzbildung</t>
  </si>
  <si>
    <t>ZCO_PROFICENTERANLAGE</t>
  </si>
  <si>
    <t>Anlage von Proficentern aus der Kostenstellenrechnung</t>
  </si>
  <si>
    <t>ZCO_PROFITCENTER</t>
  </si>
  <si>
    <t>Profitcenter und Profitcentergruppen</t>
  </si>
  <si>
    <t>ZCO_PRUEFUNG_STAMM_ORGA</t>
  </si>
  <si>
    <t>Programm ZCO_PRUEFUNG_STAMM_ORGA</t>
  </si>
  <si>
    <t>ZCO_RGGBS000</t>
  </si>
  <si>
    <t>ZCO Exit Routinen für Substitutionen: Belegsubstitutionen</t>
  </si>
  <si>
    <t>ZCO_SOLVENCY_PCR</t>
  </si>
  <si>
    <t>DEV-116</t>
  </si>
  <si>
    <t>Solvency II - Schnittstelle Profit-Center-Werte</t>
  </si>
  <si>
    <t>ZCO_VORSTEUERKORREKTUR</t>
  </si>
  <si>
    <t>DEV-117</t>
  </si>
  <si>
    <t>CO Vorsteuerkorrektur</t>
  </si>
  <si>
    <t>ZCO_ZEMAREP_KST_ABZUG</t>
  </si>
  <si>
    <t>DEV-159</t>
  </si>
  <si>
    <t>Programm ZCO_ZEMAREP_KST_ABZUG</t>
  </si>
  <si>
    <t>ZCOFI_VERTRAGSVERWALTUNG_ABZUG</t>
  </si>
  <si>
    <t>DEV-118</t>
  </si>
  <si>
    <t>Programm ZCOFI_VERTRAGSVERWALTUNG_ABZUG</t>
  </si>
  <si>
    <t>ZDELESDUS</t>
  </si>
  <si>
    <t>Löschen Benutzerdaten in Tabelle ESDUS</t>
  </si>
  <si>
    <t>ZDELESDUS_RENUM</t>
  </si>
  <si>
    <t>ZFA_GITT01</t>
  </si>
  <si>
    <t>Anlagengitter Sonderversion mit Verm.St.Kz</t>
  </si>
  <si>
    <t>ZFI_AANALYZE01</t>
  </si>
  <si>
    <t>Ermittlung fehlerhafter Kontierungsobjekte in FI/AA</t>
  </si>
  <si>
    <t>ZFI_ABZUG_ANLA</t>
  </si>
  <si>
    <t>DEV-001</t>
  </si>
  <si>
    <t>Abzug von Anlagenwerten und -bewegungen</t>
  </si>
  <si>
    <t>ZFI_ABZUG_DEBI</t>
  </si>
  <si>
    <t>Abzug von Debitoren-Stammdaten und -Salden</t>
  </si>
  <si>
    <t>ZFI_ABZUG_DEBKRED</t>
  </si>
  <si>
    <t>Abzug Debitoren und Kreditoren für MDM, S/4Hana</t>
  </si>
  <si>
    <t>ZFI_ABZUG_DEBREP</t>
  </si>
  <si>
    <t>Abzug Export-Tabelle Debitorenreporting</t>
  </si>
  <si>
    <t>ZFI_ABZUG_GLT3</t>
  </si>
  <si>
    <t>Abzug von Kontensalden aus GLT3</t>
  </si>
  <si>
    <t>ZFI_ABZUG_KRED</t>
  </si>
  <si>
    <t>Abzug von Kreditoren-Stammdaten und -Salden</t>
  </si>
  <si>
    <t>ZFI_ABZUG_SAKO</t>
  </si>
  <si>
    <t>Abzug von Sachkonten-Stammdaten und -Salden</t>
  </si>
  <si>
    <t>ZFI_ADAM_KONTENABSTIMMUNG</t>
  </si>
  <si>
    <t>ADAM KONTENABSTIMMUNG</t>
  </si>
  <si>
    <t>ZFI_AIRP01</t>
  </si>
  <si>
    <t>DEV-061</t>
  </si>
  <si>
    <t>Verbuchung AIRPLUS-Daten</t>
  </si>
  <si>
    <t>ZFI_AL_REBHIS_DEL</t>
  </si>
  <si>
    <t>DEV-119</t>
  </si>
  <si>
    <t>Archivelink Reorganisation - Erstellen Löschdatei</t>
  </si>
  <si>
    <t>ZFI_ANLA_AENDERN_INVKENNZ</t>
  </si>
  <si>
    <t>Änderung Anlagenstammsatz: Inventurkennzeichen</t>
  </si>
  <si>
    <t>ZFI_ANLAGENZUGANG_ATTACH</t>
  </si>
  <si>
    <t>Anhang von Ursrungsbeleg an Anlagenzugang umhängen</t>
  </si>
  <si>
    <t>ZFI_ANLAGENZUGANG_UPLOAD</t>
  </si>
  <si>
    <t>DEV-103</t>
  </si>
  <si>
    <t>Upload und Verbuchung Anlagenzugang-Daten</t>
  </si>
  <si>
    <t>ZFI_ANZ_REISE_PBS</t>
  </si>
  <si>
    <t>DEV-073</t>
  </si>
  <si>
    <t>Anzahl Reisen für interne Leistungsverrechnung</t>
  </si>
  <si>
    <t>ZFI_ARCHLINK_PARTNERBELEG</t>
  </si>
  <si>
    <t>DEV-083</t>
  </si>
  <si>
    <t>FI: Archiv_Link_Partnerbeleg: FI-Rechnungsdruck</t>
  </si>
  <si>
    <t>ZFI_ARCID_FIDOCS</t>
  </si>
  <si>
    <t>Verknüpfung FI Beleg zu Archiv-ID</t>
  </si>
  <si>
    <t>ZFI_ARFILES_DEL</t>
  </si>
  <si>
    <t>Archiv-Files löschen</t>
  </si>
  <si>
    <t>ZFI_AS91_GKS</t>
  </si>
  <si>
    <t>as91</t>
  </si>
  <si>
    <t>ZFI_AUSBUCHUNG_PROV_REPORT</t>
  </si>
  <si>
    <t>M. Demleitner</t>
  </si>
  <si>
    <t>Report Ausbuchungen für Provisionsrückforderungen</t>
  </si>
  <si>
    <t>ZFI_AUSL_BEL</t>
  </si>
  <si>
    <t>DEV-091</t>
  </si>
  <si>
    <t>FUA-Auslagen Belegerfassung</t>
  </si>
  <si>
    <t>ZFI_AUSL_BEL_HIST</t>
  </si>
  <si>
    <t>FUP-Auslagen Beleg-Historie</t>
  </si>
  <si>
    <t>ZFI_AUSL_LISTE</t>
  </si>
  <si>
    <t>DEV-120</t>
  </si>
  <si>
    <t>FUA-Auslagen Listen</t>
  </si>
  <si>
    <t>ZFI_AUSL_MENUE</t>
  </si>
  <si>
    <t>Menü FUA Auslagen</t>
  </si>
  <si>
    <t>ZFI_AUSUMS</t>
  </si>
  <si>
    <t>Elektronischer Kontoauszug: Modifikation Auszug.txt und Umsatz.txt</t>
  </si>
  <si>
    <t>ZFI_AUSW_BESTELL_RECH_FI_ACE</t>
  </si>
  <si>
    <t>FI: Liste Bestellungen / Rechnungen / FI-Beleg / ACE</t>
  </si>
  <si>
    <t>ZFI_AVIS_UPLOAD</t>
  </si>
  <si>
    <t>AVIS_UPLOAD - Erfassungshilfe zur Verbuchung von eingehenden Avisen</t>
  </si>
  <si>
    <t>ZFI_AVIS_WIEDERHOLUNG</t>
  </si>
  <si>
    <t>Zahlungsträger-Korrespondenz zum generischen Zahlungsträgerprogramm</t>
  </si>
  <si>
    <t>ZFI_AVIS01</t>
  </si>
  <si>
    <t>DEV-104</t>
  </si>
  <si>
    <t>Erstellen Datei für PORTA-Avise (Bukrs 1000)</t>
  </si>
  <si>
    <t>ZFI_AVM_AOBJD</t>
  </si>
  <si>
    <t>DEV-080</t>
  </si>
  <si>
    <t>Löschprogramm: ZFI_AVMBR_BKOPF</t>
  </si>
  <si>
    <t>ZFI_AVM_AOBJR</t>
  </si>
  <si>
    <t>Archivanzeige: ZFI_AVMBR_BKOPF</t>
  </si>
  <si>
    <t>ZFI_AVM_AOBJW</t>
  </si>
  <si>
    <t>Archiv-Schreibprogramm ... ZFI_AVMBR_BKOPF</t>
  </si>
  <si>
    <t>ZFI_AVM_UMBUCHUNG</t>
  </si>
  <si>
    <t>DEV-072</t>
  </si>
  <si>
    <t>AVM : BUKRS-übergreifende Umbuchung</t>
  </si>
  <si>
    <t>ZFI_AVM_UPLOAD_AUFNR_KFZ</t>
  </si>
  <si>
    <t>DEV-033</t>
  </si>
  <si>
    <t>Upload Excel (.xls) in Tabelle ZFI_AVM_AUFNRKFZ</t>
  </si>
  <si>
    <t>ZFI_AVM_VERSICHERUNG</t>
  </si>
  <si>
    <t>Umbuchung Zahlungseingänge für Versicherungsfälle Autovermietung</t>
  </si>
  <si>
    <t>ZFI_AVMBR01</t>
  </si>
  <si>
    <t>Datenübernahme vom AVM-BROKER-System</t>
  </si>
  <si>
    <t>ZFI_AVMBR02</t>
  </si>
  <si>
    <t>Aufbau Buchungen mit Daten vom AVM-BROKER-System</t>
  </si>
  <si>
    <t>ZFI_AVMBR04</t>
  </si>
  <si>
    <t>Zahlungsmitteilung aus SAP für AVM-BROKER-Vorgänge</t>
  </si>
  <si>
    <t>ZFI_AVMBROKER_ABSTIMM_SUPP</t>
  </si>
  <si>
    <t>Import-Schnittstelle DeltaMaster --&gt; SAP (Abstimmtool)</t>
  </si>
  <si>
    <t>ZFI_AVMBROKER_ABSTIMMUNG</t>
  </si>
  <si>
    <t>Export-Schnittstelle SAP --&gt; DeltaMaster (Abstimmtool)</t>
  </si>
  <si>
    <t>ZFI_BARCO_DEL</t>
  </si>
  <si>
    <t>DEV-064</t>
  </si>
  <si>
    <t>Barcodes löschen</t>
  </si>
  <si>
    <t>ZFI_BARCO_DISP</t>
  </si>
  <si>
    <t>Auflistung Barcode-Einträge</t>
  </si>
  <si>
    <t>ZFI_BARCO_ERF</t>
  </si>
  <si>
    <t>Barcode nachträglich anlegen</t>
  </si>
  <si>
    <t>ZFI_BARCO_ERFM</t>
  </si>
  <si>
    <t>ZFI_BARCO_LOE</t>
  </si>
  <si>
    <t>Barcodesätze löschen</t>
  </si>
  <si>
    <t>ZFI_BARCO_RUECK</t>
  </si>
  <si>
    <t>Barcode-Rückmeldungen entgegennehmen</t>
  </si>
  <si>
    <t>ZFI_BARCO_ZUO</t>
  </si>
  <si>
    <t>Verknüpfungstabellen zu Barcode erstellen</t>
  </si>
  <si>
    <t>ZFI_BAZFSB</t>
  </si>
  <si>
    <t>Abstimmsu.pr. für BAZ-Bänder von BLB Format DTAUSNEU für Schecksamm.bu</t>
  </si>
  <si>
    <t>ZFI_BE2000</t>
  </si>
  <si>
    <t>Kontierungsprogramm Bestand 2000</t>
  </si>
  <si>
    <t>ZFI_BE2000_MIG</t>
  </si>
  <si>
    <t>Kontierungsprogramm Bestand 2000, Migration ADAM 2.0</t>
  </si>
  <si>
    <t>ZFI_BELEGABR_ANZ</t>
  </si>
  <si>
    <t>Programm: ZFI_BELEGABR_ANZ - Anzeige der Belegstatistiktabelle</t>
  </si>
  <si>
    <t>ZFI_BELEGABR_ILV2</t>
  </si>
  <si>
    <t>Belegpostenermittlung ILV und Statistik</t>
  </si>
  <si>
    <t>ZFI_BELEGE_PG</t>
  </si>
  <si>
    <t>Programm ZFI_BELEGE_PG</t>
  </si>
  <si>
    <t>ZFI_BELEGVERFOLGUNG</t>
  </si>
  <si>
    <t>FI - Belegverfolgung Eingang - Zahlung</t>
  </si>
  <si>
    <t>ZFI_BELEGZEILEN_EXPORT_CSV</t>
  </si>
  <si>
    <t>Belegzeilen als CSV exportieren</t>
  </si>
  <si>
    <t>ZFI_BETEST</t>
  </si>
  <si>
    <t>ZFBE2000 aus der R/2 (nur als Hilfe)</t>
  </si>
  <si>
    <t>ZFI_BIC_ABGLEICH</t>
  </si>
  <si>
    <t>BIC Abgleich</t>
  </si>
  <si>
    <t>ZFI_BLBCUR</t>
  </si>
  <si>
    <t>Import Devisenkurse BLB</t>
  </si>
  <si>
    <t>ZFI_BSCARD</t>
  </si>
  <si>
    <t>DEV-081</t>
  </si>
  <si>
    <t>Verbuchung BS-CARD Kreditkarte ( EPA-Avis )</t>
  </si>
  <si>
    <t>ZFI_BSCARD_SETTLEMENT</t>
  </si>
  <si>
    <t>ZFI_BSCARD_TIMDATA</t>
  </si>
  <si>
    <t>B&amp;SCard: TIMDATA-Avis-Verarbeitung (EC)</t>
  </si>
  <si>
    <t>ZFI_BSCARD_UMBUCHUNG</t>
  </si>
  <si>
    <t>B+S EC- / Kreditkartenzahlungen Umbuchungen</t>
  </si>
  <si>
    <t>ZFI_BU_RUECKLASTSCHRIFT</t>
  </si>
  <si>
    <t>DEV-089</t>
  </si>
  <si>
    <t>Wiedereinbuchung Rücklastschriften</t>
  </si>
  <si>
    <t>ZFI_CCS_AUSWERT</t>
  </si>
  <si>
    <t>DEV-037</t>
  </si>
  <si>
    <t>Auswertung CCS Drucke</t>
  </si>
  <si>
    <t>ZFI_CCS_DRUCKE</t>
  </si>
  <si>
    <t>Ermittlung CCS Drucke</t>
  </si>
  <si>
    <t>ZFI_CHECK_IBAN2</t>
  </si>
  <si>
    <t>DEV-066</t>
  </si>
  <si>
    <t>FI: Diverse Prüfungen zur IBAN</t>
  </si>
  <si>
    <t>ZFI_COMPUTOP</t>
  </si>
  <si>
    <t>DEV-121</t>
  </si>
  <si>
    <t>Verbuchung COMPUTOP Kreditkarte ( Settlement-Avis )</t>
  </si>
  <si>
    <t>ZFI_COPY_TEXT_DATASET</t>
  </si>
  <si>
    <t>Kopieren Dataset im Text-Modus</t>
  </si>
  <si>
    <t>ZFI_CTR_ZBEL01</t>
  </si>
  <si>
    <t>Auflistung debitorischer / kreditorischer Auszahlungsbelege</t>
  </si>
  <si>
    <t>ZFI_CTR_ZBEL02</t>
  </si>
  <si>
    <t>Sachkontenbelegliste zur Auszahlungskontrolle</t>
  </si>
  <si>
    <t>ZFI_CUR_REORG</t>
  </si>
  <si>
    <t>ZFI_DATENABZUG_VITA</t>
  </si>
  <si>
    <t>Abzug Tabellen für Vita-Migration R2 (BuKrs 6100)</t>
  </si>
  <si>
    <t>ZFI_DATEV_EXP</t>
  </si>
  <si>
    <t>DATEV-Export-Schnittstelle - Buchungsstapel</t>
  </si>
  <si>
    <t>ZFI_DATEV_IMP</t>
  </si>
  <si>
    <t>DATEV: Schnittstelle zur Verbuchung DATEV-Buchungsstapel</t>
  </si>
  <si>
    <t>ZFI_DATEV_RK</t>
  </si>
  <si>
    <t>FI: Datev Reisekostenschnittstelle</t>
  </si>
  <si>
    <t>ZFI_DATEV01</t>
  </si>
  <si>
    <t>Datev-Schnittstelle</t>
  </si>
  <si>
    <t>ZFI_DEB_BKORM</t>
  </si>
  <si>
    <t>Erstellen  Zahlungsanforderungen Debitoren für Rechnungen/Gutschriften</t>
  </si>
  <si>
    <t>ZFI_DEB_REABT</t>
  </si>
  <si>
    <t>Stammsatz und Postenänderung bei Figl-Schreiben</t>
  </si>
  <si>
    <t>ZFI_DEB_ZAHLLAUF_ZUFALL</t>
  </si>
  <si>
    <t>Prüfliste Zahllauf - Zufallsauswertung</t>
  </si>
  <si>
    <t>ZFI_DEBI_EPGGKTO</t>
  </si>
  <si>
    <t>Debitoren Summen nach Gegenkonto</t>
  </si>
  <si>
    <t>ZFI_DEBI_POSZAHLWEG</t>
  </si>
  <si>
    <t>Auswertung OP Debitoren mit unterschiedlichen Postenzahlwegen</t>
  </si>
  <si>
    <t>ZFI_DEBITOR_EINZELPOSTEN_AKT</t>
  </si>
  <si>
    <t>Debitorenposten mit Aktenzeichen in NAME4</t>
  </si>
  <si>
    <t>ZFI_DEBREP_ANZMAHN</t>
  </si>
  <si>
    <t>Debitorenreporting: Ermittlung Anzahl Mahnungen</t>
  </si>
  <si>
    <t>ZFI_DEBREP_AUSBUCH</t>
  </si>
  <si>
    <t>Debitorenreporting: Ausbuchungen Debitoren</t>
  </si>
  <si>
    <t>ZFI_DEBREP_BELPOS</t>
  </si>
  <si>
    <t>Debitorenreporting: Ermittlung Belegposten maschinell / manuell</t>
  </si>
  <si>
    <t>ZFI_DEBREP_UMSATZ</t>
  </si>
  <si>
    <t>Debitorenreporting: Umsatz Debitoren</t>
  </si>
  <si>
    <t>ZFI_DEL_INKO_COCKPI2</t>
  </si>
  <si>
    <t>Löschen Tabelle ZFI_INKO_COCKPI2</t>
  </si>
  <si>
    <t>ZFI_DEL_LOEVM_DEB_KRED</t>
  </si>
  <si>
    <t>Löschvormerkung Stammdaten entfernen</t>
  </si>
  <si>
    <t>ZFI_DELETE_DUNNING_RUN</t>
  </si>
  <si>
    <t>Mahnlauf löschen</t>
  </si>
  <si>
    <t>ZFI_DOCATTACH_COPY</t>
  </si>
  <si>
    <t>Anhänge zwischen Belegen kopieren (eigentlich Welle 1)</t>
  </si>
  <si>
    <t>ZFI_DOCATTACH_REPORT</t>
  </si>
  <si>
    <t>Auswertung Belege mit Anhang</t>
  </si>
  <si>
    <t>ZFI_DOPO40</t>
  </si>
  <si>
    <t>Gesperrte Debitoren nach Stationen LRG</t>
  </si>
  <si>
    <t>ZFI_DRUCK_CONTAINER</t>
  </si>
  <si>
    <t>Druckcontainer für Standardformulardruck</t>
  </si>
  <si>
    <t>ZFI_DSS34BDSG</t>
  </si>
  <si>
    <t>DEV-082</t>
  </si>
  <si>
    <t>DATENSCHUTZ-GRUNDVERORDNUNG (DSGVO)</t>
  </si>
  <si>
    <t>ZFI_ELFE03</t>
  </si>
  <si>
    <t>DEV-067</t>
  </si>
  <si>
    <t>Elfe Kostenstellenbericht</t>
  </si>
  <si>
    <t>ZFI_ELMO02</t>
  </si>
  <si>
    <t>Verarbeitung ELMO-Rechnungen</t>
  </si>
  <si>
    <t>ZFI_ELMO03</t>
  </si>
  <si>
    <t>Monatlicher Kostenstellenbericht ELMO</t>
  </si>
  <si>
    <t>ZFI_ELSY_SCHNITTSTELLE</t>
  </si>
  <si>
    <t>Überführung Inhouse-Daten der Telefonrechnungen (ELSY)</t>
  </si>
  <si>
    <t>ZFI_EPOK30</t>
  </si>
  <si>
    <t>Kontroll-Liste Reisekosten AirPlus</t>
  </si>
  <si>
    <t>ZFI_ERGSL</t>
  </si>
  <si>
    <t>DEV-087</t>
  </si>
  <si>
    <t>ZFI_ETIS02</t>
  </si>
  <si>
    <t>Überführung Inhouse-Daten der Telefonrechnungen (ELFE)</t>
  </si>
  <si>
    <t>ZFI_ETM_REFERENZKORREKTUR</t>
  </si>
  <si>
    <t>Programm ZFI_ETM_REFERENZKORREKTUR</t>
  </si>
  <si>
    <t>ZFI_ETM_UMBUCHUNG_KASSE</t>
  </si>
  <si>
    <t>DEV-063</t>
  </si>
  <si>
    <t>x</t>
  </si>
  <si>
    <t>Umbuchung Kassenbuchung für Ersatzteilmanagement</t>
  </si>
  <si>
    <t>ZFI_ETM_ZAHLARTEN</t>
  </si>
  <si>
    <t>Ermitteln Zahlarten unterschiedlich zu Verkauf Kasse</t>
  </si>
  <si>
    <t>ZFI_EVER_EXPORT_STAMM</t>
  </si>
  <si>
    <t>Export Ever-Stammdaten (Bukrs, Konten, Kst, IA)</t>
  </si>
  <si>
    <t>ZFI_EVER_IMPORT_VORGANG</t>
  </si>
  <si>
    <t>Import Ever-Vorgänge</t>
  </si>
  <si>
    <t>ZFI_EXCEL_UPLOAD</t>
  </si>
  <si>
    <t>SAP-Tabelle laden mit Daten einer CSV-Datei</t>
  </si>
  <si>
    <t>ZFI_EXPORT_WP</t>
  </si>
  <si>
    <t>Datenexport  aus SAP für Prüfungszwecke</t>
  </si>
  <si>
    <t>ZFI_EXSCH1</t>
  </si>
  <si>
    <t>Verarbeitung externer Schnittstellen -&gt; Standardschnittstelle</t>
  </si>
  <si>
    <t>ZFI_F_03_KONTEN_UEBERGREIFEND</t>
  </si>
  <si>
    <t>DEV-065</t>
  </si>
  <si>
    <t>Kontenübergreifendes Ausziffern</t>
  </si>
  <si>
    <t>ZFI_F110_DTA</t>
  </si>
  <si>
    <t>SEPA - SAP-FI - DTA-Übersichtsliste</t>
  </si>
  <si>
    <t>DEV-139</t>
  </si>
  <si>
    <t>ZFI_FAHR00</t>
  </si>
  <si>
    <t>Aktivierung Fahrzeugsausrüstung (PAN) Kto 99100</t>
  </si>
  <si>
    <t>ZFI_FELDSTATUS_AUSWERTUNG</t>
  </si>
  <si>
    <t>Auswertung Feldstatus ADAC</t>
  </si>
  <si>
    <t>ZFI_FILE_FOR_ABSTIMMTOOL</t>
  </si>
  <si>
    <t>Datei für Abstimmtool erzeugen</t>
  </si>
  <si>
    <t>ZFI_FK02_AVIS</t>
  </si>
  <si>
    <t>DEV-122</t>
  </si>
  <si>
    <t>Aktualisieren AVIS-Info PORTA-Partner mit FK02</t>
  </si>
  <si>
    <t>ZFI_FORMAT_SAM</t>
  </si>
  <si>
    <t>DEV-151</t>
  </si>
  <si>
    <t>Interface SAP --&gt; FORMAT Sanktionsmonitor</t>
  </si>
  <si>
    <t>ZFI_FW_SELVAR</t>
  </si>
  <si>
    <t>DEV-092</t>
  </si>
  <si>
    <t>Selektionsvariablen für Fremdwährungsbewertung</t>
  </si>
  <si>
    <t>ZFI_GAUABR</t>
  </si>
  <si>
    <t>Monatsabrechnung an die Regionalclubs</t>
  </si>
  <si>
    <t>ZFI_GLT3_AUSWERTUNG</t>
  </si>
  <si>
    <t>Intercompany-Abstimmung und IDL-Ausgabe GLT3</t>
  </si>
  <si>
    <t>ZFI_GLT3_DELETE</t>
  </si>
  <si>
    <t>Löschen von Einträge Tabelle GLT3 (Konsolidierungsvorbereitungsledger)</t>
  </si>
  <si>
    <t>ZFI_HEORE1</t>
  </si>
  <si>
    <t>Schnittstelle ORESSA  ----&gt;  SAP</t>
  </si>
  <si>
    <t>ZFI_HEPRIS</t>
  </si>
  <si>
    <t>Schnittstelle Prisma-Provisionsabrechnung</t>
  </si>
  <si>
    <t>ZFI_HEPRIS_R3</t>
  </si>
  <si>
    <t>ZFI_HFP057</t>
  </si>
  <si>
    <t>DEV-069</t>
  </si>
  <si>
    <t>Zahlungseingangsverarbeitung Luftrettungseinsätze</t>
  </si>
  <si>
    <t>ZFI_INKASSO</t>
  </si>
  <si>
    <t>DEV-040</t>
  </si>
  <si>
    <t>Inkasso-Abschlüsse</t>
  </si>
  <si>
    <t>ZFI_INKASSO_EOS</t>
  </si>
  <si>
    <t>DEV-038</t>
  </si>
  <si>
    <t>ZFI_INKO_COCKPIT</t>
  </si>
  <si>
    <t>Pflege Inkasso Zwischentabelle</t>
  </si>
  <si>
    <t>ZFI_INKO_COCKPIT_KORREKTUR</t>
  </si>
  <si>
    <t>Korrektur derTabelle ZFI_INKO_COCKPIT</t>
  </si>
  <si>
    <t>ZFI_INKO_ZAHLUNG</t>
  </si>
  <si>
    <t>DEV-039</t>
  </si>
  <si>
    <t>zfi_inko_zahlung</t>
  </si>
  <si>
    <t>ZFI_INKO_ZAHLUNG_EOS</t>
  </si>
  <si>
    <t>Zahlung EOS</t>
  </si>
  <si>
    <t>ZFI_INKO00</t>
  </si>
  <si>
    <t>DEV-041</t>
  </si>
  <si>
    <t>Übergabe Inkassounternehmen - Mahndaten säumiger Zahler</t>
  </si>
  <si>
    <t>ZFI_INKO00_EOS</t>
  </si>
  <si>
    <t>EOS : Übergabe mit neuer Struktur</t>
  </si>
  <si>
    <t>ZFI_INKO03</t>
  </si>
  <si>
    <t>Rückmeldeverarbeitung der Aktenzeichen</t>
  </si>
  <si>
    <t>ZFI_INKO03_EOS</t>
  </si>
  <si>
    <t>Rückmeldeverarbeitung der Inkassonummer</t>
  </si>
  <si>
    <t>ZFI_INKO04</t>
  </si>
  <si>
    <t>BI: Rückmeldung Aktenzeichen: Update Debitoren Stammsatz</t>
  </si>
  <si>
    <t>ZFI_INKO04_EOS</t>
  </si>
  <si>
    <t>ZFI_INKO05</t>
  </si>
  <si>
    <t>BI: belegen Segmenttext mit Aktenkennzeichen</t>
  </si>
  <si>
    <t>ZFI_INKO05_EOS</t>
  </si>
  <si>
    <t>ZFI_INTCOMP_VERDICHT</t>
  </si>
  <si>
    <t>Intercompany Einzelposten</t>
  </si>
  <si>
    <t>ZFI_IVAN_AI_DUPL</t>
  </si>
  <si>
    <t>zfi_ivan_a und i duplizieren</t>
  </si>
  <si>
    <t>ZFI_IVAN_TABCHECK</t>
  </si>
  <si>
    <t>IVAN Tabellenprüfung</t>
  </si>
  <si>
    <t>ZFI_IVAN_UMB</t>
  </si>
  <si>
    <t>offen</t>
  </si>
  <si>
    <t>IVAN Umbuchungsreport für Gaue</t>
  </si>
  <si>
    <t>ZFI_IVAN00</t>
  </si>
  <si>
    <t>IVAN-Versorgung</t>
  </si>
  <si>
    <t>ZFI_KABU01</t>
  </si>
  <si>
    <t>KABUCO Abrechnung der Büromaterialbestellung</t>
  </si>
  <si>
    <t>ZFI_KONSOLID01</t>
  </si>
  <si>
    <t>Umschlüsselung für MIS-ZEUS</t>
  </si>
  <si>
    <t>ZFI_KRED_EPGGKTO</t>
  </si>
  <si>
    <t>DEV-062</t>
  </si>
  <si>
    <t>Kreditoren Summen nach Gegenkonto</t>
  </si>
  <si>
    <t>ZFI_KUNREGV</t>
  </si>
  <si>
    <t>Kundenregulierungsverhalten</t>
  </si>
  <si>
    <t>ZFI_LAEX01</t>
  </si>
  <si>
    <t>Erstellen  ZE-Datei für LAVA</t>
  </si>
  <si>
    <t>ZFI_LAGSTA</t>
  </si>
  <si>
    <t>ZFLAGSTA - Lager-Umschlagshäufigkeit bezogen auf 1 Jahr</t>
  </si>
  <si>
    <t>ZFI_LAVA_INKASSO</t>
  </si>
  <si>
    <t>DEV-149</t>
  </si>
  <si>
    <t>Programm ZFI_LAVA_INKASSO</t>
  </si>
  <si>
    <t>ZFI_LAVA_RUECK</t>
  </si>
  <si>
    <t>ja</t>
  </si>
  <si>
    <t>Rückläufer-Meldung an LAVA</t>
  </si>
  <si>
    <t>ZFI_LAVA01</t>
  </si>
  <si>
    <t>LAVA-Schnittstelle-Kontierungsprogramm</t>
  </si>
  <si>
    <t>ZFI_LIDE_DOP</t>
  </si>
  <si>
    <t>FI: Doublettenprüfung Kreditoren/Debitoren</t>
  </si>
  <si>
    <t>ZFI_LIQUI_ARCHIV</t>
  </si>
  <si>
    <t>DEV-135</t>
  </si>
  <si>
    <t>Valutarische Summen Belegen für Liqui - mit Archivanbindung</t>
  </si>
  <si>
    <t>ZFI_LIQUI_ARCHIV_KONTEN</t>
  </si>
  <si>
    <t>Nachträglicher Aufbau von neu hinzugekommen Konten mit Archiv</t>
  </si>
  <si>
    <t>ZFI_LIQUI_MANUELL_UPDATE</t>
  </si>
  <si>
    <t>Updaten der Einträge für aktuellen Monat in Tabelle ZFI_L_Manuel_v</t>
  </si>
  <si>
    <t>ZFI_LIQUI_PERFIRMA</t>
  </si>
  <si>
    <t>Liquidität Gesamt: Auswertung Valutarisch je Firma</t>
  </si>
  <si>
    <t>ZFI_LIQUI_VALUTA_SUMMEN</t>
  </si>
  <si>
    <t>Ermittlung Valutarischer Summen aus Beleg-Positionen</t>
  </si>
  <si>
    <t>ZFI_LIQUI_VALUTA_SUMMEN_AUFBAU</t>
  </si>
  <si>
    <t>Nachträglicher Aufbau von neu hinzugekommen Konten</t>
  </si>
  <si>
    <t>ZFI_LIQUIDITAET</t>
  </si>
  <si>
    <t>Berichtswesen Disposition - Liquidität Gesamt</t>
  </si>
  <si>
    <t>ZFI_LIQUIDITAET_VALUTA_BELEGE</t>
  </si>
  <si>
    <t>Liquidität Gesamt: Auswertung Valutarisch</t>
  </si>
  <si>
    <t>ZFI_LOGA_REISEKOSTEN</t>
  </si>
  <si>
    <t>Schnittstelle Reisekostenabrechnung - LOGA</t>
  </si>
  <si>
    <t>ZFI_LOGA_STAMMDATEN</t>
  </si>
  <si>
    <t>Anlage bzw. Pflege Kreditoren-Stammsätze aus LOGA</t>
  </si>
  <si>
    <t>ZFI_LOGA01</t>
  </si>
  <si>
    <t>LOGA: Schnittstelle zur Verbuchung Gehalt und MA-Darlehen</t>
  </si>
  <si>
    <t>ZFI_LRG_ANZ1</t>
  </si>
  <si>
    <t>Monatliche Liste der geleisteten Anzahlungen nach Stationen</t>
  </si>
  <si>
    <t>ZFI_LZBKZ</t>
  </si>
  <si>
    <t>Erweiterung Debitoren-/Kreditoren-Stammdaten um Subscreen für LZBKZ</t>
  </si>
  <si>
    <t>ZFI_LZBKZ_BELEGE_CHECK</t>
  </si>
  <si>
    <t>DEV-071</t>
  </si>
  <si>
    <t>AWV-Meldung: Ermittlung fehlende LZB-Kennzeichen in FI-Belegen</t>
  </si>
  <si>
    <t>ZFI_MAHNABR_ILV</t>
  </si>
  <si>
    <t>Ermittlung Anzahl Mahnungen für Interne Leistungsverrechnung</t>
  </si>
  <si>
    <t>ZFI_MAHNHIST_ALV</t>
  </si>
  <si>
    <t>Mahnhistorie</t>
  </si>
  <si>
    <t>ZFI_MAHNRHYTHMUS</t>
  </si>
  <si>
    <t>Mahnsperrenpflege mit Steuerung über Tabelle ZFI_MAHNRHYTHMUS</t>
  </si>
  <si>
    <t>ZFI_MAHNS_LOESCH</t>
  </si>
  <si>
    <t>DEV-034</t>
  </si>
  <si>
    <t>ZFI_MAHNS_LOESCH2</t>
  </si>
  <si>
    <t>Löschen Mahnstopp</t>
  </si>
  <si>
    <t>ZFI_MAHNS_MAHNV</t>
  </si>
  <si>
    <t>Löschen Mahnsperreinträge (MAHNS)  / Mahnstatuspflege (MAHNV)</t>
  </si>
  <si>
    <t>ZFI_MAHNSTAPEL</t>
  </si>
  <si>
    <t>Bildung Mahnstapel in Mahnlauf</t>
  </si>
  <si>
    <t>ZFI_MAHNSTATISTIK</t>
  </si>
  <si>
    <t>Pflege-Protokoll ZFI_MAHNSTATISTIK</t>
  </si>
  <si>
    <t>ZFI_MAHNSTOPP</t>
  </si>
  <si>
    <t>Pflege Mahnstopp</t>
  </si>
  <si>
    <t>ZFI_MAHNSTOPP_ABZUG</t>
  </si>
  <si>
    <t>Datenabzug Mahnstopp</t>
  </si>
  <si>
    <t>ZFI_MAHNSTOPP_SETZEN</t>
  </si>
  <si>
    <t>ZFI_MAHNSTOPP2</t>
  </si>
  <si>
    <t>ZFI_MAHNVORSCHLAG</t>
  </si>
  <si>
    <t>DEV-035</t>
  </si>
  <si>
    <t>Mahnvorschlag: Ausnahmefälle</t>
  </si>
  <si>
    <t>ZFI_MASSENAENDERUNG_VERTDAT</t>
  </si>
  <si>
    <t>Massenänderung Vertragsdatum</t>
  </si>
  <si>
    <t>ZFI_MAUS10</t>
  </si>
  <si>
    <t>Offene Posten mit Langtext</t>
  </si>
  <si>
    <t>ZFI_MONATSABSCHLUSS_UPLOAD</t>
  </si>
  <si>
    <t>Upload und Verbuchung Monatsabschluß-Daten</t>
  </si>
  <si>
    <t>ZFI_NEUBAU_ANLAGENLIST</t>
  </si>
  <si>
    <t>Neubau Anlagenliste</t>
  </si>
  <si>
    <t>ZFI_NEUBAU_ANLIST_GJ</t>
  </si>
  <si>
    <t>Neubau Anlagenliste mehrere Geschäftsjahre</t>
  </si>
  <si>
    <t>ZFI_NR_STAND_KOPIEREN</t>
  </si>
  <si>
    <t>Programm ZFI_NR_STAND_KOPIEREN</t>
  </si>
  <si>
    <t>ZFI_PAYMENT_AVIS</t>
  </si>
  <si>
    <t>DEV-012</t>
  </si>
  <si>
    <t>Zahlungsavissteuerung (Das ist eine Tabelle)</t>
  </si>
  <si>
    <t>ZFI_PAYPAL</t>
  </si>
  <si>
    <t>DEV-124</t>
  </si>
  <si>
    <t>Verbuchung PayPal Zahlungen</t>
  </si>
  <si>
    <t>ZFI_PDF_REISEKOSTEN</t>
  </si>
  <si>
    <t>DEV-088</t>
  </si>
  <si>
    <t>Ehrenamt : Reisekosten und Vergütung</t>
  </si>
  <si>
    <t>ZFI_PERBIT</t>
  </si>
  <si>
    <t>FI: Schnittstelle nach Perbit (Verwaltung Leih- und Zeitarbeiter)</t>
  </si>
  <si>
    <t>ZFI_PHONE_ABRECHNUNG</t>
  </si>
  <si>
    <t>Telefonabrechnung</t>
  </si>
  <si>
    <t>ZFI_PLZORT</t>
  </si>
  <si>
    <t>Unterprogramm zur Korrektur Postleitzahl/Ort</t>
  </si>
  <si>
    <t>ZFI_PORTA_01</t>
  </si>
  <si>
    <t>Bereitstellen PARIS-Daten für Avis-Abfrage</t>
  </si>
  <si>
    <t>ZFI_PRINT_INVOICE</t>
  </si>
  <si>
    <t>Programm ZFI_PRINT_INVOICE</t>
  </si>
  <si>
    <t>ZFI_PRISMA_AGW</t>
  </si>
  <si>
    <t>Prisma Agentur Werbeprovision Schnittstelle</t>
  </si>
  <si>
    <t>ZFI_RAPS_ABSTIMMUNG</t>
  </si>
  <si>
    <t>SAP RAPS: Datenbereitstellung für Abstimmdreieck</t>
  </si>
  <si>
    <t>ZFI_RAPS01</t>
  </si>
  <si>
    <t>RAPS: Provisionsschnittstelle</t>
  </si>
  <si>
    <t>ZFI_RATE01</t>
  </si>
  <si>
    <t>Forderungsumbuchung bei Ratenzahlern</t>
  </si>
  <si>
    <t>ZFI_RATEN_RUECK01</t>
  </si>
  <si>
    <t>ZFI_RATEN_RUECKMELDUNG</t>
  </si>
  <si>
    <t>ZFI_RATEN_UEBERGABE</t>
  </si>
  <si>
    <t>ZFI_RATENZINS</t>
  </si>
  <si>
    <t>Ermittlung und Verbuchung Ratenzins</t>
  </si>
  <si>
    <t>ZFI_RATENZINS_DRUCKPGM</t>
  </si>
  <si>
    <t>Druckprogramm für ZFI_RATENZINS</t>
  </si>
  <si>
    <t>ZFI_REB_CHECK</t>
  </si>
  <si>
    <t>REB: Vorgangserinnerung und Überfälligkeitsliste</t>
  </si>
  <si>
    <t>ZFI_REB_DISPIMAGE</t>
  </si>
  <si>
    <t>Anzeige EVER-Eingangsrechnungen</t>
  </si>
  <si>
    <t>ZFI_REB_P_ARCH_PROC_SHEETS</t>
  </si>
  <si>
    <t>Archivierung ProzessSheets</t>
  </si>
  <si>
    <t>ZFI_REB_P_ARCHIVE_LEDGER</t>
  </si>
  <si>
    <t>Archivierung von Belegen des Rechnungseingangsbuches</t>
  </si>
  <si>
    <t>ZFI_REB_P_ARCHIVE_LEDGER_DEL</t>
  </si>
  <si>
    <t>ZFI_REB_P_ARCHIVE_SHEETS</t>
  </si>
  <si>
    <t>Job zum Archivieren der Freigabesheets</t>
  </si>
  <si>
    <t>ZFI_REB_P_CHANGE_DEVCL</t>
  </si>
  <si>
    <t>Programm /SER/CHANGE_DEVCLASS</t>
  </si>
  <si>
    <t>ZFI_REB_P_CONNECTION_REB</t>
  </si>
  <si>
    <t>Job zur Nachbearbeitung Verknüpfungen REB-Einträge</t>
  </si>
  <si>
    <t>ZFI_REB_P_DOC_CHECK</t>
  </si>
  <si>
    <t>Lücken in der Belegnummernvergabe - Rechnungseingangsbuch</t>
  </si>
  <si>
    <t>ZFI_REB_P_DOC_CHECK2</t>
  </si>
  <si>
    <t>Lücken in der Belegnummernvergabe</t>
  </si>
  <si>
    <t>ZFI_REB_P_LEDGER</t>
  </si>
  <si>
    <t>InvoiceMaster Control</t>
  </si>
  <si>
    <t>ZFI_REB_P_LEDGER_CALL</t>
  </si>
  <si>
    <t>Programm ZFI_REB_P_LEDGER_CALL</t>
  </si>
  <si>
    <t>ZFI_REB_P_UPDATE_ZAHLLAUF</t>
  </si>
  <si>
    <t>Job für Update Daten nach Zahllauf</t>
  </si>
  <si>
    <t>ZFI_REBHIS_ARCHCHECK</t>
  </si>
  <si>
    <t>zu archivierende Vorgänge ermitteln</t>
  </si>
  <si>
    <t>ZFI_RECHNUNG_WUERTH</t>
  </si>
  <si>
    <t>V. Niemann</t>
  </si>
  <si>
    <t>FI: zfi_rechnung_würth erstellen Schnittstellen</t>
  </si>
  <si>
    <t>ZFI_REGZAHL</t>
  </si>
  <si>
    <t>DEV-032</t>
  </si>
  <si>
    <t>Regresse: Täglicher Lauf: Zahlungen umbuchen</t>
  </si>
  <si>
    <t>ZFI_RFAWVZ40_OHNE_LZBKZ</t>
  </si>
  <si>
    <t>Meldungen AWV Z4 - LZB-Kennzeichen fehlt!!!</t>
  </si>
  <si>
    <t>ZFI_RFBABL00</t>
  </si>
  <si>
    <t>Änderungsanzeige Belege</t>
  </si>
  <si>
    <t>ZFI_RFBILA00</t>
  </si>
  <si>
    <t>Bilanz/GuV</t>
  </si>
  <si>
    <t>ZFI_RFCASH20</t>
  </si>
  <si>
    <t>Kassenbuchjournal - ALV-Grid</t>
  </si>
  <si>
    <t>ZFI_RFDABL00</t>
  </si>
  <si>
    <t>Änderungsanzeige Debitoren</t>
  </si>
  <si>
    <t>ZFI_RFDABL00_ALT</t>
  </si>
  <si>
    <t>Änderungsanzeige Debitoren  ## Alt ##</t>
  </si>
  <si>
    <t>ZFI_RFKABL00</t>
  </si>
  <si>
    <t>DEV-075</t>
  </si>
  <si>
    <t>Änderungsanzeige Kreditoren</t>
  </si>
  <si>
    <t>ZFI_RFSEPA02</t>
  </si>
  <si>
    <t>Aufbau der Verwaltung offener Posten nach Stammsatzänderung</t>
  </si>
  <si>
    <t>ZFI_RSTTAB</t>
  </si>
  <si>
    <t>Ermittlung Rückstellungstableau</t>
  </si>
  <si>
    <t>ZFI_SAKO_IMMO</t>
  </si>
  <si>
    <t>DEV-125</t>
  </si>
  <si>
    <t>Anzeige Sachkonten Einzelposten mit Immobilienobjekten WE und NKSCHL</t>
  </si>
  <si>
    <t>ZFI_SALDEN_CLUBS</t>
  </si>
  <si>
    <t>Saldenliste Clubs DEBITOREN-REPORT</t>
  </si>
  <si>
    <t>ZFI_SALDEN_GLT0_TO_GLT3</t>
  </si>
  <si>
    <t>Übernahme Saldovortrag aus GLT0 in GLT3 (Konsolid.vorbereitungsledger)</t>
  </si>
  <si>
    <t>ZFI_SALDEN_MITBUCHKONTO</t>
  </si>
  <si>
    <t>FI: Saldenliste Mitbuchkonto</t>
  </si>
  <si>
    <t>ZFI_SAM_VBR_LISTE</t>
  </si>
  <si>
    <t>DEV-076</t>
  </si>
  <si>
    <t>Sanktionsprüfung: Auswertung für Versicherungen (VBR)</t>
  </si>
  <si>
    <t>ZFI_SAPF150D2</t>
  </si>
  <si>
    <t>FI Mahnen - Druckprogramm</t>
  </si>
  <si>
    <t>ZFI_SAPF150D2_OLD</t>
  </si>
  <si>
    <t>ZFI_SCHECKDB</t>
  </si>
  <si>
    <t>DEV-136</t>
  </si>
  <si>
    <t>FI: Anzeigeprogramm ScheckDB</t>
  </si>
  <si>
    <t>ZFI_SD_UM</t>
  </si>
  <si>
    <t>DEV-126</t>
  </si>
  <si>
    <t>Umbuchungen von Erlösbuchungen</t>
  </si>
  <si>
    <t>ZFI_SEPA_MIG_IBAN</t>
  </si>
  <si>
    <t>SEPA-Migration: Anlage von IBAN's</t>
  </si>
  <si>
    <t>ZFI_SEPA_PRENOTE</t>
  </si>
  <si>
    <t>SEPA: Prenotification erzeugen (Lastschriftankündigung)</t>
  </si>
  <si>
    <t>ZFI_SEPA_Prenote_incl</t>
  </si>
  <si>
    <t>ZFI_SGSS_EXPORT</t>
  </si>
  <si>
    <t>DEV-127</t>
  </si>
  <si>
    <t>SGSS-Export-Schnittstelle</t>
  </si>
  <si>
    <t>ZFI_SGSS_IMPORT</t>
  </si>
  <si>
    <t>SGSS-Import-Schnittstelle</t>
  </si>
  <si>
    <t>ZFI_SOLVENCY_BIL</t>
  </si>
  <si>
    <t>Solvency II - Schnittstelle Bilanzwerte</t>
  </si>
  <si>
    <t>ZFI_SPIDER_BESTELLNR_GET_FI</t>
  </si>
  <si>
    <t>DEV-128</t>
  </si>
  <si>
    <t>FI-Belege aus Bestellnummern von SPIDER lesen</t>
  </si>
  <si>
    <t>ZFI_SPIDER_DOCID_GET_FI</t>
  </si>
  <si>
    <t>DOC_ID zu Spider FI-Belegen</t>
  </si>
  <si>
    <t>ZFI_SPOOL_PDF</t>
  </si>
  <si>
    <t>Ablage von Spoollisten in PDF-Format</t>
  </si>
  <si>
    <t>ZFI_SPOOL_UPDATE</t>
  </si>
  <si>
    <t>Update von Spool-Datasets</t>
  </si>
  <si>
    <t>ZFI_SS_BEGRU</t>
  </si>
  <si>
    <t>DEV-147</t>
  </si>
  <si>
    <t>Rücknahme der Berechtigungsgruppe im Stammsatz (Datenschutz)</t>
  </si>
  <si>
    <t>ZFI_SS_CONVERT_KUNNR</t>
  </si>
  <si>
    <t>Konvertierung der Debitorennummer im Feld KUNNR</t>
  </si>
  <si>
    <t>ZFI_SS_FB01</t>
  </si>
  <si>
    <t>Standardschnittstelle für Belegerfassung und Stammsatzpflege</t>
  </si>
  <si>
    <t>ZFI_SS_FB0100</t>
  </si>
  <si>
    <t>ZFI_SS_FB0101</t>
  </si>
  <si>
    <t>Batch-Input Standardschnittstelle FB01</t>
  </si>
  <si>
    <t>ZFI_SS_FB01P2</t>
  </si>
  <si>
    <t>Standardschnittstelle: Auswertung Protokolltabelle ZFI_SS11</t>
  </si>
  <si>
    <t>ZFI_SS_FB01P3</t>
  </si>
  <si>
    <t>Standardschnittstelle Mappenstatus setzen in ZFI_SS11</t>
  </si>
  <si>
    <t>ZFI_SS_FB01PT</t>
  </si>
  <si>
    <t>Standardschnittstelle Ermittlung der gebuchten Belegsummen</t>
  </si>
  <si>
    <t>ZFI_SS_FX01</t>
  </si>
  <si>
    <t>Standardschnittstelle für Stammsatzpflege aus CSV-Datei</t>
  </si>
  <si>
    <t>ZFI_SS_SEPAMAND</t>
  </si>
  <si>
    <t>Pflege von Mandatsdaten</t>
  </si>
  <si>
    <t>ZFI_SS_TSFBLO</t>
  </si>
  <si>
    <t>Standardschnittstelle Löschen Einträge in Protokolltabellen</t>
  </si>
  <si>
    <t>ZFI_SS_TSXX00</t>
  </si>
  <si>
    <t>Standardschnittstelle Stammsatzanlage Konvertierung ins interne Format</t>
  </si>
  <si>
    <t>ZFI_SS_TSXX01</t>
  </si>
  <si>
    <t>Standardschnittstelle Stammsatzanlage Mappenerstellung</t>
  </si>
  <si>
    <t>ZFI_STEUER_ANL_VIEW</t>
  </si>
  <si>
    <t>FI: Auswertung steuerrelevante Änderungen Anlagen</t>
  </si>
  <si>
    <t>ZFI_SWA_LIEF_GUT</t>
  </si>
  <si>
    <t>FI: Ersatzteilservice/Batterieservice - Gutschriftsanzeige</t>
  </si>
  <si>
    <t>ZFI_SWA_LIEF_RUECK</t>
  </si>
  <si>
    <t>FI: SWA Lieferanten Rückmeldung Verarbeiten</t>
  </si>
  <si>
    <t>ZFI_SYNC_STAMMDATEN</t>
  </si>
  <si>
    <t>Stammdaten synchronisieren (FDGRV,BEGRU,MASAB,BUSAB,LZBKZ,WBRSL)</t>
  </si>
  <si>
    <t>ZFI_T27CHECK</t>
  </si>
  <si>
    <t>Bestand 2000Tabellenprüfung</t>
  </si>
  <si>
    <t>ZFI_T27CHECK_MIG</t>
  </si>
  <si>
    <t>ZFI_T29CHECK</t>
  </si>
  <si>
    <t>Prüfprogramm für Kontierungstabellen LAVA</t>
  </si>
  <si>
    <t>ZFI_TB05FO</t>
  </si>
  <si>
    <t>Automatische Forderungsausbuchung</t>
  </si>
  <si>
    <t>ZFI_UMB_KASSENBUCH</t>
  </si>
  <si>
    <t>DEV-129</t>
  </si>
  <si>
    <t>Kassenbuchung in Partner erstellen</t>
  </si>
  <si>
    <t>ZFI_UPD_RATEN</t>
  </si>
  <si>
    <t>FI Update des ZFBDT der Ratenzahler</t>
  </si>
  <si>
    <t>ZFI_UPDATE_COCKPIT_ZAHLUNG</t>
  </si>
  <si>
    <t>Aktualisierung Tabelle ZFI_INKO_COCKPIT,ZFI_INKO_COCKPI2 für Zahlung</t>
  </si>
  <si>
    <t>ZFI_UPDATE_ZFBDT</t>
  </si>
  <si>
    <t>FI: Update Zahlungsfristenbasisidatum</t>
  </si>
  <si>
    <t>ZFI_UPLOAD_ADAMTAB_MIG</t>
  </si>
  <si>
    <t>Hochladen Excel in Kontierungstabellen für Migration ADAM 2.0</t>
  </si>
  <si>
    <t>ZFI_UPLOAD_IVANTAB</t>
  </si>
  <si>
    <t>Hochladen Excel in IVAN-Tabellen</t>
  </si>
  <si>
    <t>ZFI_VARTA_GUT</t>
  </si>
  <si>
    <t>DEV-130</t>
  </si>
  <si>
    <t>FI: VARTA Erzeugen Gutschriftsanzeige</t>
  </si>
  <si>
    <t>ZFI_VARTA_LIFNR</t>
  </si>
  <si>
    <t>FI: Varta Einlesen der Lieferscheinnr</t>
  </si>
  <si>
    <t>ZFI_VBUND_ADRESS</t>
  </si>
  <si>
    <t>Adressprüfung VBUND - CPD-Belege und Stammsätze</t>
  </si>
  <si>
    <t>ZFI_VERLAG_AMA</t>
  </si>
  <si>
    <t>Verlagsschnittstelle SAP</t>
  </si>
  <si>
    <t>ZFI_VERLAG_THM</t>
  </si>
  <si>
    <t>Verlag Erlösumbuchung Travel House Media</t>
  </si>
  <si>
    <t>ZFI_VLSALD</t>
  </si>
  <si>
    <t>DEV-131</t>
  </si>
  <si>
    <t>M. Lex</t>
  </si>
  <si>
    <t xml:space="preserve">Cash-Concentration: Salden nach Valutadatum </t>
  </si>
  <si>
    <t>ZFI_VORST_AW</t>
  </si>
  <si>
    <t>DEV-094</t>
  </si>
  <si>
    <t>Auswertung Vorsteuerkorrektur nach X-Schlüsseln, aus RE-FX und HAC</t>
  </si>
  <si>
    <t>ZFI_VORST_UPD_ZFI_M_ZZVKV</t>
  </si>
  <si>
    <t>Tabellenpflege ZFI_M_ZZVKV  Beleganzeige incl. Vorsteuerkorrekturbeleg</t>
  </si>
  <si>
    <t>ZFI_VORST2</t>
  </si>
  <si>
    <t>Monatliche Abstimmung Vorsteuerkorrektur</t>
  </si>
  <si>
    <t>ZFI_VORST3</t>
  </si>
  <si>
    <t>VST-Korrektur   / Postenanzeige  mit VST-Korrektur</t>
  </si>
  <si>
    <t>ZFI_VORST4</t>
  </si>
  <si>
    <t>VST-Korrektur Beleganzeige mit Korrekturbeleg</t>
  </si>
  <si>
    <t>ZFI_VSTKOR</t>
  </si>
  <si>
    <t>Tägliche Vorsteuerkorrektur aus der Belegdatenbank</t>
  </si>
  <si>
    <t>ZFI_VTE_SCHLEIFE</t>
  </si>
  <si>
    <t>M. Hoymayer</t>
  </si>
  <si>
    <t xml:space="preserve">Erzeugung Schleifenbuchung für VTE (BuKrs 1000) </t>
  </si>
  <si>
    <t>ZFI_WOMO_ZUORDANZ</t>
  </si>
  <si>
    <t>AVM:Wohnmobile:Zuordnung:Anzahlungen</t>
  </si>
  <si>
    <t>ZFI_ZAHLLAUF_AUSWERT</t>
  </si>
  <si>
    <t>Auswertung Zahllaufdaten - nach Kontengruppen</t>
  </si>
  <si>
    <t>ZFI_ZAHLLAUF_BETRAG</t>
  </si>
  <si>
    <t>Prüfliste Zahllauf - Betragsauswertung</t>
  </si>
  <si>
    <t>ZFI_ZAHLLAUF_SICH</t>
  </si>
  <si>
    <t>Sicherung Zahllaufdaten</t>
  </si>
  <si>
    <t>ZFI_ZAHLLAUF_VORSYSTEM</t>
  </si>
  <si>
    <t>Zahlungsliste: Zahlläufe nach Vorsystemen</t>
  </si>
  <si>
    <t>ZFI_ZAHLLAUF_ZUFALL</t>
  </si>
  <si>
    <t>DEV-074</t>
  </si>
  <si>
    <t>C. Cleff</t>
  </si>
  <si>
    <t>ZFI_ZAHLUNGSMITTEILUNGEN</t>
  </si>
  <si>
    <t>Zahlungsmitteilungen</t>
  </si>
  <si>
    <t>ZFI_ZAHLV_ALV</t>
  </si>
  <si>
    <t>Zahlverhalten - ALV</t>
  </si>
  <si>
    <t>ZFI_ZAHLV_DDF</t>
  </si>
  <si>
    <t>Zahlverhalten - Selektion</t>
  </si>
  <si>
    <t>ZFI_ZAHLV_RAHMEN</t>
  </si>
  <si>
    <t>Durchschn. Zahlverhalten: Rahmenprogramm</t>
  </si>
  <si>
    <t>ZFI_ZAHLV_RAHMEN_FB</t>
  </si>
  <si>
    <t>Durchschnittliches Zahlverhalten: Neurechnen Kunde</t>
  </si>
  <si>
    <t>ZFI_ZAHLV_SEL</t>
  </si>
  <si>
    <t>ZFI_ZF140_CASH</t>
  </si>
  <si>
    <t>Programm Z_I_ZF140_CASH</t>
  </si>
  <si>
    <t>ZFI_ZML_CHECK</t>
  </si>
  <si>
    <t>DEV-086</t>
  </si>
  <si>
    <t>Prüfen Mahn-/Zahlläufe -&gt; Zahl- Mahncockpit bereits übernommen und im EEA vorhanden</t>
  </si>
  <si>
    <t>ZFI_ZML_COCKPIT</t>
  </si>
  <si>
    <t>Cockpit für automatische Mahn-/Zahlläufe</t>
  </si>
  <si>
    <t>ZFI_ZML_COPGEN</t>
  </si>
  <si>
    <t>automatisiertem Zahllauf - Jobs, Events, Variablen</t>
  </si>
  <si>
    <t>ZFI_ZML_DEAKT</t>
  </si>
  <si>
    <t>Zahlläufe deaktivieren</t>
  </si>
  <si>
    <t>ZFI_ZML_DEL</t>
  </si>
  <si>
    <t>Mahn/Zahllauf - Löschprogramm</t>
  </si>
  <si>
    <t>ZFI_ZML_FILL</t>
  </si>
  <si>
    <t>Füllen der Zahllauf-Steuertabelle mit Daten</t>
  </si>
  <si>
    <t>ZFI_ZML_INIT</t>
  </si>
  <si>
    <t>Zahllauf-Steuerung initalisieren</t>
  </si>
  <si>
    <t>ZFI_ZML_KALENDER</t>
  </si>
  <si>
    <t>DEV-132</t>
  </si>
  <si>
    <t>Mahn- und Zahllauf-Kalender</t>
  </si>
  <si>
    <t>ZFI_ZML_SCHED</t>
  </si>
  <si>
    <t>scheduler für Zahlläufe</t>
  </si>
  <si>
    <t>ZIM_LST_IMAUFTRAG01</t>
  </si>
  <si>
    <t>X-Schlüssel Vergleichsliste  IM-Auftrag und des anford. CO-Objektes</t>
  </si>
  <si>
    <t>ZIM_MASN_FREIGABE</t>
  </si>
  <si>
    <t>Freigabe von Maßnahmenanforderungen</t>
  </si>
  <si>
    <t>ZIM_MASNANFORD_IMPORT</t>
  </si>
  <si>
    <t>Import von Maßnahmenanforderungen - EXCEL-Datei</t>
  </si>
  <si>
    <t>ZIM_UPD_IMAUFTRAG01</t>
  </si>
  <si>
    <t>Pflege des anfordernden CO-Objekt und X-Schlüsssel im IM-Auftrag</t>
  </si>
  <si>
    <t>ZMEPOCORR1</t>
  </si>
  <si>
    <t>ZMM_AIS_OFFBEST</t>
  </si>
  <si>
    <t>bestellungen auswerten</t>
  </si>
  <si>
    <t>ZMM_ARTNUM</t>
  </si>
  <si>
    <t>Freie Artikelnummern ermitteln</t>
  </si>
  <si>
    <t>ZMM_BEST_ANLEGEN</t>
  </si>
  <si>
    <t>Einkauf Mercateo Bestellung anlegen</t>
  </si>
  <si>
    <t>ZMM_BEST_AUSW</t>
  </si>
  <si>
    <t>DEV-152</t>
  </si>
  <si>
    <t>Bestell-Auswertung</t>
  </si>
  <si>
    <t>ZMM_BEST_ERGAENZEN</t>
  </si>
  <si>
    <t>Einkauf Mercateo Bestellungen ergänzen (Mapping durchführen)</t>
  </si>
  <si>
    <t>ZMM_BEST_EXPORT_KOSTL</t>
  </si>
  <si>
    <t>ZEK Bestellungen Stammdaten (Kst, IA) export</t>
  </si>
  <si>
    <t>ZMM_BEST_EXPORT_KTGRP2</t>
  </si>
  <si>
    <t>ZEK Mercateo Kostenarten-Export</t>
  </si>
  <si>
    <t>ZMM_BEST_FRGFBCHK</t>
  </si>
  <si>
    <t>Mercateo-Bestellungen: Fachbereichsfreigabe prüfen</t>
  </si>
  <si>
    <t>ZMM_BEST_KTOFIND</t>
  </si>
  <si>
    <t>Mercateo Kontenfindung Analyse</t>
  </si>
  <si>
    <t>ZMM_BEST_LISTE</t>
  </si>
  <si>
    <t>Bestell-Schnittststelle, Bestellungs-Liste</t>
  </si>
  <si>
    <t>ZMM_BEST_MENUE</t>
  </si>
  <si>
    <t>Menü Bestell-Schnittstelle</t>
  </si>
  <si>
    <t>ZMM_BEST_PRUEFEN</t>
  </si>
  <si>
    <t>Einkauf Mercateo Bestellungen prüfen</t>
  </si>
  <si>
    <t>ZMM_BEST_XML_IMPORT</t>
  </si>
  <si>
    <t>Einkauf Mercateo XML import</t>
  </si>
  <si>
    <t>ZMM_BESTAND_NOERPEL</t>
  </si>
  <si>
    <t>Noerpel-Artikelbestände einlesen  (Update zmm_mar1)</t>
  </si>
  <si>
    <t>ZMM_BESTELLDRUCK</t>
  </si>
  <si>
    <t>Containerprogramm für Erweiterungen ZMM_BESTELLDRUCK</t>
  </si>
  <si>
    <t>ZMM_EINA_OHNE_LIEFERANT_LOEKZ</t>
  </si>
  <si>
    <t>Infosätze Lösch-Kz. setzen(für Reorg), Lieferant bereits reorganisiert</t>
  </si>
  <si>
    <t>ZMM_EINKAUFSSEGMENT_ANLEGEN</t>
  </si>
  <si>
    <t>Einkaufssegment für Kreditor anlegen</t>
  </si>
  <si>
    <t>ZMM_INFORECORD_COPY</t>
  </si>
  <si>
    <t>MM Einkaufsinfosätze kopieren</t>
  </si>
  <si>
    <t>ZMM_INTR00</t>
  </si>
  <si>
    <t>Intrastatmeldungen für Einkäufe</t>
  </si>
  <si>
    <t>ZMM_INVBEW</t>
  </si>
  <si>
    <t>Inventur-Bewertungsliste</t>
  </si>
  <si>
    <t>ZMM_INVBEW_BIP</t>
  </si>
  <si>
    <t>Programm ZMM_INVBEW_BIP</t>
  </si>
  <si>
    <t>ZMM_INVDIF</t>
  </si>
  <si>
    <t>DEV-010</t>
  </si>
  <si>
    <t>Inventur-Differenzen auswerten (mit Vergleich zum Vorjahr)</t>
  </si>
  <si>
    <t>ZMM_LAG</t>
  </si>
  <si>
    <t>ZMM_LAG: Lagerauskunft</t>
  </si>
  <si>
    <t>ZMM_LAGV</t>
  </si>
  <si>
    <t>DEV-070</t>
  </si>
  <si>
    <t>Verbrauchswerte zum akt. Jahr und zu Vorjahren anzeigen</t>
  </si>
  <si>
    <t>ZMM_LAPS10</t>
  </si>
  <si>
    <t>DEV-009</t>
  </si>
  <si>
    <t>LPS: Lagerstammdaten Übersicht</t>
  </si>
  <si>
    <t>ZMM_LAPS20</t>
  </si>
  <si>
    <t>LPS: Stellplätze Stammdaten / Übersicht</t>
  </si>
  <si>
    <t>ZMM_LAPS30</t>
  </si>
  <si>
    <t>LPS: Artikel Stammdaten / Bestände</t>
  </si>
  <si>
    <t>ZMM_LAPS40</t>
  </si>
  <si>
    <t>LPS: Artikel-Bewegungen</t>
  </si>
  <si>
    <t>ZMM_LAPS45</t>
  </si>
  <si>
    <t>LPS: Tages-Protokoll / Artikel-Bewegungen</t>
  </si>
  <si>
    <t>ZMM_LAPS52</t>
  </si>
  <si>
    <t>Lagergeld Abrechnung über CO</t>
  </si>
  <si>
    <t>ZMM_LAPS60</t>
  </si>
  <si>
    <t>LPS: Reorganisiation</t>
  </si>
  <si>
    <t>ZMM_LAPS70</t>
  </si>
  <si>
    <t>LPS: Artikel-Analyse  (Umschlags-Häufigkeit)</t>
  </si>
  <si>
    <t>ZMM_LAPS73</t>
  </si>
  <si>
    <t>LPS: Bewegungs-Analyse</t>
  </si>
  <si>
    <t>ZMM_LAPS75</t>
  </si>
  <si>
    <t>LPS: Artikel-Analyse (Mengen-Analyse)</t>
  </si>
  <si>
    <t>ZMM_LAPSDR</t>
  </si>
  <si>
    <t>LPS: Druck-Programm</t>
  </si>
  <si>
    <t>ZMM_LAPSMP</t>
  </si>
  <si>
    <t>LPS: Hauptprogramm</t>
  </si>
  <si>
    <t>ZMM_MAR1_AENDBELG</t>
  </si>
  <si>
    <t>DEV-053</t>
  </si>
  <si>
    <t>zmm_mar1: Änderungsbelege</t>
  </si>
  <si>
    <t>ZMM_MAR1_BESTAND_HISTORY</t>
  </si>
  <si>
    <t>Bestandsdifferenz-Historie anzeigen</t>
  </si>
  <si>
    <t>ZMM_MAT_AENDERUNGEN</t>
  </si>
  <si>
    <t>Material-Stamm Änderungs-Belege ausgeben</t>
  </si>
  <si>
    <t>ZMM_MATREORG</t>
  </si>
  <si>
    <t>DEV-006</t>
  </si>
  <si>
    <t>Material-Stamm-Reorg (incl. Infosätze + Orderbuch)</t>
  </si>
  <si>
    <t>ZMM_MI04</t>
  </si>
  <si>
    <t>Inventur: Zählmengen erfasen</t>
  </si>
  <si>
    <t>ZMM_MI31</t>
  </si>
  <si>
    <t>Inventurbeleg erstellen  (Vorselektion für mi31)</t>
  </si>
  <si>
    <t>ZMM_MM00</t>
  </si>
  <si>
    <t>Materialstammpfege: Festlegung der Regeln</t>
  </si>
  <si>
    <t>ZMM_MM01</t>
  </si>
  <si>
    <t>ADAC-Material anlegen</t>
  </si>
  <si>
    <t>ZMM_MM60</t>
  </si>
  <si>
    <t>Material-Verzeichnis</t>
  </si>
  <si>
    <t>ZMM_PARTNER_COPY</t>
  </si>
  <si>
    <t>Kreditorenstammsatz Einkaufssicht kopieren</t>
  </si>
  <si>
    <t>ZMM_RG_AENDBELG</t>
  </si>
  <si>
    <t>MM-Rg.Schnittst, Änderungs-Belege schreiben, lesen</t>
  </si>
  <si>
    <t>ZMM_RG_BTCI</t>
  </si>
  <si>
    <t>MM-Rg.Schnittst, Rechnung buchen (MIRO)</t>
  </si>
  <si>
    <t>ZMM_RG_IMPORT</t>
  </si>
  <si>
    <t>MM-Rg.Schnittst, Datei-Import</t>
  </si>
  <si>
    <t>ZMM_RG_LISTE</t>
  </si>
  <si>
    <t>MM-Rg.Schnittst, Rechnungs-Liste</t>
  </si>
  <si>
    <t>ZMM_RG_MAIL</t>
  </si>
  <si>
    <t>MM-Rg.Schnittst, MAIL-Benachrichtigung</t>
  </si>
  <si>
    <t>ZMM_RG_MENUE</t>
  </si>
  <si>
    <t>Menü MM-Rechnungs-Schnittstelle</t>
  </si>
  <si>
    <t>ZMM_RG_PRUEFEN</t>
  </si>
  <si>
    <t>MM-Rg.Schnittst, Rechnung prüfen gegen Bestellung</t>
  </si>
  <si>
    <t>ZMM_RM08RELEASE</t>
  </si>
  <si>
    <t>Gesperrte Rechnungen freigeben</t>
  </si>
  <si>
    <t>ZMM_STBWCHECK</t>
  </si>
  <si>
    <t>STBW-Artikel auf Bew.-Klasse, Preissteuerung "S" und Preis "0" prüfen</t>
  </si>
  <si>
    <t>ZMM_VST_WE</t>
  </si>
  <si>
    <t>WE-Buchung für interne Druckerzeugnisse</t>
  </si>
  <si>
    <t>ZMM_WPVOB</t>
  </si>
  <si>
    <t>Werbeprämien-Bestände, Verbräuche, Bestellungen</t>
  </si>
  <si>
    <t>ZMV45AFZZ_SAVE_DOCUMENT_PREPAR</t>
  </si>
  <si>
    <t>ZPWCXTRACT_DEV</t>
  </si>
  <si>
    <t>PwC extract tool</t>
  </si>
  <si>
    <t>ZRE_BSID_IMKEY_CLEAR</t>
  </si>
  <si>
    <t>BSID-IMKEY clearen  (falls WE nicht von RE nach RE-FX migriert wurde)</t>
  </si>
  <si>
    <t>ZRE_DRUCK_CONTAINER</t>
  </si>
  <si>
    <t>R. Stanienda</t>
  </si>
  <si>
    <t>Programm ZRE_DRUCK_CONTAINER</t>
  </si>
  <si>
    <t>ZRE_HDVM</t>
  </si>
  <si>
    <t>HDV-Menü RE-FX</t>
  </si>
  <si>
    <t>ZRE_MIETBLATT</t>
  </si>
  <si>
    <t>DEV-133</t>
  </si>
  <si>
    <t>RE:  Mieterstamm-Blatt RE-FX</t>
  </si>
  <si>
    <t>ZRE_OBJEKTBLATT</t>
  </si>
  <si>
    <t>RE: Objekt-Stammblatt RE-FX</t>
  </si>
  <si>
    <t>ZRE_STVARV_UPDATE</t>
  </si>
  <si>
    <t>RE-FX: Pflege Datums-Werte f. Miete / Leerstand  STVARV</t>
  </si>
  <si>
    <t>ZRGGBR000</t>
  </si>
  <si>
    <t>Exit routines for Rules: Belegsubstitutionen</t>
  </si>
  <si>
    <t>ZRSADRADRV</t>
  </si>
  <si>
    <t>Inkonsitenzenbearbeitung von KNA1/LFA1 mit ADRC (Snote 186910)</t>
  </si>
  <si>
    <t>ZRSADRADRV_MASS</t>
  </si>
  <si>
    <t>ZSBBSS_TBTCO_HOCHSETZEN</t>
  </si>
  <si>
    <t>Tabelle ZSBBSS_TBTCO_HOCHSETZEN Joblaufdatum hochsetzen</t>
  </si>
  <si>
    <t>ZSBBSS_TBTCS_HOCHSETZEN</t>
  </si>
  <si>
    <t>Tabelle ZSBBSS_TBTCS_HOCHSETZEN Joblaufdatum hochsetzen</t>
  </si>
  <si>
    <t>ZSBBSS_TPRI_PAR_LOESCHEN</t>
  </si>
  <si>
    <t>Tabelle ZSBBSS_TPRI_PAR_LOESCHEN PRIMM löschen</t>
  </si>
  <si>
    <t>ZSD_ADIN01_EXIT</t>
  </si>
  <si>
    <t>user exit</t>
  </si>
  <si>
    <t>ZSD_ALV_GROUP_TEMP</t>
  </si>
  <si>
    <t>ALV_Gruppen anlegen  (temporärer Report)</t>
  </si>
  <si>
    <t>ZSD_AUFRUE</t>
  </si>
  <si>
    <t>DEV-068</t>
  </si>
  <si>
    <t>Aufträge im Rückstand</t>
  </si>
  <si>
    <t>ZSD_AUFT_MAT</t>
  </si>
  <si>
    <t>Aufträge zu Material</t>
  </si>
  <si>
    <t>ZSD_BESTAND_COPY</t>
  </si>
  <si>
    <t>Bestandsumbuchung Touring -&gt; ADAC Medien und Reise GmbH</t>
  </si>
  <si>
    <t>ZSD_COND_LOEKZ</t>
  </si>
  <si>
    <t>SD: VK12-Konditionen, Löschkz. nach Mat-Reorg setzen</t>
  </si>
  <si>
    <t>ZSD_INTR00</t>
  </si>
  <si>
    <t>Intrastatmeldungen für Verkäufe</t>
  </si>
  <si>
    <t>ZSD_KASSENID_UPLOAD</t>
  </si>
  <si>
    <t>Programm ZSD_ETM_SWA_TERMINAL_UPLOAD</t>
  </si>
  <si>
    <t>ZSD_KONDITION_COPY</t>
  </si>
  <si>
    <t>Copy Konditionen (Preise migrieren)</t>
  </si>
  <si>
    <t>ZSD_KUNVZ</t>
  </si>
  <si>
    <t>DEV-106</t>
  </si>
  <si>
    <t>SD-Kunden-Verzeichnis</t>
  </si>
  <si>
    <t>ZSD_LAGKOM</t>
  </si>
  <si>
    <t>Kapazitätsliste, Kommissonierliste, Abgleich Außenlager &gt; Zentrale</t>
  </si>
  <si>
    <t>ZSD_LAGKOM2</t>
  </si>
  <si>
    <t>Kommissionsliste Vignetten</t>
  </si>
  <si>
    <t>ZSD_LIEF_WOCHTAG</t>
  </si>
  <si>
    <t>Starten Lieferschein-Erstellg (RVV50R10C) mit Variante pro Wochentag</t>
  </si>
  <si>
    <t>ZSD_LOGM</t>
  </si>
  <si>
    <t>Logistik Einstiegsmenü</t>
  </si>
  <si>
    <t>ZSD_LRG_AOBJD</t>
  </si>
  <si>
    <t>Löschprogramm: ZSD_LRG</t>
  </si>
  <si>
    <t>ZSD_LRG_AOBJR</t>
  </si>
  <si>
    <t>Archivanzeige: ZSD_LRG</t>
  </si>
  <si>
    <t>ZSD_LRG_AOBJW</t>
  </si>
  <si>
    <t>Archiv-Schreibprogramm ... ZSD_LRG</t>
  </si>
  <si>
    <t>ZSD_LRG_CHECK_EINSAETZE_EXT</t>
  </si>
  <si>
    <t>Check LRG Einsatznummern extern</t>
  </si>
  <si>
    <t>ZSD_LRG_CHECK_EINSAETZE_INT</t>
  </si>
  <si>
    <t>Check LRG Einsatznummern intern</t>
  </si>
  <si>
    <t>ZSD_LRG_DF01</t>
  </si>
  <si>
    <t>Maschineller Datenaustausch:Erzeugen Nachrichten Inhouse-Format</t>
  </si>
  <si>
    <t>ZSD_LRG_DFUE_CK</t>
  </si>
  <si>
    <t>Auswertung:DFÜ-Einsätze</t>
  </si>
  <si>
    <t>ZSD_LRG_KASSEN_DAV_AUSWERTUNG</t>
  </si>
  <si>
    <t>Auswertung Kassen und Datenannahmestellen</t>
  </si>
  <si>
    <t>ZSD_LRG_OP</t>
  </si>
  <si>
    <t>Offene Posten Luftrettung</t>
  </si>
  <si>
    <t>ZSD_LRGA</t>
  </si>
  <si>
    <t>LRG: Übernahme der Abrechnungen von LIKS (XD01, VA01)</t>
  </si>
  <si>
    <t>ZSD_LRGD</t>
  </si>
  <si>
    <t>LRG: Abrechnung im Dialog  (VA01, VF01)</t>
  </si>
  <si>
    <t>ZSD_LRGE</t>
  </si>
  <si>
    <t>DEV-031</t>
  </si>
  <si>
    <t>LRG: Entwicklung einer Abrechnung</t>
  </si>
  <si>
    <t>ZSD_LRGF</t>
  </si>
  <si>
    <t>LRG: Fällige Fakturen erzeugen (VF01)</t>
  </si>
  <si>
    <t>ZSD_LRGK</t>
  </si>
  <si>
    <t>LRG: Kostenträger von LIKS übernehmen (XD01)</t>
  </si>
  <si>
    <t>ZSD_LRGL_01</t>
  </si>
  <si>
    <t>LRG: Monatsliste:</t>
  </si>
  <si>
    <t>ZSD_LRGM</t>
  </si>
  <si>
    <t>LRG: Einstiegsmenü</t>
  </si>
  <si>
    <t>ZSD_LRGN</t>
  </si>
  <si>
    <t>LRG: Nachfaktura</t>
  </si>
  <si>
    <t>ZSD_LRGP</t>
  </si>
  <si>
    <t>LRG: Pflege der Preislisten</t>
  </si>
  <si>
    <t>ZSD_LRGR</t>
  </si>
  <si>
    <t>Luftrettung Druckprogramm Rechnung</t>
  </si>
  <si>
    <t>ZSD_LRGS</t>
  </si>
  <si>
    <t>LRG: Statistiken</t>
  </si>
  <si>
    <t>ZSD_MAR_ADMIN</t>
  </si>
  <si>
    <t>SD: Adminauswertung Manuelle Ausgangsrechnungen</t>
  </si>
  <si>
    <t>ZSD_MAR_BASIS</t>
  </si>
  <si>
    <t>MAR: AV + Rechnungslisten</t>
  </si>
  <si>
    <t>ZSD_MAR_BELEGHIS</t>
  </si>
  <si>
    <t>MAR: Beleghistorie zu Entwurf</t>
  </si>
  <si>
    <t>ZSD_MAR_DRUCK</t>
  </si>
  <si>
    <t>Manuelle Ausgangsrechnungen: Druckprogramm</t>
  </si>
  <si>
    <t>ZSD_MAR_FI</t>
  </si>
  <si>
    <t>MAR: Fehlende FI-Überleitungen</t>
  </si>
  <si>
    <t>ZSD_MAR_IMPORT</t>
  </si>
  <si>
    <t>SD-MAR: Import-Schnittstelle für Ausgangsrechnungen</t>
  </si>
  <si>
    <t>ZSD_MAR_RECH_EMAIL_SEND</t>
  </si>
  <si>
    <t>ZSD_MAR_USR_STAT</t>
  </si>
  <si>
    <t>MAR User-Statistik</t>
  </si>
  <si>
    <t>ZSD_MARA</t>
  </si>
  <si>
    <t>MAR: Artikelpflege + Produkthierarchie</t>
  </si>
  <si>
    <t>ZSD_MARM</t>
  </si>
  <si>
    <t>Menüs für Manuelle Ausgangsrechnungen</t>
  </si>
  <si>
    <t>ZSD_MARR</t>
  </si>
  <si>
    <t>MAR: Erfassen und Bearbeiten der Rechnungen</t>
  </si>
  <si>
    <t>ZSD_MARV</t>
  </si>
  <si>
    <t>MAR: Arbeitsvorrat für den Fachbereich</t>
  </si>
  <si>
    <t>ZSD_MM_RE_STATISTIK</t>
  </si>
  <si>
    <t>Programm ZSD_MM_RE_STATISTIK</t>
  </si>
  <si>
    <t>ZSD_NAST</t>
  </si>
  <si>
    <t>Update der Datei NAST für Lieferscheine und Rechnungen</t>
  </si>
  <si>
    <t>ZSD_NAST_ARCHIV</t>
  </si>
  <si>
    <t>DEV-025</t>
  </si>
  <si>
    <t>Rechnungen archivieren</t>
  </si>
  <si>
    <t>ZSD_NAST_MAR</t>
  </si>
  <si>
    <t>Programm ZSD_NAST_MAR   (Update ZMR2+ZMR5-Sätze)</t>
  </si>
  <si>
    <t>ZSD_NMGKUN</t>
  </si>
  <si>
    <t>DEV-015</t>
  </si>
  <si>
    <t>Tabelle zsd_shokun mit Kundensätzen versorgen</t>
  </si>
  <si>
    <t>ZSD_SERN</t>
  </si>
  <si>
    <t>DEV-078</t>
  </si>
  <si>
    <t>Abwicklung von Lieferungen + Retouren mit Seriennummern-Produkten</t>
  </si>
  <si>
    <t>ZSD_SERN_IMPORT</t>
  </si>
  <si>
    <t>Serien-Nummern importieren (vom Komissionier-Dienstleister)</t>
  </si>
  <si>
    <t>ZSD_SERN10</t>
  </si>
  <si>
    <t>Seriennummern: Reorganisation des Nummernbuchs</t>
  </si>
  <si>
    <t>ZSD_SERNBU</t>
  </si>
  <si>
    <t>Seriennummern: Nummernbuch</t>
  </si>
  <si>
    <t>ZSD_SHOEXP</t>
  </si>
  <si>
    <t>DEV-079</t>
  </si>
  <si>
    <t>Export Shop-Stammdaten</t>
  </si>
  <si>
    <t>ZSD_SHOEXPSTA</t>
  </si>
  <si>
    <t>SD Shop: Update  ZSD_SHOSTA2,  Schreiben Status-Datei</t>
  </si>
  <si>
    <t>ZSD_SHOIMP</t>
  </si>
  <si>
    <t>Import IntraShop-Aufträge</t>
  </si>
  <si>
    <t>ZSD_SHOKUN_MM</t>
  </si>
  <si>
    <t>Programm ZSD_SHOKUN_MM - ContainerProgramm Materialentahmeschein</t>
  </si>
  <si>
    <t>ZSD_SHOP_STAT</t>
  </si>
  <si>
    <t>Shop-Statistik</t>
  </si>
  <si>
    <t>ZSD_SPOOL</t>
  </si>
  <si>
    <t>Ausdruck von SD-Dokumenten aus Spool-Datasets</t>
  </si>
  <si>
    <t>ZSD_STAMMSATZANLAGE_SWA_FAHRER</t>
  </si>
  <si>
    <t>Stammdatenanlage SWA-Fahrer (Daten aus Personalsystem)</t>
  </si>
  <si>
    <t>ZSD_SWA_BEST_ANZ</t>
  </si>
  <si>
    <t>Anzeigen Bestellungen</t>
  </si>
  <si>
    <t>ZSD_SWA_BEST_EDI</t>
  </si>
  <si>
    <t>Bestell-Daten über EDI austauschen (Inhouse-Format erstellen)</t>
  </si>
  <si>
    <t>ZSD_SWA_BEST_WE</t>
  </si>
  <si>
    <t>Bestellungen und Wareneingänge</t>
  </si>
  <si>
    <t>ZSD_SWA_BESTAND</t>
  </si>
  <si>
    <t>SWA-Vertrieb: Bestandsliste</t>
  </si>
  <si>
    <t>ZSD_SWA_BESTAND_COPY</t>
  </si>
  <si>
    <t>SWA Umgliederung Bestand-Migration</t>
  </si>
  <si>
    <t>ZSD_SWA_BEWEGUNGEN</t>
  </si>
  <si>
    <t>FUA-Batterieservice: Materialbewegungen anzeigen</t>
  </si>
  <si>
    <t>ZSD_SWA_DIALOGE</t>
  </si>
  <si>
    <t>SWA-Vertrieb: Modulpool für diverse Dialoge</t>
  </si>
  <si>
    <t>ZSD_SWA_DOWNLOAD_LAGERORTE</t>
  </si>
  <si>
    <t>Programm ZSD_SWA_DOWNLOAD_LAGERORTE</t>
  </si>
  <si>
    <t>ZSD_SWA_ENTSORGUNG</t>
  </si>
  <si>
    <t>Auswertungsreport: Entsorgung von Altbatterien</t>
  </si>
  <si>
    <t>ZSD_SWA_INV</t>
  </si>
  <si>
    <t>SWA Batterieservice: Inventurdaten erfassen</t>
  </si>
  <si>
    <t>ZSD_SWA_INV_LIST</t>
  </si>
  <si>
    <t>SWA: Batterie+Ersatzeil-Service: Inventurliste + Korrekturbuchungen</t>
  </si>
  <si>
    <t>ZSD_SWA_INV_MEMO</t>
  </si>
  <si>
    <t>Auswertung MEMO-Felder</t>
  </si>
  <si>
    <t>ZSD_SWA_INV_SIK</t>
  </si>
  <si>
    <t>ZSD_SWA_LAGERABGANG_UMB</t>
  </si>
  <si>
    <t>Batterieservice Lagerabgang verbuchen</t>
  </si>
  <si>
    <t>ZSD_SWA_LAGERABGANG_VERK</t>
  </si>
  <si>
    <t>Lagerabgang - Eigenbedarf - Absprung in Verkauf</t>
  </si>
  <si>
    <t>ZSD_SWA_LISTELAGAB</t>
  </si>
  <si>
    <t>Programm ZSD_SWA_LISTELAGAB - Liste Lagerabgäng</t>
  </si>
  <si>
    <t>ZSD_SWA_MEMOFAHRER</t>
  </si>
  <si>
    <t>ZSD_SWA_MEMOFAHRER - Auswertung</t>
  </si>
  <si>
    <t>ZSD_SWA_MEMONYM</t>
  </si>
  <si>
    <t>Report ZSD_SWA_MEMONYM</t>
  </si>
  <si>
    <t>ZSD_SWA_MINMAX</t>
  </si>
  <si>
    <t>Batterielager - Übernahme Min-Max-Bestände</t>
  </si>
  <si>
    <t>ZSD_SWA_PARTNER_COPY</t>
  </si>
  <si>
    <t>SWA Umgliederung Partnerstammsatz-Migration</t>
  </si>
  <si>
    <t>ZSD_SWA_PREIS_COPY</t>
  </si>
  <si>
    <t>SWA Umgliederung Preis-Migration</t>
  </si>
  <si>
    <t>ZSD_SWA_PROV</t>
  </si>
  <si>
    <t>SWA-Vertrieb: Handlingsabrechnung</t>
  </si>
  <si>
    <t>ZSD_SWA_RECHERCHE</t>
  </si>
  <si>
    <t>Fahrer-Übersicht</t>
  </si>
  <si>
    <t>ZSD_SWA_TR_AOBJD</t>
  </si>
  <si>
    <t>Löschprogramm: ZSD_SWAT_TR_AKT</t>
  </si>
  <si>
    <t>ZSD_SWA_TR_AOBJR</t>
  </si>
  <si>
    <t>Archivanzeige: ZSD_SWAT_TR_AKT</t>
  </si>
  <si>
    <t>ZSD_SWA_TR_AOBJW</t>
  </si>
  <si>
    <t>Archiv-Schreibprogramm ... ZSD_SWAT_TR_AKT</t>
  </si>
  <si>
    <t>ZSD_SWA_VERBUCHEN_BEST</t>
  </si>
  <si>
    <t>zsd_swa_verbuchen_best</t>
  </si>
  <si>
    <t>ZSD_SWA_VERK_ANZ</t>
  </si>
  <si>
    <t>FUA-Batterieservice: Verkäufe anzeigen</t>
  </si>
  <si>
    <t>ZSD_SWA_VERK_ANZ2</t>
  </si>
  <si>
    <t>Darstellung der Verkäufe je Abrechnungsnummer</t>
  </si>
  <si>
    <t>ZSD_SWA_VERK_NABU</t>
  </si>
  <si>
    <t>SWA-Vertrieb: Nachbuchen von unvollständigen Aufträgen</t>
  </si>
  <si>
    <t>ZSD_SWAT_REPAIR</t>
  </si>
  <si>
    <t>ZSD_SWAT_TR_AKT reparieren</t>
  </si>
  <si>
    <t>ZSD_SWAT_TABCHECK</t>
  </si>
  <si>
    <t>Terminal Tabellenprüfung</t>
  </si>
  <si>
    <t>ZSD_SWAT_TERMINALBELEG</t>
  </si>
  <si>
    <t>Prüfung Terminalbelege</t>
  </si>
  <si>
    <t>ZSD_SWAT01</t>
  </si>
  <si>
    <t>Terminal zentrales Einleseprogramm</t>
  </si>
  <si>
    <t>ZSD_TAB_REORG</t>
  </si>
  <si>
    <t>DEV-085</t>
  </si>
  <si>
    <t>SD: Tabellen-Reorg</t>
  </si>
  <si>
    <t>ZSD_TOL_PROV_LIF_SYNC</t>
  </si>
  <si>
    <t>TOL: Kreditoren autom. zu Debitoren-Stammsatz anlegen</t>
  </si>
  <si>
    <t>ZSD_TOLA00</t>
  </si>
  <si>
    <t>Verkaufstellen-Abrechnungen</t>
  </si>
  <si>
    <t>ZSD_TOLA05</t>
  </si>
  <si>
    <t>Bestandsdifferenzen bei den Verkaufsstellen</t>
  </si>
  <si>
    <t>ZSD_TOLA10</t>
  </si>
  <si>
    <t>Einstiegsmenü</t>
  </si>
  <si>
    <t>ZSD_TOLA20</t>
  </si>
  <si>
    <t>Bestandsliste</t>
  </si>
  <si>
    <t>ZSD_TOLA25</t>
  </si>
  <si>
    <t>TOL: Ermittlung optimaler Bestellmengen</t>
  </si>
  <si>
    <t>ZSD_TOLA30</t>
  </si>
  <si>
    <t>Bestandsentwicklung bei den Verkaufsstellen</t>
  </si>
  <si>
    <t>ZSD_TOLA35</t>
  </si>
  <si>
    <t>Verkaufsstellenliste</t>
  </si>
  <si>
    <t>ZSD_TOLA40</t>
  </si>
  <si>
    <t>Übernahme der Daten von ARIS (Geschäftsstellen)</t>
  </si>
  <si>
    <t>ZSD_TOLA41</t>
  </si>
  <si>
    <t>Übernahme der Videomaut-Daten</t>
  </si>
  <si>
    <t>ZSD_TOLA42</t>
  </si>
  <si>
    <t>Übername der Videomaut-Einzelsätze in die VTP-Abrechnung</t>
  </si>
  <si>
    <t>ZSD_TOLA43</t>
  </si>
  <si>
    <t>Abgleich Videomaut mit den von Gauen gemeldeten Mengen</t>
  </si>
  <si>
    <t>ZSD_TOLA44</t>
  </si>
  <si>
    <t>Gezieltes Löschen von Import-Daten Videomaut</t>
  </si>
  <si>
    <t>ZSD_TOLA45</t>
  </si>
  <si>
    <t>ADAC-Summen der verkauften Produkte</t>
  </si>
  <si>
    <t>ZSD_TOLA46</t>
  </si>
  <si>
    <t>Umsetzen der Abrechnungsperiode</t>
  </si>
  <si>
    <t>ZSD_TOLA48</t>
  </si>
  <si>
    <t>Verkaufs-Summen pro Kunde</t>
  </si>
  <si>
    <t>ZSD_TOLA50</t>
  </si>
  <si>
    <t>Pflege der Artikellistung</t>
  </si>
  <si>
    <t>ZSD_TOLA60</t>
  </si>
  <si>
    <t>Pflege der Preise und Provisionen  (VK12)</t>
  </si>
  <si>
    <t>ZSD_TOLA65</t>
  </si>
  <si>
    <t>Produkt-Verkaufsliste</t>
  </si>
  <si>
    <t>ZSD_TOLA70</t>
  </si>
  <si>
    <t>Abrechnung drucken und verbuchen:  VA01, VL01N, VF01, FB01</t>
  </si>
  <si>
    <t>ZSD_TOLA71</t>
  </si>
  <si>
    <t>Umbuchung der Gau-Forderungen</t>
  </si>
  <si>
    <t>ZSD_TOLA77</t>
  </si>
  <si>
    <t>TOLA Provisions-Gutschrift - Belegdaten für den Druck exportieren</t>
  </si>
  <si>
    <t>ZSD_TOLA80</t>
  </si>
  <si>
    <t>Umbuchung von Beständen</t>
  </si>
  <si>
    <t>ZSD_TOLA90</t>
  </si>
  <si>
    <t>Zurücksetzen des Buchungsstatus von ZSD_TOL</t>
  </si>
  <si>
    <t>ZSD_TOLA95</t>
  </si>
  <si>
    <t>Vertragspartner-Abrechnung (FB01)</t>
  </si>
  <si>
    <t>ZSD_TOURSET_BI</t>
  </si>
  <si>
    <t>Tourset-BI,  Export Rechnungs-Daten (Vertriebsweg 30)</t>
  </si>
  <si>
    <t>ZSD_TOURSET_REICHW</t>
  </si>
  <si>
    <t>DEV-107</t>
  </si>
  <si>
    <t>Tourset Verbrauchsprognose und Reichenweitenberechnung</t>
  </si>
  <si>
    <t>ZSD_VD01</t>
  </si>
  <si>
    <t>Debitoren kopieren aus Ref.-VKORG nach  Buchungskreis 2900</t>
  </si>
  <si>
    <t>ZSD_VST_MENUE_ALV</t>
  </si>
  <si>
    <t>VST-Menü ALV-Liste (vom Fachbereiche einstellbar)</t>
  </si>
  <si>
    <t>ZSD_VSTABR</t>
  </si>
  <si>
    <t>ZSD_VSTABR:  VST-Monatsabrechnungen</t>
  </si>
  <si>
    <t>ZSD_VSTEA</t>
  </si>
  <si>
    <t>Erst-Ausstattung VST (VA01)</t>
  </si>
  <si>
    <t>ZSD_VSTM</t>
  </si>
  <si>
    <t>Touristik Einstiegsmenü -&gt; Volker Niemann fragen</t>
  </si>
  <si>
    <t>ZSD_WAAGELS</t>
  </si>
  <si>
    <t>DEV-108</t>
  </si>
  <si>
    <t>Ausgabe Lieferschein-Adressen für Waage,  Import Versand-Status</t>
  </si>
  <si>
    <t>ZSD_WAWI_ABZUG</t>
  </si>
  <si>
    <t>SWA-Kommunikationsplattform:Datenabzug SAP für WaWi-Server</t>
  </si>
  <si>
    <t>ZSD_WAWI_FAHRER_TRANSCODE</t>
  </si>
  <si>
    <t>Umschuesseln Fahrer: Integrationstest Versorg. Warenwirtschaftsserver</t>
  </si>
  <si>
    <t>ZSD_WPV_PRISMA</t>
  </si>
  <si>
    <t>SD-Aufträge für Werbeprämien (TA: VA01)</t>
  </si>
  <si>
    <t>ZSD_WPV_RUECK</t>
  </si>
  <si>
    <t>Werbeprämien Rückstandsliste</t>
  </si>
  <si>
    <t>ZSD_WPVLIEF</t>
  </si>
  <si>
    <t>Werbeprämien-Lieferungen</t>
  </si>
  <si>
    <t>ZSD_ZEKEAPC</t>
  </si>
  <si>
    <t>DEV-022</t>
  </si>
  <si>
    <t>Übernahme Aufträge aus Access-Datenbank</t>
  </si>
  <si>
    <t>ZSLA_SCU3_CHECK_08</t>
  </si>
  <si>
    <t>Automatic checks and solution for most frequent issues in table loggin</t>
  </si>
  <si>
    <t>ZTR_CONFIRM_LETTER</t>
  </si>
  <si>
    <t>DEV-142</t>
  </si>
  <si>
    <t>Zahlungsplan</t>
  </si>
  <si>
    <t>ZTR_FDES_TRANSFER_FC</t>
  </si>
  <si>
    <t xml:space="preserve">LQPL Transfer FDES to Forecast </t>
  </si>
  <si>
    <t>ZTR_FF9</t>
  </si>
  <si>
    <t>Abgleich Bankkontenauszug-Avise</t>
  </si>
  <si>
    <t>ZTR_FLQSUM_FC_DEL</t>
  </si>
  <si>
    <t>LQPL Transfer FDES to Forecast</t>
  </si>
  <si>
    <t>ZTR_IF_SCD_NPV</t>
  </si>
  <si>
    <t>Laden der Barwerttabelle</t>
  </si>
  <si>
    <t>ZTR_MIRROR_COMPARE</t>
  </si>
  <si>
    <t>DEV-138</t>
  </si>
  <si>
    <t>TRM: Abgleich Original- und Spiegelgeschäft</t>
  </si>
  <si>
    <t>ZTR_REP_CALL_FF9</t>
  </si>
  <si>
    <t>ZVIM_ANALYTICS_SELECT_OPTION</t>
  </si>
  <si>
    <t>DEV-134</t>
  </si>
  <si>
    <t>Texte der kundenspezifischen Selektionsfelder in VIM Analytics</t>
  </si>
  <si>
    <t>ZVIM_OAC3_UPDATE_ARCHIV</t>
  </si>
  <si>
    <t>Anpassung der ArchivID in der OAC3</t>
  </si>
  <si>
    <t>ZXVVFU02</t>
  </si>
  <si>
    <t>Z-Programm in DEV für S/4</t>
  </si>
  <si>
    <t>USR</t>
  </si>
  <si>
    <t>Welle 2 
und 3</t>
  </si>
  <si>
    <t>vorhanden
in R/3</t>
  </si>
  <si>
    <t>gesperrt</t>
  </si>
  <si>
    <t>Schnitt-
stellen-
programm</t>
  </si>
  <si>
    <t>Thema</t>
  </si>
  <si>
    <t>Lagerver- und Materialverwaltung</t>
  </si>
  <si>
    <t>Lagerplatzverwaltung</t>
  </si>
  <si>
    <t>ZMM_LPS</t>
  </si>
  <si>
    <t>ZMM_INV</t>
  </si>
  <si>
    <t>Inventurunterstützung</t>
  </si>
  <si>
    <t>ZMM_MI03</t>
  </si>
  <si>
    <t xml:space="preserve">DEV-012 </t>
  </si>
  <si>
    <t>ALL-G08</t>
  </si>
  <si>
    <t>DEV-021</t>
  </si>
  <si>
    <t>zsd_nast_archiv</t>
  </si>
  <si>
    <t>ZFI_AVM_Upload_AUFNR_KFZ</t>
  </si>
  <si>
    <t>MBC</t>
  </si>
  <si>
    <t>ZFI_AVM_Versicherung</t>
  </si>
  <si>
    <t>ZFI_Mahns_Loesch</t>
  </si>
  <si>
    <t>Dispute Management</t>
  </si>
  <si>
    <t>ZFI_Mahns_Mahnv</t>
  </si>
  <si>
    <t>ZFI_Mahnstopp_Setzen</t>
  </si>
  <si>
    <t>ZFI_Mahnstopp2</t>
  </si>
  <si>
    <t>ZFI_Mahnvorschlag</t>
  </si>
  <si>
    <t>ZFI_CCS_Auswert</t>
  </si>
  <si>
    <t>ZFI_CCS_Drucke</t>
  </si>
  <si>
    <t>ZFI_Druck_Container</t>
  </si>
  <si>
    <t>ZFI_Spool_Update</t>
  </si>
  <si>
    <t>ZFI_Inko_Cockpit</t>
  </si>
  <si>
    <t>ZFI_Inko_Cockpit_Korrektur</t>
  </si>
  <si>
    <t>ZFI_Rate01</t>
  </si>
  <si>
    <t>ZFI_Raten_Rueck01</t>
  </si>
  <si>
    <t>ZFI_Raten_Uebergabe</t>
  </si>
  <si>
    <t>ZFI_Inko_Zahlung</t>
  </si>
  <si>
    <t>ZFI_Inkasso</t>
  </si>
  <si>
    <t>ZFI_Inko00</t>
  </si>
  <si>
    <t>ZFI_Inko03</t>
  </si>
  <si>
    <t>ZFI_Inko04</t>
  </si>
  <si>
    <t>ZFI_Inko05</t>
  </si>
  <si>
    <t>ZFI_INKO_COCKPI2</t>
  </si>
  <si>
    <t>MAR</t>
  </si>
  <si>
    <t>ZCL_MAR_EVENT</t>
  </si>
  <si>
    <t>ZCL_MAR_KUNDE</t>
  </si>
  <si>
    <t>ZCL_MAR_NACHRICHTENART</t>
  </si>
  <si>
    <t>ZCL_MAR_NAST_STATUS</t>
  </si>
  <si>
    <t>ZCL_MAR_RECHNUNGSTYP</t>
  </si>
  <si>
    <t>Archivierung</t>
  </si>
  <si>
    <t>Telekom</t>
  </si>
  <si>
    <t>ZFI_ELMO</t>
  </si>
  <si>
    <t>LZB Kennz.</t>
  </si>
  <si>
    <t>ZFI_CUSTOMER_ADD_DATA</t>
  </si>
  <si>
    <t>ZFI_CUST_ADD_DAT_CS</t>
  </si>
  <si>
    <t>ZFI_CUST_ADD_DAT_BI</t>
  </si>
  <si>
    <t>ZFI_VENDOR_ADD_DATA</t>
  </si>
  <si>
    <t>ZFI_VEND_ADD_DATA_CS</t>
  </si>
  <si>
    <t>ZFI_VEND_ADD_DATA_BI</t>
  </si>
  <si>
    <t>ZFI_FI_LZBKZ_LANDL_DERIVE</t>
  </si>
  <si>
    <t>AVM</t>
  </si>
  <si>
    <t>concur</t>
  </si>
  <si>
    <t>SD-Shop</t>
  </si>
  <si>
    <t>ZSD_SHOSTA2</t>
  </si>
  <si>
    <t>zsd_shoimp</t>
  </si>
  <si>
    <t>BS-Card</t>
  </si>
  <si>
    <t>Zbc_userinaktivierung</t>
  </si>
  <si>
    <t>Zentrale user / MA Verw.</t>
  </si>
  <si>
    <t>Zbc_zemarep_frgreorg</t>
  </si>
  <si>
    <t>Zbc_zemarep_get</t>
  </si>
  <si>
    <t>Zbc_zemarep_user</t>
  </si>
  <si>
    <t>zbc_zemarep_usrguelt</t>
  </si>
  <si>
    <t>Zco_pruefung_stamm_orga</t>
  </si>
  <si>
    <t>IDL Konsis</t>
  </si>
  <si>
    <t>ZFI_ERGSL_V</t>
  </si>
  <si>
    <t>ZFI_BEWART</t>
  </si>
  <si>
    <t>ZFI_KONZSL</t>
  </si>
  <si>
    <t>ZFI_KONZL_V</t>
  </si>
  <si>
    <t>ZFI_GLT3_XBLNR</t>
  </si>
  <si>
    <t>Porta</t>
  </si>
  <si>
    <t>zbc_orea_coa</t>
  </si>
  <si>
    <t>VIM / OREA</t>
  </si>
  <si>
    <t>Pitney Bowes</t>
  </si>
  <si>
    <t>Planisware</t>
  </si>
  <si>
    <t>Spider</t>
  </si>
  <si>
    <t>FUA Listen (W2)</t>
  </si>
  <si>
    <t>Computop</t>
  </si>
  <si>
    <t>Paypal</t>
  </si>
  <si>
    <t>UI Labs SGSS</t>
  </si>
  <si>
    <t>ZFI_SCHECK</t>
  </si>
  <si>
    <t>ZCL_IM_TR_BW_CFM_DELTA_POS</t>
  </si>
  <si>
    <t>Treasury</t>
  </si>
  <si>
    <t>ZCL_IM_TR_BW_FI_TRA_ATTR</t>
  </si>
  <si>
    <t>ZCL_IM_TR_FTR_CUST_EXTENT</t>
  </si>
  <si>
    <t>ZCL_IM_TR_MIRROR_DEALS</t>
  </si>
  <si>
    <t>ZCL_IM_TR_TPM_ACCIF_TRAC</t>
  </si>
  <si>
    <t>ZCL_TR_CFM_POSITIONS</t>
  </si>
  <si>
    <t>ZTR_ORDNUM_AS</t>
  </si>
  <si>
    <t>DEV-140</t>
  </si>
  <si>
    <t>ZTR_FTR_CUST_EXTENT</t>
  </si>
  <si>
    <t>ZTR_MIRROR_Deals</t>
  </si>
  <si>
    <t>ZFI_FIRMENT01</t>
  </si>
  <si>
    <t>DEV-143</t>
  </si>
  <si>
    <t>Standardschnittstelle</t>
  </si>
  <si>
    <t>ZFI_SS_CONVERT_KUNNR_F01</t>
  </si>
  <si>
    <t>ZFI_SS_PRINT_PAR</t>
  </si>
  <si>
    <t>ZCO_PLANISWARE_EXPORT</t>
  </si>
  <si>
    <t>LAVA</t>
  </si>
  <si>
    <t>Format</t>
  </si>
  <si>
    <t>Bestellcockpit</t>
  </si>
  <si>
    <t>DEV-158</t>
  </si>
  <si>
    <t>Z_CO_PRUEFUNG_KOSTENSTELLEN</t>
  </si>
  <si>
    <t>Z-XXXXX</t>
  </si>
  <si>
    <t>DEV-160</t>
  </si>
  <si>
    <t>Splitter R/3 und S/4</t>
  </si>
  <si>
    <t>Programmname</t>
  </si>
  <si>
    <t>In meiner Liste?</t>
  </si>
  <si>
    <t>Programmtyp</t>
  </si>
  <si>
    <t>Für Welle 1 relevant?</t>
  </si>
  <si>
    <t>End-to-End-Prozess?</t>
  </si>
  <si>
    <r>
      <rPr>
        <b/>
        <u/>
        <sz val="10"/>
        <rFont val="Arial"/>
        <family val="2"/>
      </rPr>
      <t>1. Schritt:</t>
    </r>
    <r>
      <rPr>
        <sz val="10"/>
        <rFont val="Arial"/>
        <family val="2"/>
      </rPr>
      <t xml:space="preserve"> Gap aus der </t>
    </r>
    <r>
      <rPr>
        <b/>
        <sz val="10"/>
        <rFont val="Arial"/>
        <family val="2"/>
      </rPr>
      <t>Ramp-Up-Phase</t>
    </r>
    <r>
      <rPr>
        <sz val="10"/>
        <rFont val="Arial"/>
        <family val="2"/>
      </rPr>
      <t>: Entsprechende Gaps durch das KDB freigegeben.</t>
    </r>
  </si>
  <si>
    <r>
      <rPr>
        <b/>
        <u/>
        <sz val="10"/>
        <rFont val="Arial"/>
        <family val="2"/>
      </rPr>
      <t>1. Schritt:</t>
    </r>
    <r>
      <rPr>
        <b/>
        <sz val="10"/>
        <rFont val="Arial"/>
        <family val="2"/>
      </rPr>
      <t xml:space="preserve"> - Nachjustierung</t>
    </r>
    <r>
      <rPr>
        <sz val="10"/>
        <rFont val="Arial"/>
        <family val="2"/>
      </rPr>
      <t xml:space="preserve">: Entscheidung in Explorephase, Gap trotz Freigabe </t>
    </r>
    <r>
      <rPr>
        <b/>
        <sz val="10"/>
        <rFont val="Arial"/>
        <family val="2"/>
      </rPr>
      <t>nicht</t>
    </r>
    <r>
      <rPr>
        <sz val="10"/>
        <rFont val="Arial"/>
        <family val="2"/>
      </rPr>
      <t xml:space="preserve"> zu übernehmen:</t>
    </r>
  </si>
  <si>
    <r>
      <t xml:space="preserve">Änderungen der Gaps/ Z-Artefakte </t>
    </r>
    <r>
      <rPr>
        <b/>
        <sz val="10"/>
        <rFont val="Arial"/>
        <family val="2"/>
      </rPr>
      <t>nach Ramp-Up-Phase</t>
    </r>
    <r>
      <rPr>
        <sz val="10"/>
        <rFont val="Arial"/>
        <family val="2"/>
      </rPr>
      <t>, die aber zu berücksichtigen sind.</t>
    </r>
  </si>
  <si>
    <r>
      <rPr>
        <b/>
        <u/>
        <sz val="10"/>
        <rFont val="Arial"/>
        <family val="2"/>
      </rPr>
      <t>2. Schritt</t>
    </r>
    <r>
      <rPr>
        <sz val="10"/>
        <rFont val="Arial"/>
        <family val="2"/>
      </rPr>
      <t xml:space="preserve">: Z-Artefakte in </t>
    </r>
    <r>
      <rPr>
        <b/>
        <sz val="10"/>
        <rFont val="Arial"/>
        <family val="2"/>
      </rPr>
      <t>Explorephase</t>
    </r>
    <r>
      <rPr>
        <sz val="10"/>
        <rFont val="Arial"/>
        <family val="2"/>
      </rPr>
      <t xml:space="preserve"> mit ADAC IT besprochen - über X - filtern: </t>
    </r>
    <r>
      <rPr>
        <u/>
        <sz val="10"/>
        <rFont val="Arial"/>
        <family val="2"/>
      </rPr>
      <t xml:space="preserve">bisher keine Freigabe durch KDB </t>
    </r>
  </si>
  <si>
    <r>
      <rPr>
        <b/>
        <u/>
        <sz val="10"/>
        <rFont val="Arial"/>
        <family val="2"/>
      </rPr>
      <t>2. Schritt</t>
    </r>
    <r>
      <rPr>
        <sz val="10"/>
        <rFont val="Arial"/>
        <family val="2"/>
      </rPr>
      <t xml:space="preserve">: Empfehlung zur Übernahme: </t>
    </r>
    <r>
      <rPr>
        <b/>
        <sz val="10"/>
        <rFont val="Arial"/>
        <family val="2"/>
      </rPr>
      <t>Ja, Nein, tbd, nicht geklärt</t>
    </r>
  </si>
  <si>
    <r>
      <rPr>
        <b/>
        <u/>
        <sz val="10"/>
        <rFont val="Arial"/>
        <family val="2"/>
      </rPr>
      <t>2. Schritt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Kommentare zu den Z-Artefakten, die </t>
    </r>
    <r>
      <rPr>
        <b/>
        <sz val="10"/>
        <color rgb="FFFF0000"/>
        <rFont val="Arial"/>
        <family val="2"/>
      </rPr>
      <t>nicht</t>
    </r>
    <r>
      <rPr>
        <sz val="10"/>
        <rFont val="Arial"/>
        <family val="2"/>
      </rPr>
      <t xml:space="preserve"> in der Ramp-Up-Phase durch das KDB freigegeben wurden.</t>
    </r>
  </si>
  <si>
    <t>Zuordnung zu den Userstorys bei Relevanz für Welle 1</t>
  </si>
  <si>
    <t>Datei</t>
  </si>
  <si>
    <t>Freigabe (Filter auf ja) über KDB, da in Gapliste aus Ramp-Up-Phase enthalten</t>
  </si>
  <si>
    <t>Status für Übernahme nicht über Gapliste, sondern aus Beurteilung der Transaktionen in Z-Artefaktenliste von Johannes und Volker</t>
  </si>
  <si>
    <t>vorherige Bewertung
Übernahme</t>
  </si>
  <si>
    <t>1 Ausführbares Programm</t>
  </si>
  <si>
    <t>Grundsätzlich Nein: für keine Welle relevant</t>
  </si>
  <si>
    <t>Utitilites/SAP Supportpackage</t>
  </si>
  <si>
    <t>X</t>
  </si>
  <si>
    <t>Nein, keine Übernahme</t>
  </si>
  <si>
    <t>Roland, 27.5.2024: Nein, nicht übernehmen, mit Johannes geklärt.</t>
  </si>
  <si>
    <t>Idoc Status auf erledigt setzen</t>
  </si>
  <si>
    <t>Ja, Übernahme, aber nicht relevant für Welle 1</t>
  </si>
  <si>
    <t>I2C - Utilites Warenwirtschaft ETM</t>
  </si>
  <si>
    <t>Ja, Übernahme</t>
  </si>
  <si>
    <t>Roland, 27.5.204: Ja, wird benötigt, aber nicht in Welle 1; geklärt mit J. Schaut und V. Niemann</t>
  </si>
  <si>
    <t>Irrelevant</t>
  </si>
  <si>
    <t>Roland, 15.11.2023: Nein, bezieht sich auf einen Hinweis aus 2018.</t>
  </si>
  <si>
    <t>Kilian, 15.11.2023: Nein, müsste oboselt sein, auch wegen neues BP-Ansatz.</t>
  </si>
  <si>
    <t>Programm SAPMZSWA</t>
  </si>
  <si>
    <t>M Modulpool</t>
  </si>
  <si>
    <t>I2C</t>
  </si>
  <si>
    <t>Modulpool: Elektronisches Bezahlen SWA-Terminal</t>
  </si>
  <si>
    <t>A2R - Utitlities Anlagenmanagement</t>
  </si>
  <si>
    <t>Roland, 12.6.2024: Info von Johannes Schaut per Mail. Nicht relevant für keine Welle</t>
  </si>
  <si>
    <t>Roland, 15.11.2023: Nein, Rückführung auf den SAP Standard gemäß Projektvorgabe.</t>
  </si>
  <si>
    <t>Finance Gapliste: Gap 01-(A2R-03.06)</t>
  </si>
  <si>
    <t>Nein, keine Übernahme: Abstimmung mit NTT und Fr. Brahms am 12.3.2024</t>
  </si>
  <si>
    <t>Ursprünglich freigegeben im KDB, wird aber nicht mehr benötigt.</t>
  </si>
  <si>
    <t>Roland, 9.7.2024: Nachträgliche Änderung zum KDB-Beschluss, da Z-Artefakte als obsolet angesehen werden.</t>
  </si>
  <si>
    <t>Ja, in Welle 1 relevant</t>
  </si>
  <si>
    <t>R2R - Abschreibungen Accrual Engine</t>
  </si>
  <si>
    <t>Roland, 27.5.2024: Ja, wird benötigt, geklärt mit Johannes Schaut</t>
  </si>
  <si>
    <t>Prüfen Debitoren auf fehlende Adresse-Einträge</t>
  </si>
  <si>
    <t>Kein Prozess: wird in der ADAC SAP-Basis benötigt.</t>
  </si>
  <si>
    <t>Roland, 27.5.2024: Funktionalitäten, die auch unter S/4HANA durch die ADAC SAP Basis benötigt werden.</t>
  </si>
  <si>
    <t>Archivelink: Pflege der Verknüpfungstabellen</t>
  </si>
  <si>
    <t>Programm ZBC_ANONYM_ZQ1</t>
  </si>
  <si>
    <t>Anzahl Positionen von Belegarten für ECC-Systeme</t>
  </si>
  <si>
    <t>Roland: 22.03.2024: Nein, entfällt, da neue Lösung</t>
  </si>
  <si>
    <t>Nummernkreise prüfen</t>
  </si>
  <si>
    <t>Kopieren Dataset mit Archivierung</t>
  </si>
  <si>
    <t/>
  </si>
  <si>
    <t>Logo-Clicks ein/ausschalten</t>
  </si>
  <si>
    <t>Finance Gapliste: Gap O2C</t>
  </si>
  <si>
    <t>Ja, Übernahme, da Z-Artefakt aus Ramp-Up-Phase: freigegeben durch KDB</t>
  </si>
  <si>
    <t>Testutils</t>
  </si>
  <si>
    <t>Roland, 8.7.2024: Ist eine Anforderung der Revision, muss umgesetzt werden. Klärung mit Johannes Schaut.</t>
  </si>
  <si>
    <t>Roland, 8.7.2024: Ist Prozessthema für die Anlage der User. Klärung mit Johannes Schaut.</t>
  </si>
  <si>
    <t>Roland, 15.11.2023: Nein, bezieht sich auf einen OSS Hinweis aus 2015.</t>
  </si>
  <si>
    <t>Roland, 23.2.2024: Nein, wird nicht mehr benötigt lt. P2P-Team.</t>
  </si>
  <si>
    <t>P2P</t>
  </si>
  <si>
    <t>17.02.25: nicht für Planisware benötigt (s.u.)</t>
  </si>
  <si>
    <t>17.02.25: wird von AVM nicht mehr benötigt</t>
  </si>
  <si>
    <t>Roland, 23.2.2024: Nein, wird nicht mehr benötigt lt. P2P-Team. (Ersatz durch BW und SAC)</t>
  </si>
  <si>
    <t>17.02.25 wird in S/4 nicht mehr benötigt</t>
  </si>
  <si>
    <t>tbd, (Klärung mit NTT) ob in S/4HANA anders abbildbar, sonst ja, relevant in Welle 1</t>
  </si>
  <si>
    <t>17.02.25: Programm greift inzwischen auf Plan-Zahlen zu</t>
  </si>
  <si>
    <t>Utilities Basis Lizenzverrechnung</t>
  </si>
  <si>
    <t>dieser ABAP wird nicht übernommen, aber evtl. durch eine Neuprogrammeirung ersetzt (fachl. Ansprechpartner T. Heigenmoser)</t>
  </si>
  <si>
    <t>Roland, 23.2.2024: tbd, da abhängig vom Lizenzmodell in S/4HANA. Termin mit P2P-Team.</t>
  </si>
  <si>
    <t>17.02.25: wird nicht mehr benötigt, da alle Dateien ILV über die ILV-App laufen</t>
  </si>
  <si>
    <t>KDB-Entscheidung vom 17.3.2025, Entscheidung in Realize-Phase</t>
  </si>
  <si>
    <t>Lädt aus dem SAP Kennzahlen, z.B. Umsätze (Folgeschritt, siehe ZCO_Kennzahlen_Import); 17.02.25: wird prozessual für die Umlagen weiterhin benötigt, da oft Einfrierung von Plan-Stand</t>
  </si>
  <si>
    <t xml:space="preserve">in CALM anzulegen </t>
  </si>
  <si>
    <t>Spielt Kennzahlen ins SAP, z.B. Umsätze die davor aus den KOA-Gruppen ermittelt wurden (siehe ZCO_Kennzahlen_Abzug); 17.02.25: wird prozessual für die Umlagen weiterhin benötigt, da oft Einfrierung von Plan-Stand</t>
  </si>
  <si>
    <t>19.02. ist bereits jetzt im R/3 abgeschaltet</t>
  </si>
  <si>
    <t>Roland, 13.11.2023: Nein, Loga wird durch HCM abgelöst</t>
  </si>
  <si>
    <t>wird dann auch von planisware genutzt</t>
  </si>
  <si>
    <t>Ja, Übernahme mit Anpassungen</t>
  </si>
  <si>
    <t>wird jetzt für Planisware verwendet</t>
  </si>
  <si>
    <t>Roland, 23.2.2024: Termin mit P2P-Team: Ja, mit Anpasungen</t>
  </si>
  <si>
    <t>Ja, Übernahme mit Anpassungen (PC-Abzug mit KST )</t>
  </si>
  <si>
    <t>Roland, 23.2.2024: Ja, mit Anpassungen, abhängig von Schnittstelle. Muss  umgestellt werden auf KST und PSP</t>
  </si>
  <si>
    <t>Grundsätzlich Nein: für keine Welle relevant (evtl durch SAC genutzt)</t>
  </si>
  <si>
    <t>19.02. die Planung läuft zu 100% über die SAC</t>
  </si>
  <si>
    <t>Prüfung Abteilung und verantw. Benutzer in den CO Stammdaten</t>
  </si>
  <si>
    <t>19.02. Abstimmledger nicht mehr genutzt</t>
  </si>
  <si>
    <t>tbd, vor entsprechender Welle für VES zu prüfen, ob noch in Nutzung</t>
  </si>
  <si>
    <t>Prämisse: Ikor Vera wird eingeführt</t>
  </si>
  <si>
    <t>Abzug KST und Innenauftr/PSP für ZEMAREP (u.a. PITFM)</t>
  </si>
  <si>
    <t>Roland, 23.2.2024: Ja, mit Anpassungen, abhängig von Schnittstelle. Termin mit P2P-Team.</t>
  </si>
  <si>
    <t>Roland, 15.11.2023: Nein, keine proaktive Übernahme, da vsl. veraltet.</t>
  </si>
  <si>
    <t>Roland, 15.11.2023: Nein, keine Übernahme</t>
  </si>
  <si>
    <t>Roland, 4.1.2024: Nein, das MDM-Projekt wird derzeit nicht umgesetzt beim ADAC.</t>
  </si>
  <si>
    <t>Integrierte Finanzplanung</t>
  </si>
  <si>
    <t>tbd</t>
  </si>
  <si>
    <t>Roland, 4.1.2024: tbd, Prüfung vom Team SAC, ob Ablösung durch SAC</t>
  </si>
  <si>
    <t>S2P</t>
  </si>
  <si>
    <t>Finance Gapliste: Gap S2P</t>
  </si>
  <si>
    <t>Filenetarchiv Utilities</t>
  </si>
  <si>
    <t>Roland, 15.11.2023: Ja, wird benötigt.</t>
  </si>
  <si>
    <t>Roland, 9.4.2024: Nein, keine Übernahme nach Abstimmung mit Fr. Brahms.</t>
  </si>
  <si>
    <t>Roland, 13.12.2023: Nein, Funktionalität sollte in In S/4HANA vorhanden sein.</t>
  </si>
  <si>
    <t>A2R</t>
  </si>
  <si>
    <t>Finance Gapliste: Gap 01-(A2R-02.01)</t>
  </si>
  <si>
    <t>Ja, in Welle 1 relevant, betrifft Filenet-Archiv.</t>
  </si>
  <si>
    <t>FI Rechnungsschnittstelle Utilites PDF im FI-Beleg hinterlegen</t>
  </si>
  <si>
    <t>22.04.2025: Die Umsetzung ist im Rahmen der Realizephase erfolgt.</t>
  </si>
  <si>
    <t>Roland, 13.12.2023: Ja, wird benötigt. Geklärt mit Johannes Schaut</t>
  </si>
  <si>
    <t>Roland, 13.12.2023: Nein, keine Übernahme notwendig, geklärt mit Johannes Schaut</t>
  </si>
  <si>
    <t>R2R</t>
  </si>
  <si>
    <t>Roland, 13.12.2023: Ja, mit Anpassungen, betrifft heutige Auslagenabrechnung für Straßenwachtfahrer. Geklärt mit Johannes Schaut.</t>
  </si>
  <si>
    <t>Roland, 4.1.2024: Ja, da der Prozess für die Auslagen durch die Straßenwachtfahrer sich nicht ändern.</t>
  </si>
  <si>
    <t>Erstellen Datei für PORTA-Avise</t>
  </si>
  <si>
    <t>Nicht relevant in Welle 1, sondern spätere Welle</t>
  </si>
  <si>
    <t>KDB-Entscheidung vom 14.10.2024</t>
  </si>
  <si>
    <t>Neue Anforderung nach Ramp-Up-Phase</t>
  </si>
  <si>
    <t>Roland, 8.10.2024: Ja, wird benötigt, geklärt mit Johannes Schaut. Hintergrund: Entlastung der Kontoauszugsverarbeitung durch Umbuchung auf einem Zwischenkonto.</t>
  </si>
  <si>
    <t>Finance Gapliste: Gap 02-(O2C-06.01)</t>
  </si>
  <si>
    <t>Roland, 4.1.2024: Ja, da MD Car Broker übernommen wird. = Vorlaufprogramm zur Schnittstelle. Geklärt mit Johannes Schaut.</t>
  </si>
  <si>
    <t>Roland, 4.1.2024: Ja, da MD Car Broker übernommen wird. = Vorlaufprogramm zur Schnittstelle.</t>
  </si>
  <si>
    <t>Roland, 13.12.2023: Nein, keine Übernahme notwendig, geklärt mit Johannes Schaut: betrifft heutige ILV</t>
  </si>
  <si>
    <t>Finanzbuchhaltung Reporting; Prüfen kann möglicherweise entfallen - Aushebeln SE16?</t>
  </si>
  <si>
    <t>Roland, 13.12.2023: tbd, Termin zur Klärung mit Fachbereich ausmachen.</t>
  </si>
  <si>
    <t>Roland, 4.1.2024: Nein, da Adam-alt betreffend.</t>
  </si>
  <si>
    <t>Roland, 4.1.2024: Nein, Ablösung durch MBC.</t>
  </si>
  <si>
    <t>I2C - Schnittstelle Zahlungsdienstleister PayOne BK 1000; 2400; 6100 Zahlungsverkehr Kontoauszug</t>
  </si>
  <si>
    <t>KDB-Entscheidung vom 24.3.2024: Übernahme, da die SAP Komponente Digital Payments wird nicht eingeführt.</t>
  </si>
  <si>
    <t>Roland, 4.1.2024: Ja, wird benötigt, da Anbindung an Kreditkartenprovider</t>
  </si>
  <si>
    <t>I2C - Schnittstelle Zahlungsdienstleister SEPA Lastschriften; BK 2100 (Mautportal)</t>
  </si>
  <si>
    <t>I2C - Schnittstelle Zahlungsdienstleister PayOne BK 2400 - Girocard TIMDATA</t>
  </si>
  <si>
    <t>Roland, 13.12.2023: Ja, wird benötigt, geklärt mit Johannes Schaut</t>
  </si>
  <si>
    <t>I2C - Umbuchung Zahlungen ZDL PayOne auf Zwischenkonten; nur BK 2400</t>
  </si>
  <si>
    <t>I2C - Falls Kunde Lastschrifteinzug widerspricht, bucht Programm neuen offenen Posten ein</t>
  </si>
  <si>
    <t>22.04.2025: Wird im Zuge Darstellung der Z-Transaktionen imKDB im April/Mai 2025 mit genehmigt.</t>
  </si>
  <si>
    <t>Roland, 13.12.2023: Ja, wird benötigt, geklärt mit Johannes Schaut. Automatische Wiedereinbuchung geplatzer Lastschriften</t>
  </si>
  <si>
    <t>Finance Gapliste: Gap 03-(O2C-07.02)</t>
  </si>
  <si>
    <t>I2C - Schnittstelle Zahlungsdienstleister CompuTop nur BK 2400</t>
  </si>
  <si>
    <t>Utitlites; Basisbetrieb - notwendig für Jobsteuerung und Einplanung</t>
  </si>
  <si>
    <t>Reporting Finanzbuchhaltung - kann möglicherweise entfallen</t>
  </si>
  <si>
    <t>Abzug Tabellen für Vita-Migration R2</t>
  </si>
  <si>
    <t>tbd zu einem späteren Zeitpunkt; für Welle 1 nicht relevant</t>
  </si>
  <si>
    <t>Migrationsprogramm für Belege</t>
  </si>
  <si>
    <t>tbd zu einem späten Zeitpunkt, da nicht relevant für Welle 1</t>
  </si>
  <si>
    <t>Roland, 4.1.2024: tbd, Nein, wenn VITA erfolgreich vor S/4HANA abgewickelt ist, sonst ja.</t>
  </si>
  <si>
    <t>Roland, 13.11.2023: Nein, wird im Rahmen der AIF behandelt</t>
  </si>
  <si>
    <t>I2C - Mahnprozess; Setzen Kennzeichen "Rechtsabteilung im Stammsatz</t>
  </si>
  <si>
    <t>Roland, 13.12.2023: Wird im Mahnlauf benötigt, da voll-automatische Mitteilung an bestimmte Abteilungen in Abhängikeit der Mahnstufe. Evtl. durch Dispute und Collections Management darstellbar</t>
  </si>
  <si>
    <t>Roland, 4.1.2024: Nein, da kein Standard</t>
  </si>
  <si>
    <t>Roland, 4.1.2004: Nein, nicht mehr notwendig</t>
  </si>
  <si>
    <t>Anhänge zwischen Belegen kopieren</t>
  </si>
  <si>
    <t>Utilities Filenetarchiv</t>
  </si>
  <si>
    <t>Roland, 4.1.2024: Reporting für Buchhaltung: Anzahl Anhänge an Belegen. Roland, 27.5.2024: Klärung mit Bao durch Volker. Voler, 3.6.2024: Klärung  mit NTT notwendig.</t>
  </si>
  <si>
    <t>neu: Basis (ursprünglich in I2C verortet)</t>
  </si>
  <si>
    <t>Roland, 4.1.2024: Ja, wird für ETM benötigt, auch nach Abschluss von ETM.</t>
  </si>
  <si>
    <t>Roland, 13.12.2023: Nein, keine Übernahme notwendig, geklärt mit Johannes Schaut: Mit Einführung MBC überflüssig, ohne MBC notwendig.</t>
  </si>
  <si>
    <t>Roland, 13.12.2023: Ja, wird benötigt. Geklärt mit Johannes Schaut. Avise für das Portal Porta. Keine doppelte Avise</t>
  </si>
  <si>
    <t>Finance Gapliste: Gap 01-(S2P-09.03)</t>
  </si>
  <si>
    <t>Roland, 15.11.2023: Ja, wird benötigt. Revidiert am 11.4.2025 nach Bestätigung durch Herrn Hug: wird nicht benötigt, da Abbildung im Standard.</t>
  </si>
  <si>
    <t>Roland, 4.1.2024: Nein, keine Übernahme lt. Frau Bielmeier.</t>
  </si>
  <si>
    <t>Michi S. (5.2.24): Ja, folgend der Mail von M. Hug (3.2.24) ist diese Z-Transaktion für das Mapping von SAP zur aktuellen ADAC Konsoldierungssoftware essentiell; da unklar ist, wann der Soll-Prozess durch die Einführung von Group Reporting implementiert wird, muss die Z-Transaktion vorübergehend übernommen werden (Beschluss fachliche Projektleitung) //  ( Roland, 15.11.2023: Nein, da Beurteilung in Z-Artefakteliste (Spalte N) in Spalte Q mit Nein bewertet wurde.</t>
  </si>
  <si>
    <t>Roland, 13.11.2023: Nein, Prisma wird abgelöst</t>
  </si>
  <si>
    <t>Finance Gapliste: Gap 06-(O2C-07.02)</t>
  </si>
  <si>
    <t>I2C - Finanzbuchhaltung Inkassoprozess</t>
  </si>
  <si>
    <t>Roland, 4.1.2024: Ja, da EOS neuer Inkassopartner des ADAC.</t>
  </si>
  <si>
    <t>Finance Gapliste: Gap 04-(O2C-07.02)</t>
  </si>
  <si>
    <t>Finance Gapliste: Gap 05-(O2C-07.02)</t>
  </si>
  <si>
    <t>Finance Gapliste: Gap 01-(O2C-07.03)</t>
  </si>
  <si>
    <t>Roland, 4.1.2024: Nein, nicht mehr notwendig</t>
  </si>
  <si>
    <t>Ja, in Welle 1 relevant, aber keine Einführung.</t>
  </si>
  <si>
    <t>KDB-Entscheidung vom 17.6.2024: Übernahme, da die SAP komponenten Group Reporting von DM nicht eingeführt werden.</t>
  </si>
  <si>
    <t>Nein, keine Übernahme notwendig, Info von M. Hug vom 4.7.2024</t>
  </si>
  <si>
    <t>Neue Anforderung nach Ramp-Up-Phase, wird aber nicht benötigt und entfällt.</t>
  </si>
  <si>
    <t>Roland, 5.7.2024: IDL bleibt bestehen, lt. M. Hug (info 4.7.2024). Diese Z-Artefakte werden jedoch nicht benötigt.</t>
  </si>
  <si>
    <t>Roland, 13.12.2023: tbd, Ja, wenn LAVA vor erster Rollout-Welle nicht vollständig abgelöst.</t>
  </si>
  <si>
    <t>Roland, 13.12.2023: Nein, keine Übernahme notwendig, geklärt mit Johannes Schaut: Andere Struktur in S/4HANA.</t>
  </si>
  <si>
    <t>tbd, (betrifft Treasury), möglichweise nein, da neue Funktionalität über MBC, sonst ja, dann relevant in Welle 1</t>
  </si>
  <si>
    <t>Roland, 13.12.2023: tbd, muss im Rahmen der implementierung mit MBC untersucht werden.</t>
  </si>
  <si>
    <t>Ja, in Welle 1 relevant, da nicht im Standard abbildbar. Mit NTT geklärt.</t>
  </si>
  <si>
    <t>Roland, 27.5.2024: Klärung mit NTT, ob unter S/4HANA "anders" abbildbar.</t>
  </si>
  <si>
    <t>Finance Gapliste: Gap 01-(O2C-07.01)</t>
  </si>
  <si>
    <t>I2C - Finanzbuchhaltung Mahnprozess</t>
  </si>
  <si>
    <t>Finance Gapliste: Gap 02-(O2C-07.02)</t>
  </si>
  <si>
    <t>Finance Gapliste: Gap 01-(O2C-07.02)</t>
  </si>
  <si>
    <t>Prüfung ob Z-Artefakt wirklich notwendig oder im Standard abbildbar? Siehe Mail von Frau Wieder vom 12.7.2024.</t>
  </si>
  <si>
    <t>SAP Basis Belegnummernkreise Utilites</t>
  </si>
  <si>
    <t>I2C - Schnittstelle Zahlungsdiensleister PayPal - BK 2400; 6100; 1000</t>
  </si>
  <si>
    <t>Roland, 4.1.2024: Ja, wurde extra für Ehrenamt erstellt</t>
  </si>
  <si>
    <t>Roland, 13.12.2023: tbd, Termin zur Klärung mit Fachbereich  CO und Vignette notwendig.</t>
  </si>
  <si>
    <t>Ursprüngich freigegeben im KDB, wird aber nicht mehr benötigt.</t>
  </si>
  <si>
    <t>Roland, 8.7.2024: Rücksprache mit Johannes Schaut: ist obsolet.</t>
  </si>
  <si>
    <t>Finance Gapliste: Gap 01-(O2C-06.01)</t>
  </si>
  <si>
    <t>Roland, 5.7.2024: IDL bleibt bestehen,daher müssen diese Z-Transaktionen lt. M. Hug (info 4.7.2024) auch in S/4HANA genutzt werden.</t>
  </si>
  <si>
    <t>Roland, 13.11.2023: Nein, Verweis auf eine nicht mehr aktuelle Version.</t>
  </si>
  <si>
    <t>Roland, 8.7.2024: Vsl. irrelevant, da in S/4 neues Geschäftspartnerkonzept.</t>
  </si>
  <si>
    <t>Roland, 4.1.2024: Ja, da Standardtransaktion nicht funktioniert, siehe OSS-Hinweis.</t>
  </si>
  <si>
    <t>A2R - Reporting Anlagenbuchhaltung BK 4200 bis 6100</t>
  </si>
  <si>
    <t xml:space="preserve">I2C - Zahlungsprozess - Sanktionslistenprüfung BK 6100 </t>
  </si>
  <si>
    <t>Roland, 13.12.2023: Ja, wird benötigt. Geklärt mit Johannes Schaut. Prozess mit Format ändert sich nicht.</t>
  </si>
  <si>
    <t>R2R - Reporting Finanzbuchhaltung eingelöscte Schecks</t>
  </si>
  <si>
    <t>I2C - Erlösumbuchung Gesellschaften Intercompany</t>
  </si>
  <si>
    <t>Roland, 13.12.2023: Ja, wird benötigt, geklärt mit Johannes Schaut. Wird auch mit neuem Partner "Universal" genutzt.</t>
  </si>
  <si>
    <t>Treasury/Kapitalanlagen - Schnittstelle zu Dienstleiser UI-Labs</t>
  </si>
  <si>
    <t>Roland, 13.12.2023: Ja, wird benötigt, geklärt mit Johannes Schaut. Aufbereitung elektronische Gutschrift an Partner VARTA im Rahmen von ETM</t>
  </si>
  <si>
    <t>Roland, 4.1.2024, Ja, da Spider bestehen bleibt. Anforderung vom Einkauf.</t>
  </si>
  <si>
    <t>Roland, 13.12.2023: Nein, keine Übernahme notwendig, geklärt mit Johannes Schaut: Ersatz durch AIF Schnittstelle</t>
  </si>
  <si>
    <t>SAP-FI Standardschnittstelle; Übergreifender Prozess Anlage Stammsätze und Buchungsstoff</t>
  </si>
  <si>
    <t>Roland, 15.11.2023: Nein, keine Übernahme; Roland, 20.5.2025: Teil des CR-27 zum LZB-Kennzeichen, daher Übernahme</t>
  </si>
  <si>
    <t>Roland, 13.12.2023: Nein, wird ggf. durch Dispute und Collections Management abgelöst.</t>
  </si>
  <si>
    <t>I2C - ETM Warenwirtschaft Umbuchung von Kassenkonto auf zugehörige Forderungskonten nur BK 1000</t>
  </si>
  <si>
    <t>Roland, 4.1.2024: Ja, da bei Kassenbuch im S/4 keine Änderung.</t>
  </si>
  <si>
    <t>I2C - Inksassoprozess - Reporting Übergabeprozess an diverse Inkassopartner</t>
  </si>
  <si>
    <t>Roland, 4.1.2024: Ja, wird benötigt.</t>
  </si>
  <si>
    <t>R2R - Utilities für Fachbereich Finanzen; Hochladen von Kontierungsdaten in Z-Tabellen nur BK 6100</t>
  </si>
  <si>
    <t>Roland, 4.1.2024: tbd, wenn IVAN vor Einführung S/4HANA abgelöst wird.</t>
  </si>
  <si>
    <t>Roland, 13.12.2023: Ja, wird benötigt. Geklärt mit Johannes Schaut: Aufbereitung elektronische Gutschrift an Partner VARTA im Rahmen von ETM</t>
  </si>
  <si>
    <t>Cash-Concentration: Salden nach Valutadatum</t>
  </si>
  <si>
    <t>Treasury - Finanzdienste Cashconcentration</t>
  </si>
  <si>
    <t>Besprechung am 4.6.2024: Aktives Vorprogramm, dass noch benötigt wird.</t>
  </si>
  <si>
    <t>Ja, in Welle 1 relevant, wenn Ikor Vera nicht in Welle 1 live geht</t>
  </si>
  <si>
    <t>Tax</t>
  </si>
  <si>
    <t>tbd, abhängig von "anderen" Parametern, die das Projekt beeinflussen.</t>
  </si>
  <si>
    <t>Roland, 4.1.2024: tbd, Ja, unter der Prämisse gem. KDB vom 18.12.2023, dass Ikor Vera zu einem späteren Zeitpunkt eingeführt wird, sonst nein.</t>
  </si>
  <si>
    <t>Erzeugung Schleifenbuchung für VTE</t>
  </si>
  <si>
    <t>KDB: Formaler KDB-Beschluss folgt noch; wird benötigt bei AVM. Umsetzung erforderlich.</t>
  </si>
  <si>
    <t>Roland, 4.1.2024: Nein, nicht mehr notwendig. Bestätigung am 8.7.2024 durch Imke Hagen und Ramon Demir</t>
  </si>
  <si>
    <t>Roland, 4.1.2024: Nein, Auswertung Zahlläufe auf Kontenruppen. Sollte im Standard auswertbar sein.</t>
  </si>
  <si>
    <t>Roland, 4.1.2024: Nein, nicht mehr notwendig, wenn im Standard abbildbar über Fiori.</t>
  </si>
  <si>
    <t>Roland, 4.1.2024: Nein, Auswertung Zahlläufe nach Schnittstellen. Läuft monatlich. Schon änger nicht mehr gepflegt. Schnittstellen fehlen</t>
  </si>
  <si>
    <t>Roland, 8.7.2024: In S/4 vsl. andere Auswertungsmöglichkeiten.</t>
  </si>
  <si>
    <t>Prüfen Mahn-/Zahlläufe</t>
  </si>
  <si>
    <t>Roland, 4.1.2024: Ja, wird benötigt, wenn SAP Basis weiter die Zahlläufe startet.</t>
  </si>
  <si>
    <t>kann gelöscht werden - 10 Jahre altes Korrekturprogramm</t>
  </si>
  <si>
    <t>Roland, 27.5.2024, geklärt mit Johannes</t>
  </si>
  <si>
    <t>tbd, (betrifft S2P - Ivalua), Nein, wird nicht mehr benötigt, wenn mit Ivalua darstellbar</t>
  </si>
  <si>
    <t>S2P - Reporting offene Bestellungen für AIS; BK 3800; kann möglicherweise entfallen</t>
  </si>
  <si>
    <t>Volker, 13.11.2023: tbd, Offen (Fr. Knorr)</t>
  </si>
  <si>
    <t>Volker, 13.11.2023: Nein, nicht übernehmen</t>
  </si>
  <si>
    <t>Volker, 13.11.2023: Nein, Ablösung durch ivalua</t>
  </si>
  <si>
    <t>S2P - Reporting Bestellung Fachbereich Einkauf</t>
  </si>
  <si>
    <t>Volker, 13.11.2023: tbd, Offen (Fr. Hantschel)</t>
  </si>
  <si>
    <t>Ja, in Welle 1 relevant, wenn Ivalua nicht vor Welle 1 komplett abgeschlossen.</t>
  </si>
  <si>
    <t>Roland, 27.5.2024: tbd, Entscheidung abhängig von Finalisierung von ivalua. Nein, wenn Ivalua Go-Live vor S/4HANA Go-Live.</t>
  </si>
  <si>
    <t>Volker, 13.11.2023: Nein, nicht mehr genutzt</t>
  </si>
  <si>
    <t>S2P -Bestelldruck; Utility Nachlesen Informationen über externen perform</t>
  </si>
  <si>
    <t>Volker, 13.11.2023: tbd, Offen (Bestelldruck)</t>
  </si>
  <si>
    <t>S2P - Bestellung MM/Einkauf/Ivalua</t>
  </si>
  <si>
    <t>Volker, 13.11.2023: tbd, Offen (benötigt für ivalua?)</t>
  </si>
  <si>
    <t>S2P - Inventurbewertungsliste MM - Einkauf; Bilanzierung</t>
  </si>
  <si>
    <t>Volker, 27.5.2024: Geklärt durch Volker</t>
  </si>
  <si>
    <t>S2P - Inventurbewertungsliste MM - Einkauf; Bilanzierung keine Änderung seit 2009?</t>
  </si>
  <si>
    <t>S2P Gapliste: Gap All-G09</t>
  </si>
  <si>
    <t>Roland, 27.5.2024: Ja, Übernahme</t>
  </si>
  <si>
    <t>Volker, 13.11.2023; Ja, Lagerplatz-Verwaltung</t>
  </si>
  <si>
    <t>S2P Gapliste: Gap All-G07</t>
  </si>
  <si>
    <t>S2P Gapliste: Gap All-G08</t>
  </si>
  <si>
    <t>Volker, 13.11.2023: Ja, Materialstammpflege</t>
  </si>
  <si>
    <t>S2P Gapliste: Gap All-G06</t>
  </si>
  <si>
    <t>tbd, noch nicht final. Aber Stand heute vsl. nicht mehr benötigt für S/4HANA</t>
  </si>
  <si>
    <t>S2P - Utility Programm MM Rechnungsschnittstelle - Herrn Nieman fragen</t>
  </si>
  <si>
    <t>Vsl. nein - Stand heute noch nicht final klärbar.</t>
  </si>
  <si>
    <t>Roland, 5.6.2024: Ist ein Ausläufer, wahrscheinlich nicht mehr für S/4HANA benötigt, da Abwicklung über OREA. Zum heutigen Zeitpunkt noch nicht final entscheidbar.</t>
  </si>
  <si>
    <t>Möglicherweise Utitlity für Rechnungseingangsbuch - Herrn Haisch fragen</t>
  </si>
  <si>
    <t>Volker, 13.11.2023: tbd, Offen (benötigt für OREA)</t>
  </si>
  <si>
    <t>S2P Gapliste: Gap TOU-G16</t>
  </si>
  <si>
    <t>Datenextracttool Wirtschaftsprüfer - nicht berücksichten</t>
  </si>
  <si>
    <t>RE-FX</t>
  </si>
  <si>
    <t>Volker, 13.11.2023: tbd, Offen (RE-FX-Druck)</t>
  </si>
  <si>
    <t xml:space="preserve">Roland, 13.11.2023: Ja, Übernahme RE-FX Einstellungen. </t>
  </si>
  <si>
    <t>RE:  Objekt-Stammblatt RE-FX</t>
  </si>
  <si>
    <t>Korrekturprogramm SAP Supportpackage</t>
  </si>
  <si>
    <t>Programm löschen - darf nur in Integration laufen</t>
  </si>
  <si>
    <t>I2C Gapliste: Gap Shop-G06</t>
  </si>
  <si>
    <t>Utility Programm Materialreorganisation</t>
  </si>
  <si>
    <t>Volker, 13.11.2023: tbd, Offen (für Matreorg)</t>
  </si>
  <si>
    <t>Roland, 13.11.2023: Nein, wird durch ETM Projekt abgelöst</t>
  </si>
  <si>
    <t>I2C Gapliste: Gap TOU-G12</t>
  </si>
  <si>
    <t>I2C Gapliste: Gap ALL-G04</t>
  </si>
  <si>
    <t>I2C Gapliste: Ja, VIG-G05, Lagerplatzsystem, am 13.11.2023 nachträglich mit Volker geklärt und hier aufgenommen.</t>
  </si>
  <si>
    <t>Roland, 27.5.2024: Ja, wird benötigt, aber nicht in Welle 1</t>
  </si>
  <si>
    <t>Volker, 13.11.2023: Ja, Übernahme LRG lt. Beschluss KDB</t>
  </si>
  <si>
    <t>I2C Gapliste: Gap LRG-G03</t>
  </si>
  <si>
    <t>I2C Gapliste: Gap LRG-G11</t>
  </si>
  <si>
    <t>I2C Gapliste: Gap LRG-G13</t>
  </si>
  <si>
    <t>Volker, 13.11.2023: Ja Übernahme MAR lt. Beschluss KDB</t>
  </si>
  <si>
    <t>Roland, 27.5.2024: Geklärt mit Johannes Schaut</t>
  </si>
  <si>
    <t>Utilityprogramm Druckausgabe Nachrichtensätze</t>
  </si>
  <si>
    <t>Volker, 13.11.2023: tbd, Offen (Lieferschein-Druck)</t>
  </si>
  <si>
    <t>Volker, 13.11.2023: tbd, Offen (Lieferschein-Druck-Archiv)</t>
  </si>
  <si>
    <t>I2C Gapliste: Ja, Tou-G01 Intrashop, am 13.11.2023 nachträglich mit Volker geklärt und hier aufgenommen.</t>
  </si>
  <si>
    <t>I2C Gapliste: Ja, VIG-G03 Übernahme Vignette, am 13.11.2023 nachträglich mit Volker geklärt und hier aufgenommen.</t>
  </si>
  <si>
    <t>Roland, 27.5.2024: Betrifft Vignette/Touristik und damit nicht Welle 1</t>
  </si>
  <si>
    <t>I2C Gapliste: Gap SHOP-G01</t>
  </si>
  <si>
    <t>I2C Gapliste: Gap SHOP-G04</t>
  </si>
  <si>
    <t>Volker, 13.11.2023: tbd, Offen (Druck Materialentnahmeschein, Bestelldrcuk)</t>
  </si>
  <si>
    <t>Roland, 27.5.2024: Berifft ETM-Projekt und damit nicht Welle 1</t>
  </si>
  <si>
    <t>I2C Gapliste: Ja, VIG-G07 Übernahme Vignette, am 13.11.2023 nachträglich mit Volker geklärt und hier aufgenommen.</t>
  </si>
  <si>
    <t>Utitlityprogramm SAP-Basis</t>
  </si>
  <si>
    <t>Volker, 13.11.2023: tbd, Offen (Ablösung durch Customer-Vendor-Integartion)</t>
  </si>
  <si>
    <t>I2C Gapliste: GAP VIG-G10</t>
  </si>
  <si>
    <t>Volker, 13.11.2023: tbd, Offen Neu (Fr. Hopfmann)</t>
  </si>
  <si>
    <t>S2P Gapliste: Gap TOU-G17, aber Volker, 13.11.2023: Nicht übernehmen</t>
  </si>
  <si>
    <t>Volker, 13.11.2023: Ja, betrifft Tourset-Dispo, Frau Hopfmann</t>
  </si>
  <si>
    <t>I2C Gapliste: Ja, Tou-G09 Tourset Monatsabrechnungen, am 13.11.2023 nachträglich mit Volker geklärt und hier aufgenommen.</t>
  </si>
  <si>
    <t>Update 18.03.2025: lt. Fr. Hopfmann nicht mehr benötigt / Volker, 13.11.2023: Ja, betrifft Tourset-Dispo, Frau Hopfmann</t>
  </si>
  <si>
    <t>Touristik Einstiegsmenü</t>
  </si>
  <si>
    <t>I2C Gapliste: Ja, Tou-G05 Lieferadresse für die Waage, am 13.11.2023 nachträglich mit Volker geklärt und hier aufgenommen.</t>
  </si>
  <si>
    <t>I2C Gapliste: Ja, VIG-G01 Aufträge aus Access übernehmen, am 13.11.2023 nachträglich mit Volker geklärt und hier aufgenommen.</t>
  </si>
  <si>
    <t>Migrationsprogramm für Buchungskreisumzug - löschen</t>
  </si>
  <si>
    <t>Treasury - Forecast</t>
  </si>
  <si>
    <t>Besprechung am 4.6.2024 Programme laufen alle im Hintergrund. Laufen in Jobs ab und können vom Fachbereich so nicht ad hoc beurteilt werden.</t>
  </si>
  <si>
    <t>Treasury - Avise</t>
  </si>
  <si>
    <t>Treasury - Barwerttabelle</t>
  </si>
  <si>
    <t>4.6.2024: Rainer Excelimport in eine Tabelle</t>
  </si>
  <si>
    <t>Treasury - Spiegelgeschäft</t>
  </si>
  <si>
    <t>Besprechung am 4.6.2024 = Reporting. Kein Programm für Jobs</t>
  </si>
  <si>
    <t>22.04.2025: VIM wurde in der Ramp-Up-Phase freigegeben. Diese notwendigen Z-Transation wurden vergessen, explizit aufzuführen, müssen aber mit umgesetzt werden.</t>
  </si>
  <si>
    <t>Roland, 15.11.2023: Ja, neue Abindung an VIM, welches bestehen bleibt.</t>
  </si>
  <si>
    <t xml:space="preserve">          Export ins System Planisware</t>
  </si>
  <si>
    <t>ja, da neu</t>
  </si>
  <si>
    <t>zieht externe Honorare ab</t>
  </si>
  <si>
    <t>Z_CO_PRUEFUNG_KOSTENSTELLE</t>
  </si>
  <si>
    <t>Funktionsbaustein der prüft ob CO-Objekt nicht gesperrt ist</t>
  </si>
  <si>
    <t>Status</t>
  </si>
  <si>
    <t>Timebox</t>
  </si>
  <si>
    <t>DEV-005</t>
  </si>
  <si>
    <t>Nicht relevant</t>
  </si>
  <si>
    <t>Realize W1</t>
  </si>
  <si>
    <t>DEV-008</t>
  </si>
  <si>
    <t>In Bearbeitung</t>
  </si>
  <si>
    <t>DEV-003</t>
  </si>
  <si>
    <t>MS-Entwicklungsphase 2</t>
  </si>
  <si>
    <t>DEV-014</t>
  </si>
  <si>
    <t>MS-Entwicklungsphase 3</t>
  </si>
  <si>
    <t>DEV-016</t>
  </si>
  <si>
    <t>DEV-036</t>
  </si>
  <si>
    <t>Gesperrt</t>
  </si>
  <si>
    <t>DEV-042</t>
  </si>
  <si>
    <t>DEV-048</t>
  </si>
  <si>
    <t>DEV-049</t>
  </si>
  <si>
    <t>DEV-054</t>
  </si>
  <si>
    <t>DEV-050</t>
  </si>
  <si>
    <t>DEV-051</t>
  </si>
  <si>
    <t>DEV-056</t>
  </si>
  <si>
    <t>Fertig</t>
  </si>
  <si>
    <t>DEV-057</t>
  </si>
  <si>
    <t>DEV-058</t>
  </si>
  <si>
    <t>DEV-059</t>
  </si>
  <si>
    <t>DEV-095</t>
  </si>
  <si>
    <t>DEV-096</t>
  </si>
  <si>
    <t>XX</t>
  </si>
  <si>
    <t>XAP</t>
  </si>
  <si>
    <t>DEV-090</t>
  </si>
  <si>
    <t>DEV-093</t>
  </si>
  <si>
    <t>DEV-060</t>
  </si>
  <si>
    <t>MS-Entwicklungsphase 1</t>
  </si>
  <si>
    <t>DEV-099</t>
  </si>
  <si>
    <t>DEV-101</t>
  </si>
  <si>
    <t>DEV-102</t>
  </si>
  <si>
    <t>PSP</t>
  </si>
  <si>
    <t>DEV-097</t>
  </si>
  <si>
    <t>DEV-098</t>
  </si>
  <si>
    <t>Iteration 3 (W1)</t>
  </si>
  <si>
    <t>A2R-02.01</t>
  </si>
  <si>
    <t>Realize W2</t>
  </si>
  <si>
    <t>DEV-123</t>
  </si>
  <si>
    <t>2. Integrationstest (W1)</t>
  </si>
  <si>
    <t>Entwicklung</t>
  </si>
  <si>
    <t>P2R</t>
  </si>
  <si>
    <t>DEV-137</t>
  </si>
  <si>
    <t>TRM</t>
  </si>
  <si>
    <t>DEV-141</t>
  </si>
  <si>
    <t>DEV-144</t>
  </si>
  <si>
    <t>DEV-145</t>
  </si>
  <si>
    <t>DEV-146</t>
  </si>
  <si>
    <t>/</t>
  </si>
  <si>
    <t>Fracht</t>
  </si>
  <si>
    <t>DEV-156</t>
  </si>
  <si>
    <t>DEV-165.1</t>
  </si>
  <si>
    <t>DEV-165.3</t>
  </si>
  <si>
    <t>DEV-161</t>
  </si>
  <si>
    <t>DEV-162</t>
  </si>
  <si>
    <t>XXX</t>
  </si>
  <si>
    <t>DEV-163</t>
  </si>
  <si>
    <t>DEV-164</t>
  </si>
  <si>
    <t>DEV-165.2</t>
  </si>
  <si>
    <t>DEV-166</t>
  </si>
  <si>
    <t>DEV-167</t>
  </si>
  <si>
    <t>DEV-007-</t>
  </si>
  <si>
    <t>DEV-011</t>
  </si>
  <si>
    <t>DEV-013</t>
  </si>
  <si>
    <t>DEV-017</t>
  </si>
  <si>
    <t>DEV-018</t>
  </si>
  <si>
    <t>DEV-019</t>
  </si>
  <si>
    <t>DEV-020</t>
  </si>
  <si>
    <t>DEV-023</t>
  </si>
  <si>
    <t>DEV-024</t>
  </si>
  <si>
    <t>DEV-100</t>
  </si>
  <si>
    <t>DEV-026</t>
  </si>
  <si>
    <t>Realize W3</t>
  </si>
  <si>
    <t>DEV-027</t>
  </si>
  <si>
    <t>DEV-028</t>
  </si>
  <si>
    <t>DEV-029</t>
  </si>
  <si>
    <t>DEV-030</t>
  </si>
  <si>
    <t>DEV-045</t>
  </si>
  <si>
    <t>DEV-046</t>
  </si>
  <si>
    <t>DEV-047</t>
  </si>
  <si>
    <t>DEV-052</t>
  </si>
  <si>
    <t>INF-1007.03</t>
  </si>
  <si>
    <t>INF-1007.04</t>
  </si>
  <si>
    <t>DEV-004</t>
  </si>
  <si>
    <t>Z-Programm</t>
  </si>
  <si>
    <t>Match</t>
  </si>
  <si>
    <t>PROG</t>
  </si>
  <si>
    <t>R3STATE</t>
  </si>
  <si>
    <t>SQLX</t>
  </si>
  <si>
    <t>EDTX</t>
  </si>
  <si>
    <t>DBNA</t>
  </si>
  <si>
    <t>CLAS</t>
  </si>
  <si>
    <t>TYPE</t>
  </si>
  <si>
    <t>OCCURS</t>
  </si>
  <si>
    <t>SUBC</t>
  </si>
  <si>
    <t>APPL</t>
  </si>
  <si>
    <t>SECU</t>
  </si>
  <si>
    <t>CNAM</t>
  </si>
  <si>
    <t>CDAT</t>
  </si>
  <si>
    <t>VERN</t>
  </si>
  <si>
    <t>LEVL</t>
  </si>
  <si>
    <t>RSTAT</t>
  </si>
  <si>
    <t>RMAND</t>
  </si>
  <si>
    <t>RLOAD</t>
  </si>
  <si>
    <t>UNAM</t>
  </si>
  <si>
    <t>UDAT</t>
  </si>
  <si>
    <t>UTIME</t>
  </si>
  <si>
    <t>DATALG</t>
  </si>
  <si>
    <t>VARCL</t>
  </si>
  <si>
    <t>DBAPL</t>
  </si>
  <si>
    <t>FIXPT</t>
  </si>
  <si>
    <t>SSET</t>
  </si>
  <si>
    <t>SDATE</t>
  </si>
  <si>
    <t>STIME</t>
  </si>
  <si>
    <t>IDATE</t>
  </si>
  <si>
    <t>ITIME</t>
  </si>
  <si>
    <t>LDBNAME</t>
  </si>
  <si>
    <t>UCCHECK</t>
  </si>
  <si>
    <t>MAXLINELN</t>
  </si>
  <si>
    <t>A</t>
  </si>
  <si>
    <t>1</t>
  </si>
  <si>
    <t>F</t>
  </si>
  <si>
    <t>ITTEXUI</t>
  </si>
  <si>
    <t>000010</t>
  </si>
  <si>
    <t>K</t>
  </si>
  <si>
    <t>100</t>
  </si>
  <si>
    <t>DE</t>
  </si>
  <si>
    <t>Irina Ultschenko</t>
  </si>
  <si>
    <t>163835</t>
  </si>
  <si>
    <t>105120</t>
  </si>
  <si>
    <t>ZFI_SEPA_PRENOTE_INCL</t>
  </si>
  <si>
    <t>I</t>
  </si>
  <si>
    <t>ITTEXKA</t>
  </si>
  <si>
    <t>000011</t>
  </si>
  <si>
    <t>Alexander Krawietz</t>
  </si>
  <si>
    <t>071649</t>
  </si>
  <si>
    <t>ITTEXRM</t>
  </si>
  <si>
    <t>000028</t>
  </si>
  <si>
    <t>Mayrina Rud</t>
  </si>
  <si>
    <t>174552</t>
  </si>
  <si>
    <t>V</t>
  </si>
  <si>
    <t>ITTEXRA</t>
  </si>
  <si>
    <t>000033</t>
  </si>
  <si>
    <t>Andreas Rustemeier</t>
  </si>
  <si>
    <t>105230</t>
  </si>
  <si>
    <t>000012</t>
  </si>
  <si>
    <t>P</t>
  </si>
  <si>
    <t>ITTEXWR</t>
  </si>
  <si>
    <t>Rolf Winter</t>
  </si>
  <si>
    <t>113353</t>
  </si>
  <si>
    <t>000029</t>
  </si>
  <si>
    <t>SBBNV</t>
  </si>
  <si>
    <t>101336</t>
  </si>
  <si>
    <t>173932</t>
  </si>
  <si>
    <t>000020</t>
  </si>
  <si>
    <t>145217</t>
  </si>
  <si>
    <t>155036</t>
  </si>
  <si>
    <t>000013</t>
  </si>
  <si>
    <t>101034</t>
  </si>
  <si>
    <t>S</t>
  </si>
  <si>
    <t>000016</t>
  </si>
  <si>
    <t>T</t>
  </si>
  <si>
    <t>160836</t>
  </si>
  <si>
    <t>Programm</t>
  </si>
  <si>
    <t>Report-Titel</t>
  </si>
  <si>
    <t>ZMM_IVALUA_QUEUE_DISPLAY</t>
  </si>
  <si>
    <t>ZMM_IVALUA_QUEUE_PROCESS</t>
  </si>
  <si>
    <t>Programm ZFI_EXCEL_UPLOAD</t>
  </si>
  <si>
    <t>Z_CAMT_01_TEST</t>
  </si>
  <si>
    <t>TEST: Konvertierung</t>
  </si>
  <si>
    <t>ZFI_DEB_CRED_DOWNLOAD</t>
  </si>
  <si>
    <t>Programm ZFI_DEB_CRED_DOWNLOAD</t>
  </si>
  <si>
    <t>ZGGBR000</t>
  </si>
  <si>
    <t>Exit routines for Rules</t>
  </si>
  <si>
    <t>ZGGBS000</t>
  </si>
  <si>
    <t>Exit Routinen für Substitutionen</t>
  </si>
  <si>
    <t>ZBC_BER_ANALYSE</t>
  </si>
  <si>
    <t>Berechtigungsanalyse</t>
  </si>
  <si>
    <t>ZBC_JOB_EXPORT_IMPORT</t>
  </si>
  <si>
    <t>Jobexport/-import</t>
  </si>
  <si>
    <t>Import Zemarep</t>
  </si>
  <si>
    <t>ZBC_GLOBAL</t>
  </si>
  <si>
    <t>Globale Funktionen BASIS</t>
  </si>
  <si>
    <t>Programm ZFI_SEPA_PRENOTE</t>
  </si>
  <si>
    <t>ZSD_MAR_CONST</t>
  </si>
  <si>
    <t>Konstenten für die "Manuellen Ausgangsrechnungen"</t>
  </si>
  <si>
    <t>Programm ZBC_FILE_DELETE</t>
  </si>
  <si>
    <t>Programm ZFI_SPIDER_BESTELLNR_GET_FI</t>
  </si>
  <si>
    <t>Programm ZFI_SPIDER_DOCID_GET_FI</t>
  </si>
  <si>
    <t>ZBC_UAC_LAUNCH_TASK</t>
  </si>
  <si>
    <t>Launch UAC Task</t>
  </si>
  <si>
    <t>ZBC_OREAFREIGEBER_TEST</t>
  </si>
  <si>
    <t>Testprofgramm zur Prüfung des Funktionsbausteins z_bc_oreafreigeber</t>
  </si>
  <si>
    <t>ZCO_FEHLERHANDLING</t>
  </si>
  <si>
    <t>Fehlerhandling</t>
  </si>
  <si>
    <t>ZBC_FILE_EVENT_RESET</t>
  </si>
  <si>
    <t>Fileevent Abschluß</t>
  </si>
  <si>
    <t>ZCO_CO_OBJEKTABZUG</t>
  </si>
  <si>
    <t>Abzug von Kostenstellen und PSP-Elementen</t>
  </si>
  <si>
    <t>Prüfung Oragnisationsdaten</t>
  </si>
  <si>
    <t>Elektronische Festnetzrechnung (ELFE) Konvertierung Inhouseformat</t>
  </si>
  <si>
    <t>ZVIM_PF01_P_IDF_TEST</t>
  </si>
  <si>
    <t>Programm ZVIM_PF01_P_IDF_TEST</t>
  </si>
  <si>
    <t>ZSD_MV45AFZB_001</t>
  </si>
  <si>
    <t>Userexit zum Triggern einer Preisfindung bei Änderung von Feldwerten</t>
  </si>
  <si>
    <t>Rechnung archivieren</t>
  </si>
  <si>
    <t>ZVIM_BC_INBOUND_DYN_COL</t>
  </si>
  <si>
    <t>Dynamische Felder der Eingangsbelegverwaltung füllen</t>
  </si>
  <si>
    <t>Dateieventauslösung</t>
  </si>
  <si>
    <t>ZFI_BP_WIEDERHOL_VERARB2</t>
  </si>
  <si>
    <t>SS: BP Wiederholverarbeitung</t>
  </si>
  <si>
    <t>ZFI_SS_STAMM_DELETE</t>
  </si>
  <si>
    <t>Delete zfi_ss_stamm mit prgid eq space</t>
  </si>
  <si>
    <t>ZFI_SS_TEST</t>
  </si>
  <si>
    <t>Testprogramm BP anlegen</t>
  </si>
  <si>
    <t>ZFI_BP_WIEDERHOL_VERARB</t>
  </si>
  <si>
    <t>BP bearbeiten</t>
  </si>
  <si>
    <t>ZCA_WEBGUI_DOWNLOAD_TEST</t>
  </si>
  <si>
    <t>Test frontend download</t>
  </si>
  <si>
    <t>Inventur Vorschalt-Selektion</t>
  </si>
  <si>
    <t>Report ZMM_MI04</t>
  </si>
  <si>
    <t>SD-Aufträge im Rückstand</t>
  </si>
  <si>
    <t>ZMM_LAPSUP</t>
  </si>
  <si>
    <t>Unterprogramme Lagerverwaltung</t>
  </si>
  <si>
    <t>Programm ZMM_MATREORG</t>
  </si>
  <si>
    <t>Programm ZMM_MM60</t>
  </si>
  <si>
    <t>ZADAC_CLASSIC_TR_ANO_IDOC</t>
  </si>
  <si>
    <t>Idocs anonymisieren</t>
  </si>
  <si>
    <t>ZADAC_CLASSIC_TR_CHK_IDOC</t>
  </si>
  <si>
    <t>Execute Idoc System and Customizing Checks</t>
  </si>
  <si>
    <t>ZADAC_CLASSIC_TR_PF_POL_210</t>
  </si>
  <si>
    <t>PF-Ausgangsprozesse ausführen</t>
  </si>
  <si>
    <t>ZADAC_CLASSIC_TR_REIMP_IDOC</t>
  </si>
  <si>
    <t>Programm ZADAC_CLASSIC_TR_REIMP_IDOC</t>
  </si>
  <si>
    <t>ZADAC_CLASSIC_TR_SETRULE</t>
  </si>
  <si>
    <t>toggle RULE-ID</t>
  </si>
  <si>
    <t>ZADAC_CLASSIC_TR_SET_EOD</t>
  </si>
  <si>
    <t>Programm ZADAC_CLASSIC_TR_SET_EOD</t>
  </si>
  <si>
    <t>ZADAC_CLASSIC_TR_WRITE_FILE</t>
  </si>
  <si>
    <t>Treasury: write File from Notebook 2 MBC (on AS)</t>
  </si>
  <si>
    <t>Elektronische Mobilfunkrechnung (ELMO) Konvertierung Inhouseformat</t>
  </si>
  <si>
    <t>Rechnungen Telekom Datenverkehr (ELSY) Konvertierung Inhouseformat</t>
  </si>
  <si>
    <t>Z_ACAC_D_TRANS_EXAMPLE_S4_TOP</t>
  </si>
  <si>
    <t>Programm ZFI_MONATSABSCHLUSS_UPLOAD</t>
  </si>
  <si>
    <t>Z_ACAC_D_TRANS_EXAMPLE_S4</t>
  </si>
  <si>
    <t>ZBC_TAB_EXPIMP2</t>
  </si>
  <si>
    <t>ZBC_TAB_EXPIMP2 Tabellen Impotieren, DS-Filtern, Werte-Umschlüsseln</t>
  </si>
  <si>
    <t>ZBC_TAB_EXPIMP2_SIK</t>
  </si>
  <si>
    <t>ZBC_TAB_EXPIMP2 Tabellen Impotieren, DS-Filtern   ##  Sicherung  ###</t>
  </si>
  <si>
    <t>ZADAC_CLASSIC_TR_LAVA_EXP</t>
  </si>
  <si>
    <t>LAVA FX-Export</t>
  </si>
  <si>
    <t>ZHR_CONCUR_RESET_POSTING</t>
  </si>
  <si>
    <t>Concur - gebuchte Expense Reports für erneute Buchung zurücksetzen</t>
  </si>
  <si>
    <t>Programm ZFI_AVIS_WIEDERHOLUNG</t>
  </si>
  <si>
    <t>LAVA Schnittstelle</t>
  </si>
  <si>
    <t>Lava Schnittstelle</t>
  </si>
  <si>
    <t>ZADAC_CLASSIC_DM_DISP_BUILD</t>
  </si>
  <si>
    <t>Autocreate Disputes</t>
  </si>
  <si>
    <t>Programm ZSD_MAR_DRUCK</t>
  </si>
  <si>
    <t>ZCO_KENNZAHLEN_TRANSFER</t>
  </si>
  <si>
    <t>Kennzahlen ermitteln (transfer als Kennzahl)</t>
  </si>
  <si>
    <t>ZFI_GLOBAL</t>
  </si>
  <si>
    <t>Globale Funktionen</t>
  </si>
  <si>
    <t>ZAIRPLUS_CHECK_EBEL_POSTING</t>
  </si>
  <si>
    <t>Concur - Check e-receipt postings</t>
  </si>
  <si>
    <t>ZAIRPLUS_CHECK_IMPORT</t>
  </si>
  <si>
    <t>AirPlus - Abgleich LARS Import / AddOn Verbuchung</t>
  </si>
  <si>
    <t>ZAIRPLUS_CHECK_OVERDUE</t>
  </si>
  <si>
    <t>Concur - eReceipts Abrechnungserinnerungen verschicken</t>
  </si>
  <si>
    <t>ZAIRPLUS_CHECK_STATUS</t>
  </si>
  <si>
    <t>Concur - eReceipts Status abfragen</t>
  </si>
  <si>
    <t>ZAIRPLUS_CONDENSE_LINES</t>
  </si>
  <si>
    <t>Concur - AirPlus Positionen gruppieren</t>
  </si>
  <si>
    <t>ZAIRPLUS_CREATE_ERECEIPTS</t>
  </si>
  <si>
    <t>Concur - eReceipts erzeugen</t>
  </si>
  <si>
    <t>ZAIRPLUS_DB_TOOL</t>
  </si>
  <si>
    <t>Concur AddOn eBelege - DB Rücksetztool</t>
  </si>
  <si>
    <t>ZAIRPLUS_ERROR_LIST</t>
  </si>
  <si>
    <t>Concur eReceipts - Fehlerliste</t>
  </si>
  <si>
    <t>ZAIRPLUS_IMPORT_LRS</t>
  </si>
  <si>
    <t>Concur AirPlus - Import LARS-Datei</t>
  </si>
  <si>
    <t>ZAIRPLUS_RECEIPT_COLLECTOR</t>
  </si>
  <si>
    <t>AirPlus Receipt Collector</t>
  </si>
  <si>
    <t>ZAIRPLUS_RECEIPT_UNMATCHED</t>
  </si>
  <si>
    <t>Concur eReceipts - Fehlerliste nicht zugeordnete Hotel-Belege</t>
  </si>
  <si>
    <t>ZAIRPLUS_SHOW_RECS</t>
  </si>
  <si>
    <t>Concur eReceipts - Listausgabe</t>
  </si>
  <si>
    <t>Automatische Übernahme von Auswertungen der Inkassounternehmen</t>
  </si>
  <si>
    <t>ZFI_INKO_ABSCHLUSSDATEI_MOVE</t>
  </si>
  <si>
    <t>Inkasso : Abschlussdatei auslagern</t>
  </si>
  <si>
    <t>ZFI_INKO_ABSCHLUSSDATEI_START</t>
  </si>
  <si>
    <t>Abschlussdatei auswählen und Job starten</t>
  </si>
  <si>
    <t>Ja Ergebnis</t>
  </si>
  <si>
    <t>(Leer)</t>
  </si>
  <si>
    <t>(Leer) Ergebnis</t>
  </si>
  <si>
    <t>Gesamtergebnis</t>
  </si>
  <si>
    <t>? Ergebnis</t>
  </si>
  <si>
    <t>Nein Ergebnis</t>
  </si>
  <si>
    <t>Nein  Ergebnis</t>
  </si>
  <si>
    <t>Anzahl von Z-Programm R/3
(insgesamt 654)</t>
  </si>
  <si>
    <t>Anzahl von Übernahme 
in S/4
geplant</t>
  </si>
  <si>
    <t>Update Tabelle NACH im Test-System ("Sofort ausgeben", "Ausgabegerät") -&gt; klären mit Arvato</t>
  </si>
  <si>
    <t>(Alle)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</si>
</sst>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2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trike/>
      <sz val="10"/>
      <name val="Arial"/>
      <family val="2"/>
    </font>
    <font>
      <sz val="10"/>
      <color rgb="FFFF0000"/>
      <name val="Arial"/>
      <family val="2"/>
    </font>
    <font>
      <strike/>
      <sz val="10"/>
      <color theme="0" tint="-0.499984740745262"/>
      <name val="Arial"/>
      <family val="2"/>
    </font>
    <font>
      <sz val="8"/>
      <name val="Arial"/>
      <family val="2"/>
    </font>
    <font>
      <b/>
      <sz val="12"/>
      <color theme="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trike/>
      <sz val="11"/>
      <color theme="1"/>
      <name val="Arial"/>
      <family val="2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8" fillId="0" borderId="0"/>
    <xf numFmtId="0" fontId="2" fillId="0" borderId="0"/>
    <xf numFmtId="0" fontId="1" fillId="0" borderId="0"/>
  </cellStyleXfs>
  <cellXfs count="77">
    <xf numFmtId="0" fontId="0" fillId="0" borderId="0" xfId="0"/>
    <xf numFmtId="0" fontId="0" fillId="0" borderId="0" xfId="0" applyAlignment="1">
      <alignment vertical="top"/>
    </xf>
    <xf numFmtId="0" fontId="4" fillId="2" borderId="0" xfId="1" applyFont="1" applyFill="1" applyAlignment="1">
      <alignment horizontal="center"/>
    </xf>
    <xf numFmtId="0" fontId="3" fillId="0" borderId="0" xfId="1"/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top"/>
    </xf>
    <xf numFmtId="0" fontId="1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0" fillId="0" borderId="0" xfId="0" quotePrefix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7" fillId="0" borderId="0" xfId="1" applyFont="1" applyAlignment="1">
      <alignment horizontal="center"/>
    </xf>
    <xf numFmtId="0" fontId="7" fillId="9" borderId="1" xfId="1" applyFont="1" applyFill="1" applyBorder="1"/>
    <xf numFmtId="0" fontId="7" fillId="9" borderId="1" xfId="1" applyFont="1" applyFill="1" applyBorder="1" applyAlignment="1">
      <alignment horizontal="center"/>
    </xf>
    <xf numFmtId="0" fontId="7" fillId="0" borderId="0" xfId="1" applyFont="1"/>
    <xf numFmtId="0" fontId="7" fillId="0" borderId="1" xfId="1" applyFont="1" applyBorder="1"/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/>
    <xf numFmtId="0" fontId="5" fillId="0" borderId="0" xfId="1" applyFont="1"/>
    <xf numFmtId="0" fontId="6" fillId="0" borderId="0" xfId="1" applyFont="1" applyAlignment="1">
      <alignment horizontal="center" vertical="top"/>
    </xf>
    <xf numFmtId="0" fontId="7" fillId="0" borderId="1" xfId="1" applyFont="1" applyBorder="1" applyAlignment="1">
      <alignment wrapText="1"/>
    </xf>
    <xf numFmtId="0" fontId="17" fillId="0" borderId="0" xfId="1" applyFont="1"/>
    <xf numFmtId="0" fontId="7" fillId="9" borderId="1" xfId="1" applyFont="1" applyFill="1" applyBorder="1" applyAlignment="1">
      <alignment horizontal="left" vertical="center" wrapText="1" indent="1"/>
    </xf>
    <xf numFmtId="0" fontId="6" fillId="9" borderId="0" xfId="1" applyFont="1" applyFill="1" applyAlignment="1">
      <alignment vertical="top"/>
    </xf>
    <xf numFmtId="0" fontId="7" fillId="9" borderId="2" xfId="1" applyFont="1" applyFill="1" applyBorder="1"/>
    <xf numFmtId="0" fontId="7" fillId="9" borderId="2" xfId="1" applyFont="1" applyFill="1" applyBorder="1" applyAlignment="1">
      <alignment horizontal="center"/>
    </xf>
    <xf numFmtId="0" fontId="7" fillId="0" borderId="2" xfId="1" applyFont="1" applyBorder="1"/>
    <xf numFmtId="0" fontId="7" fillId="0" borderId="3" xfId="1" applyFont="1" applyBorder="1"/>
    <xf numFmtId="0" fontId="7" fillId="0" borderId="3" xfId="1" applyFont="1" applyBorder="1" applyAlignment="1">
      <alignment horizontal="center"/>
    </xf>
    <xf numFmtId="0" fontId="18" fillId="0" borderId="0" xfId="2"/>
    <xf numFmtId="0" fontId="18" fillId="0" borderId="0" xfId="2" applyAlignment="1">
      <alignment wrapText="1"/>
    </xf>
    <xf numFmtId="0" fontId="19" fillId="10" borderId="0" xfId="2" applyFont="1" applyFill="1"/>
    <xf numFmtId="16" fontId="18" fillId="0" borderId="0" xfId="2" applyNumberFormat="1"/>
    <xf numFmtId="0" fontId="18" fillId="0" borderId="0" xfId="2" applyAlignment="1">
      <alignment horizontal="left" wrapText="1"/>
    </xf>
    <xf numFmtId="0" fontId="19" fillId="10" borderId="0" xfId="2" applyFont="1" applyFill="1" applyAlignment="1">
      <alignment wrapText="1"/>
    </xf>
    <xf numFmtId="0" fontId="20" fillId="0" borderId="0" xfId="2" applyFont="1" applyAlignment="1">
      <alignment horizontal="left" wrapText="1"/>
    </xf>
    <xf numFmtId="0" fontId="0" fillId="0" borderId="4" xfId="0" applyBorder="1"/>
    <xf numFmtId="0" fontId="2" fillId="0" borderId="0" xfId="3" applyAlignment="1">
      <alignment vertical="top"/>
    </xf>
    <xf numFmtId="3" fontId="21" fillId="0" borderId="0" xfId="3" applyNumberFormat="1" applyFont="1" applyAlignment="1">
      <alignment vertical="top"/>
    </xf>
    <xf numFmtId="0" fontId="21" fillId="0" borderId="0" xfId="3" applyFont="1" applyAlignment="1">
      <alignment vertical="top"/>
    </xf>
    <xf numFmtId="14" fontId="21" fillId="0" borderId="0" xfId="3" applyNumberFormat="1" applyFont="1" applyAlignment="1">
      <alignment vertical="top"/>
    </xf>
    <xf numFmtId="164" fontId="21" fillId="0" borderId="0" xfId="3" applyNumberFormat="1" applyFont="1" applyAlignment="1">
      <alignment vertical="top"/>
    </xf>
    <xf numFmtId="0" fontId="21" fillId="11" borderId="0" xfId="3" applyFont="1" applyFill="1" applyAlignment="1">
      <alignment vertical="top"/>
    </xf>
    <xf numFmtId="0" fontId="5" fillId="0" borderId="0" xfId="3" applyFont="1" applyAlignment="1">
      <alignment vertical="top"/>
    </xf>
    <xf numFmtId="0" fontId="5" fillId="11" borderId="0" xfId="3" applyFont="1" applyFill="1" applyAlignment="1">
      <alignment vertical="top"/>
    </xf>
    <xf numFmtId="0" fontId="1" fillId="0" borderId="0" xfId="4" applyAlignment="1">
      <alignment vertical="top"/>
    </xf>
    <xf numFmtId="0" fontId="21" fillId="0" borderId="0" xfId="4" applyFont="1" applyAlignment="1">
      <alignment vertical="top"/>
    </xf>
    <xf numFmtId="0" fontId="21" fillId="11" borderId="0" xfId="4" applyFont="1" applyFill="1" applyAlignment="1">
      <alignment vertical="top"/>
    </xf>
    <xf numFmtId="0" fontId="6" fillId="0" borderId="5" xfId="1" applyFont="1" applyBorder="1" applyAlignment="1">
      <alignment horizontal="center" vertical="top"/>
    </xf>
    <xf numFmtId="0" fontId="1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top"/>
    </xf>
    <xf numFmtId="0" fontId="6" fillId="0" borderId="1" xfId="1" applyFont="1" applyBorder="1" applyAlignment="1">
      <alignment horizontal="center" vertical="top"/>
    </xf>
    <xf numFmtId="0" fontId="0" fillId="0" borderId="0" xfId="0" pivotButton="1"/>
    <xf numFmtId="0" fontId="4" fillId="2" borderId="6" xfId="1" applyFont="1" applyFill="1" applyBorder="1" applyAlignment="1">
      <alignment horizont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0" fontId="6" fillId="5" borderId="9" xfId="0" applyFont="1" applyFill="1" applyBorder="1" applyAlignment="1">
      <alignment vertical="top" wrapText="1"/>
    </xf>
    <xf numFmtId="0" fontId="6" fillId="6" borderId="9" xfId="0" applyFont="1" applyFill="1" applyBorder="1" applyAlignment="1">
      <alignment vertical="top" wrapText="1"/>
    </xf>
    <xf numFmtId="0" fontId="6" fillId="7" borderId="9" xfId="0" applyFont="1" applyFill="1" applyBorder="1" applyAlignment="1">
      <alignment vertical="top" wrapText="1"/>
    </xf>
    <xf numFmtId="0" fontId="12" fillId="3" borderId="9" xfId="0" applyFont="1" applyFill="1" applyBorder="1" applyAlignment="1">
      <alignment vertical="top" wrapText="1"/>
    </xf>
  </cellXfs>
  <cellStyles count="5">
    <cellStyle name="Standard" xfId="0" builtinId="0"/>
    <cellStyle name="Standard 2" xfId="1" xr:uid="{3200A0EC-9F3F-4D60-A6AE-66598AA5F6E8}"/>
    <cellStyle name="Standard 3" xfId="2" xr:uid="{96A635B9-655F-43E6-A3FC-007B7738ADE1}"/>
    <cellStyle name="Standard 4" xfId="3" xr:uid="{B5490B2B-B5EE-458B-B688-FFD5AE9F800B}"/>
    <cellStyle name="Standard 5" xfId="4" xr:uid="{60ECFF32-8D36-4CD9-9517-3C2DA11AF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685800</xdr:colOff>
      <xdr:row>12</xdr:row>
      <xdr:rowOff>85725</xdr:rowOff>
    </xdr:from>
    <xdr:to>
      <xdr:col>13</xdr:col>
      <xdr:colOff>0</xdr:colOff>
      <xdr:row>28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Übernahme &#10;in S/4&#10;geplant">
              <a:extLst>
                <a:ext uri="{FF2B5EF4-FFF2-40B4-BE49-F238E27FC236}">
                  <a16:creationId xmlns:a16="http://schemas.microsoft.com/office/drawing/2014/main" id="{510EFD42-7B17-FB1D-5A75-C7DCA013D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bernahme &#10;in S/4&#10;gepla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700" y="2028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99_AIS%20intern/RICEF/Z-Artefakte_&#252;bergreifend_2023-10-27-V2.xlsx" TargetMode="External"/><Relationship Id="rId2" Type="http://schemas.openxmlformats.org/officeDocument/2006/relationships/externalLinkPath" Target="https://adaccloud.sharepoint.com/teams/PRAR03046/Shared%20Documents/09%20IT%20-%20Technik/99_AIS%20intern/RICEF/Z-Artefakte_&#252;bergreifend_2023-10-27-V2.xlsx" TargetMode="External"/><Relationship Id="rId1" Type="http://schemas.openxmlformats.org/officeDocument/2006/relationships/externalLinkPath" Target="/teams/PRAR03046/Shared%20Documents/09%20IT%20-%20Technik/99_AIS%20intern/RICEF/Z-Artefakte_&#252;bergreifend_2023-10-27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gfdts0GOrUGc-E1j0XBK2lSrg-6mZ8hPpfjZN6FILA1xmXOUx46kQL_W5Hj8rmJb" itemId="01GOWZYOWKH3IC7OHMJJEZVARH7SP3B7RR">
      <xxl21:absoluteUrl r:id="rId2"/>
      <xxl21:relativeUrl r:id="rId3"/>
    </xxl21:alternateUrls>
    <sheetNames>
      <sheetName val="Z-Transaktion - Programm"/>
      <sheetName val="Z-Programme"/>
      <sheetName val="Anleitung zuerst Lesen"/>
      <sheetName val="ZProgramm-ZTransaktion"/>
      <sheetName val="Programmname"/>
      <sheetName val="Z-Formulare"/>
      <sheetName val="Textbausteine"/>
      <sheetName val="Z-Workflows"/>
      <sheetName val="TSTCP-TA-Parameter"/>
      <sheetName val="ZArtefakte aus Lis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Programm/ Transaktion</v>
          </cell>
          <cell r="B1" t="str">
            <v>Datei</v>
          </cell>
          <cell r="C1" t="str">
            <v>Link</v>
          </cell>
          <cell r="D1" t="str">
            <v>Bewertung</v>
          </cell>
        </row>
        <row r="2">
          <cell r="A2" t="str">
            <v>ZCO_KENNZAHLEN_ABZUG</v>
          </cell>
          <cell r="B2" t="str">
            <v>Zprogramme</v>
          </cell>
          <cell r="C2" t="str">
            <v>ZProgramme.xlsx</v>
          </cell>
          <cell r="D2" t="str">
            <v>tbd</v>
          </cell>
        </row>
        <row r="3">
          <cell r="A3" t="str">
            <v>ZCO_ERGEBNISRECHNUNG</v>
          </cell>
          <cell r="B3" t="str">
            <v>Zprogramme</v>
          </cell>
          <cell r="C3" t="str">
            <v>ZProgramme.xlsx</v>
          </cell>
          <cell r="D3" t="str">
            <v>tbd</v>
          </cell>
        </row>
        <row r="4">
          <cell r="A4" t="str">
            <v>ZCO_AVM_DATENABZUG</v>
          </cell>
          <cell r="B4" t="str">
            <v>Zprogramme</v>
          </cell>
          <cell r="C4" t="str">
            <v>ZProgramme.xlsx</v>
          </cell>
          <cell r="D4" t="str">
            <v>tbd</v>
          </cell>
        </row>
        <row r="5">
          <cell r="A5" t="str">
            <v>ZCO_KSTABZUG_AVM</v>
          </cell>
          <cell r="B5" t="str">
            <v>Zprogramme</v>
          </cell>
          <cell r="C5" t="str">
            <v>ZProgramme.xlsx</v>
          </cell>
          <cell r="D5" t="str">
            <v>tbd</v>
          </cell>
        </row>
        <row r="6">
          <cell r="A6" t="str">
            <v>ZCO_KSTABZUG_LOGA</v>
          </cell>
          <cell r="B6" t="str">
            <v>Zprogramme</v>
          </cell>
          <cell r="C6" t="str">
            <v>ZProgramme.xlsx</v>
          </cell>
          <cell r="D6" t="str">
            <v>tbd</v>
          </cell>
        </row>
        <row r="7">
          <cell r="A7" t="str">
            <v>ZCO_KSTABZUG_LOGA_FIX</v>
          </cell>
          <cell r="B7" t="str">
            <v>Zprogramme</v>
          </cell>
          <cell r="C7" t="str">
            <v>ZProgramme.xlsx</v>
          </cell>
          <cell r="D7" t="str">
            <v>tbd</v>
          </cell>
        </row>
        <row r="8">
          <cell r="A8" t="str">
            <v>ZCO_ZEMAREP_KST_ABZUG</v>
          </cell>
          <cell r="B8" t="str">
            <v>Zprogramme</v>
          </cell>
          <cell r="C8" t="str">
            <v>ZProgramme.xlsx</v>
          </cell>
          <cell r="D8" t="str">
            <v>tbd</v>
          </cell>
        </row>
        <row r="9">
          <cell r="A9" t="str">
            <v>ZCO_KSTABZUG_PAM</v>
          </cell>
          <cell r="B9" t="str">
            <v>Zprogramme</v>
          </cell>
          <cell r="C9" t="str">
            <v>ZProgramme.xlsx</v>
          </cell>
          <cell r="D9" t="str">
            <v>tbd</v>
          </cell>
        </row>
        <row r="10">
          <cell r="A10" t="str">
            <v>ZCOFI_VERTRAGSVERWALTUNG_ABZUG</v>
          </cell>
          <cell r="B10" t="str">
            <v>Zprogramme</v>
          </cell>
          <cell r="C10" t="str">
            <v>ZProgramme.xlsx</v>
          </cell>
          <cell r="D10" t="str">
            <v>tbd</v>
          </cell>
        </row>
        <row r="11">
          <cell r="A11" t="str">
            <v>ZCO_KOSTENSTELLENEXPORT</v>
          </cell>
          <cell r="B11" t="str">
            <v>Zprogramme</v>
          </cell>
          <cell r="C11" t="str">
            <v>ZProgramme.xlsx</v>
          </cell>
          <cell r="D11" t="str">
            <v>tbd</v>
          </cell>
        </row>
        <row r="12">
          <cell r="A12" t="str">
            <v>ZCO_PCAABZUG</v>
          </cell>
          <cell r="B12" t="str">
            <v>Zprogramme</v>
          </cell>
          <cell r="C12" t="str">
            <v>ZProgramme.xlsx</v>
          </cell>
          <cell r="D12" t="str">
            <v>tbd</v>
          </cell>
        </row>
        <row r="13">
          <cell r="A13" t="str">
            <v>ZCO_ILV_STS</v>
          </cell>
          <cell r="B13" t="str">
            <v>Zprogramme</v>
          </cell>
          <cell r="C13" t="str">
            <v>ZProgramme.xlsx</v>
          </cell>
          <cell r="D13" t="str">
            <v>tbd</v>
          </cell>
        </row>
        <row r="14">
          <cell r="A14" t="str">
            <v>ZCO_ILV_KONVERT</v>
          </cell>
          <cell r="B14" t="str">
            <v>Zprogramme</v>
          </cell>
          <cell r="C14" t="str">
            <v>ZProgramme.xlsx</v>
          </cell>
          <cell r="D14" t="str">
            <v>tbd</v>
          </cell>
        </row>
        <row r="15">
          <cell r="A15" t="str">
            <v>ZCO_ILV_VORPROGRAMM</v>
          </cell>
          <cell r="B15" t="str">
            <v>Zprogramme</v>
          </cell>
          <cell r="C15" t="str">
            <v>ZProgramme.xlsx</v>
          </cell>
          <cell r="D15" t="str">
            <v>tbd</v>
          </cell>
        </row>
        <row r="16">
          <cell r="A16" t="str">
            <v>ZCO_ILV_FI</v>
          </cell>
          <cell r="B16" t="str">
            <v>Zprogramme</v>
          </cell>
          <cell r="C16" t="str">
            <v>ZProgramme.xlsx</v>
          </cell>
          <cell r="D16" t="str">
            <v>tbd</v>
          </cell>
        </row>
        <row r="17">
          <cell r="A17" t="str">
            <v>ZCO_ILV_KENNZAHL</v>
          </cell>
          <cell r="B17" t="str">
            <v>Zprogramme</v>
          </cell>
          <cell r="C17" t="str">
            <v>ZProgramme.xlsx</v>
          </cell>
          <cell r="D17" t="str">
            <v>tbd</v>
          </cell>
        </row>
        <row r="18">
          <cell r="A18" t="str">
            <v>ZCO_DRUCKER_SPOOL</v>
          </cell>
          <cell r="B18" t="str">
            <v>Zprogramme</v>
          </cell>
          <cell r="C18" t="str">
            <v>ZProgramme.xlsx</v>
          </cell>
          <cell r="D18" t="str">
            <v>tbd</v>
          </cell>
        </row>
        <row r="19">
          <cell r="A19" t="str">
            <v>ZCO_ILV_LIZENZVERRECHNUNG</v>
          </cell>
          <cell r="B19" t="str">
            <v>Zprogramme</v>
          </cell>
          <cell r="C19" t="str">
            <v>ZProgramme.xlsx</v>
          </cell>
          <cell r="D19" t="str">
            <v>tbd</v>
          </cell>
        </row>
        <row r="20">
          <cell r="A20" t="str">
            <v>ZCO_VORSTEUERKORREKTUR</v>
          </cell>
          <cell r="B20" t="str">
            <v>Zprogramme</v>
          </cell>
          <cell r="C20" t="str">
            <v>ZProgramme.xlsx</v>
          </cell>
          <cell r="D20" t="str">
            <v>tbd</v>
          </cell>
        </row>
        <row r="21">
          <cell r="A21" t="str">
            <v>ZCO_ABSTIMMUNG</v>
          </cell>
          <cell r="B21" t="str">
            <v>Zprogramme</v>
          </cell>
          <cell r="C21" t="str">
            <v>ZProgramme.xlsx</v>
          </cell>
          <cell r="D21" t="str">
            <v>tbd</v>
          </cell>
        </row>
        <row r="22">
          <cell r="A22" t="str">
            <v>ZCO_PFC_MASS_CHANGE</v>
          </cell>
          <cell r="B22" t="str">
            <v>Zprogramme</v>
          </cell>
          <cell r="C22" t="str">
            <v>ZProgramme.xlsx</v>
          </cell>
          <cell r="D22" t="str">
            <v>tbd</v>
          </cell>
        </row>
        <row r="23">
          <cell r="A23" t="str">
            <v>ZCO_PROFICENTERANLAGE</v>
          </cell>
          <cell r="B23" t="str">
            <v>Zprogramme</v>
          </cell>
          <cell r="C23" t="str">
            <v>ZProgramme.xlsx</v>
          </cell>
          <cell r="D23" t="str">
            <v>tbd</v>
          </cell>
        </row>
        <row r="24">
          <cell r="A24" t="str">
            <v>ZCO_PLANUNGSSCHNITTSTELLE</v>
          </cell>
          <cell r="B24" t="str">
            <v>Zprogramme</v>
          </cell>
          <cell r="C24" t="str">
            <v>ZProgramme.xlsx</v>
          </cell>
          <cell r="D24" t="str">
            <v>tbd</v>
          </cell>
        </row>
        <row r="25">
          <cell r="A25" t="str">
            <v>ZBC_OREA_COA</v>
          </cell>
          <cell r="B25" t="str">
            <v>Zprogramme</v>
          </cell>
          <cell r="C25" t="str">
            <v>ZProgramme.xlsx</v>
          </cell>
          <cell r="D25" t="str">
            <v>tbd</v>
          </cell>
        </row>
        <row r="26">
          <cell r="A26" t="str">
            <v>ZCO_PRUEFUNG_STAMM_ORGA</v>
          </cell>
          <cell r="B26" t="str">
            <v>Zprogramme</v>
          </cell>
          <cell r="C26" t="str">
            <v>ZProgramme.xlsx</v>
          </cell>
          <cell r="D26" t="str">
            <v>tbd</v>
          </cell>
        </row>
        <row r="27">
          <cell r="A27" t="str">
            <v>ZBC_OREA_FREIGEBER_TEST</v>
          </cell>
          <cell r="B27" t="str">
            <v>Zprogramme</v>
          </cell>
          <cell r="C27" t="str">
            <v>ZProgramme.xlsx</v>
          </cell>
          <cell r="D27" t="str">
            <v>tbd</v>
          </cell>
        </row>
        <row r="28">
          <cell r="A28" t="str">
            <v>ZBC_ZEMAREP_GET</v>
          </cell>
          <cell r="B28" t="str">
            <v>Zprogramme</v>
          </cell>
          <cell r="C28" t="str">
            <v>ZProgramme.xlsx</v>
          </cell>
          <cell r="D28" t="str">
            <v>tbd</v>
          </cell>
        </row>
        <row r="29">
          <cell r="A29" t="str">
            <v>ZBC_ZEMAREP_USER</v>
          </cell>
          <cell r="B29" t="str">
            <v>Zprogramme</v>
          </cell>
          <cell r="C29" t="str">
            <v>ZProgramme.xlsx</v>
          </cell>
          <cell r="D29" t="str">
            <v>tbd</v>
          </cell>
        </row>
        <row r="30">
          <cell r="A30" t="str">
            <v>ZCO_SOLVENCY_PCR</v>
          </cell>
          <cell r="B30" t="str">
            <v>Zprogramme</v>
          </cell>
          <cell r="C30" t="str">
            <v>ZProgramme.xlsx</v>
          </cell>
          <cell r="D30" t="str">
            <v>tbd</v>
          </cell>
        </row>
        <row r="31">
          <cell r="A31" t="str">
            <v>ZCO_RGGBS000</v>
          </cell>
          <cell r="B31" t="str">
            <v>Zprogramme</v>
          </cell>
          <cell r="C31" t="str">
            <v>ZProgramme.xlsx</v>
          </cell>
          <cell r="D31" t="str">
            <v>tbd</v>
          </cell>
        </row>
        <row r="32">
          <cell r="A32" t="str">
            <v>ZCO_ZK02</v>
          </cell>
          <cell r="B32" t="str">
            <v>Zprogramme</v>
          </cell>
          <cell r="C32" t="str">
            <v>ZProgramme.xlsx</v>
          </cell>
          <cell r="D32" t="str">
            <v>tbd</v>
          </cell>
        </row>
        <row r="33">
          <cell r="A33" t="str">
            <v>ZCO_ABSTIM</v>
          </cell>
          <cell r="B33" t="str">
            <v>Zprogramme</v>
          </cell>
          <cell r="C33" t="str">
            <v>ZProgramme.xlsx</v>
          </cell>
          <cell r="D33" t="str">
            <v>tbd</v>
          </cell>
        </row>
        <row r="34">
          <cell r="A34" t="str">
            <v>ZCO_IA_ABRECHNUNGSSCHEMA</v>
          </cell>
          <cell r="B34" t="str">
            <v>Zprogramme</v>
          </cell>
          <cell r="C34" t="str">
            <v>ZProgramme.xlsx</v>
          </cell>
          <cell r="D34" t="str">
            <v>tbd</v>
          </cell>
        </row>
        <row r="35">
          <cell r="A35" t="str">
            <v>ZIM_IMPORT_IMA2</v>
          </cell>
          <cell r="B35" t="str">
            <v>Zprogramme</v>
          </cell>
          <cell r="C35" t="str">
            <v>ZProgramme.xlsx</v>
          </cell>
          <cell r="D35" t="str">
            <v>tbd</v>
          </cell>
        </row>
        <row r="36">
          <cell r="A36" t="str">
            <v>ZIM_LST_IMAUFTRAG01</v>
          </cell>
          <cell r="B36" t="str">
            <v>Zprogramme</v>
          </cell>
          <cell r="C36" t="str">
            <v>ZProgramme.xlsx</v>
          </cell>
          <cell r="D36" t="str">
            <v>tbd</v>
          </cell>
        </row>
        <row r="37">
          <cell r="A37" t="str">
            <v>ZIM_MASN_FREIGABE</v>
          </cell>
          <cell r="B37" t="str">
            <v>Zprogramme</v>
          </cell>
          <cell r="C37" t="str">
            <v>ZProgramme.xlsx</v>
          </cell>
          <cell r="D37" t="str">
            <v>tbd</v>
          </cell>
        </row>
        <row r="38">
          <cell r="A38" t="str">
            <v>ZIM_MASNANFORD_IMPORT</v>
          </cell>
          <cell r="B38" t="str">
            <v>Zprogramme</v>
          </cell>
          <cell r="C38" t="str">
            <v>ZProgramme.xlsx</v>
          </cell>
          <cell r="D38" t="str">
            <v>tbd</v>
          </cell>
        </row>
        <row r="39">
          <cell r="A39" t="str">
            <v>ZIM_UPD_IMAUFTRAG01</v>
          </cell>
          <cell r="B39" t="str">
            <v>Zprogramme</v>
          </cell>
          <cell r="C39" t="str">
            <v>ZProgramme.xlsx</v>
          </cell>
          <cell r="D39" t="str">
            <v>tbd</v>
          </cell>
        </row>
        <row r="40">
          <cell r="A40" t="str">
            <v>ZCO_AUF1</v>
          </cell>
          <cell r="B40" t="str">
            <v>Zprogramme</v>
          </cell>
          <cell r="C40" t="str">
            <v>ZProgramme.xlsx</v>
          </cell>
          <cell r="D40" t="str">
            <v>tbd</v>
          </cell>
        </row>
        <row r="41">
          <cell r="A41" t="str">
            <v>ZCO_BER1</v>
          </cell>
          <cell r="B41" t="str">
            <v>Zprogramme</v>
          </cell>
          <cell r="C41" t="str">
            <v>ZProgramme.xlsx</v>
          </cell>
          <cell r="D41" t="str">
            <v>tbd</v>
          </cell>
        </row>
        <row r="42">
          <cell r="A42" t="str">
            <v xml:space="preserve">ZCO_KST1 </v>
          </cell>
          <cell r="B42" t="str">
            <v>Zprogramme</v>
          </cell>
          <cell r="C42" t="str">
            <v>ZProgramme.xlsx</v>
          </cell>
          <cell r="D42" t="str">
            <v>tbd</v>
          </cell>
        </row>
        <row r="43">
          <cell r="A43" t="str">
            <v>ZCO_KST3</v>
          </cell>
          <cell r="B43" t="str">
            <v>Zprogramme</v>
          </cell>
          <cell r="C43" t="str">
            <v>ZProgramme.xlsx</v>
          </cell>
          <cell r="D43" t="str">
            <v>tbd</v>
          </cell>
        </row>
        <row r="44">
          <cell r="A44" t="str">
            <v>ZCO_PLA1</v>
          </cell>
          <cell r="B44" t="str">
            <v>Zprogramme</v>
          </cell>
          <cell r="C44" t="str">
            <v>ZProgramme.xlsx</v>
          </cell>
          <cell r="D44" t="str">
            <v>tbd</v>
          </cell>
        </row>
        <row r="45">
          <cell r="A45" t="str">
            <v>ZCO_KS02</v>
          </cell>
          <cell r="B45" t="str">
            <v>Zprogramme</v>
          </cell>
          <cell r="C45" t="str">
            <v>ZProgramme.xlsx</v>
          </cell>
          <cell r="D45" t="str">
            <v>tbd</v>
          </cell>
        </row>
        <row r="46">
          <cell r="A46" t="str">
            <v>ZCO_DATENABZUG_PCA</v>
          </cell>
          <cell r="B46" t="str">
            <v>Zprogramme</v>
          </cell>
          <cell r="C46" t="str">
            <v>ZProgramme.xlsx</v>
          </cell>
          <cell r="D46" t="str">
            <v>tbd</v>
          </cell>
        </row>
        <row r="47">
          <cell r="A47" t="str">
            <v>ZCO_PBPLAN</v>
          </cell>
          <cell r="B47" t="str">
            <v>Zprogramme</v>
          </cell>
          <cell r="C47" t="str">
            <v>ZProgramme.xlsx</v>
          </cell>
          <cell r="D47" t="str">
            <v>tbd</v>
          </cell>
        </row>
        <row r="48">
          <cell r="A48" t="str">
            <v>ZCO_PPLEIHZEITARBEIT</v>
          </cell>
          <cell r="B48" t="str">
            <v>Zprogramme</v>
          </cell>
          <cell r="C48" t="str">
            <v>ZProgramme.xlsx</v>
          </cell>
          <cell r="D48" t="str">
            <v>tbd</v>
          </cell>
        </row>
        <row r="49">
          <cell r="A49" t="str">
            <v>ZCO_PPPLAN</v>
          </cell>
          <cell r="B49" t="str">
            <v>Zprogramme</v>
          </cell>
          <cell r="C49" t="str">
            <v>ZProgramme.xlsx</v>
          </cell>
          <cell r="D49" t="str">
            <v>tbd</v>
          </cell>
        </row>
        <row r="50">
          <cell r="A50" t="str">
            <v>ZCO_PPSAPDIFFERENZ</v>
          </cell>
          <cell r="B50" t="str">
            <v>Zprogramme</v>
          </cell>
          <cell r="C50" t="str">
            <v>ZProgramme.xlsx</v>
          </cell>
          <cell r="D50" t="str">
            <v>tbd</v>
          </cell>
        </row>
        <row r="51">
          <cell r="A51" t="str">
            <v>ZCO_BEWEGUNGSDATEN_ERGRE</v>
          </cell>
          <cell r="B51" t="str">
            <v>Zprogramme</v>
          </cell>
          <cell r="C51" t="str">
            <v>ZProgramme.xlsx</v>
          </cell>
          <cell r="D51" t="str">
            <v>tbd</v>
          </cell>
        </row>
        <row r="52">
          <cell r="A52" t="str">
            <v>ZCO_KOSTENARTEN_ERGRE</v>
          </cell>
          <cell r="B52" t="str">
            <v>Zprogramme</v>
          </cell>
          <cell r="C52" t="str">
            <v>ZProgramme.xlsx</v>
          </cell>
          <cell r="D52" t="str">
            <v>tbd</v>
          </cell>
        </row>
        <row r="53">
          <cell r="A53" t="str">
            <v>ZCO_PROFITCENTER</v>
          </cell>
          <cell r="B53" t="str">
            <v>Zprogramme</v>
          </cell>
          <cell r="C53" t="str">
            <v>ZProgramme.xlsx</v>
          </cell>
          <cell r="D53" t="str">
            <v>tbd</v>
          </cell>
        </row>
        <row r="54">
          <cell r="A54" t="str">
            <v>ZCO_LEISTUNGSARTEN</v>
          </cell>
          <cell r="B54" t="str">
            <v>Zprogramme</v>
          </cell>
          <cell r="C54" t="str">
            <v>ZProgramme.xlsx</v>
          </cell>
          <cell r="D54" t="str">
            <v>tbd</v>
          </cell>
        </row>
        <row r="55">
          <cell r="A55" t="str">
            <v>ZCO_ABZUG_KSTPROJEKT_UMSETZUNG</v>
          </cell>
          <cell r="B55" t="str">
            <v>Zprogramme</v>
          </cell>
          <cell r="C55" t="str">
            <v>ZProgramme.xlsx</v>
          </cell>
          <cell r="D55" t="str">
            <v>tbd</v>
          </cell>
        </row>
        <row r="56">
          <cell r="A56" t="str">
            <v>ZCO_HIERARCHIEPRUEFUNG</v>
          </cell>
          <cell r="B56" t="str">
            <v>Zprogramme</v>
          </cell>
          <cell r="C56" t="str">
            <v>ZProgramme.xlsx</v>
          </cell>
          <cell r="D56" t="str">
            <v>tbd</v>
          </cell>
        </row>
        <row r="57">
          <cell r="A57" t="str">
            <v>ZCO_ILV_AUTOMABHAK</v>
          </cell>
          <cell r="B57" t="str">
            <v>Zprogramme</v>
          </cell>
          <cell r="C57" t="str">
            <v>ZProgramme.xlsx</v>
          </cell>
          <cell r="D57" t="str">
            <v>tbd</v>
          </cell>
        </row>
        <row r="58">
          <cell r="A58" t="str">
            <v>ZCO_ILV (Funktionsgruppe)</v>
          </cell>
          <cell r="B58" t="str">
            <v>Zprogramme</v>
          </cell>
          <cell r="C58" t="str">
            <v>ZProgramme.xlsx</v>
          </cell>
          <cell r="D58" t="str">
            <v>tbd</v>
          </cell>
        </row>
        <row r="59">
          <cell r="A59" t="str">
            <v>ZCO_ILV_AUSWERT</v>
          </cell>
          <cell r="B59" t="str">
            <v>Zprogramme</v>
          </cell>
          <cell r="C59" t="str">
            <v>ZProgramme.xlsx</v>
          </cell>
          <cell r="D59" t="str">
            <v>tbd</v>
          </cell>
        </row>
        <row r="60">
          <cell r="A60" t="str">
            <v>ZCO_ILV_PCDATEIUEBERNAHME</v>
          </cell>
          <cell r="B60" t="str">
            <v>Zprogramme</v>
          </cell>
          <cell r="C60" t="str">
            <v>ZProgramme.xlsx</v>
          </cell>
          <cell r="D60" t="str">
            <v>tbd</v>
          </cell>
        </row>
        <row r="61">
          <cell r="A61" t="str">
            <v>ZCO_ILV_POSTPROT_AKT</v>
          </cell>
          <cell r="B61" t="str">
            <v>Zprogramme</v>
          </cell>
          <cell r="C61" t="str">
            <v>ZProgramme.xlsx</v>
          </cell>
          <cell r="D61" t="str">
            <v>tbd</v>
          </cell>
        </row>
        <row r="62">
          <cell r="A62" t="str">
            <v>ZCO_ABSTIMMUNG_ARCHIVLINK</v>
          </cell>
          <cell r="B62" t="str">
            <v>Zprogramme</v>
          </cell>
          <cell r="C62" t="str">
            <v>ZProgramme.xlsx</v>
          </cell>
          <cell r="D62" t="str">
            <v>tbd</v>
          </cell>
        </row>
        <row r="63">
          <cell r="A63" t="str">
            <v>ZCO_ABSTIMMUNG_PRUEFUNG</v>
          </cell>
          <cell r="B63" t="str">
            <v>Zprogramme</v>
          </cell>
          <cell r="C63" t="str">
            <v>ZProgramme.xlsx</v>
          </cell>
          <cell r="D63" t="str">
            <v>tbd</v>
          </cell>
        </row>
        <row r="64">
          <cell r="A64" t="str">
            <v>ZCO_KALC_DRUCK</v>
          </cell>
          <cell r="B64" t="str">
            <v>Zprogramme</v>
          </cell>
          <cell r="C64" t="str">
            <v>ZProgramme.xlsx</v>
          </cell>
          <cell r="D64" t="str">
            <v>tbd</v>
          </cell>
        </row>
        <row r="65">
          <cell r="A65" t="str">
            <v>ZBC_ZEMAREP_USERCHG_REO</v>
          </cell>
          <cell r="B65" t="str">
            <v>Zprogramme</v>
          </cell>
          <cell r="C65" t="str">
            <v>ZProgramme.xlsx</v>
          </cell>
          <cell r="D65" t="str">
            <v>tbd</v>
          </cell>
        </row>
        <row r="66">
          <cell r="A66" t="str">
            <v>ZBC_ZEMAREP_USRGUELT</v>
          </cell>
          <cell r="B66" t="str">
            <v>Zprogramme</v>
          </cell>
          <cell r="C66" t="str">
            <v>ZProgramme.xlsx</v>
          </cell>
          <cell r="D66" t="str">
            <v>tbd</v>
          </cell>
        </row>
        <row r="67">
          <cell r="A67" t="str">
            <v>ZBC_ZEMAREP_FRGREORG</v>
          </cell>
          <cell r="B67" t="str">
            <v>Zprogramme</v>
          </cell>
          <cell r="C67" t="str">
            <v>ZProgramme.xlsx</v>
          </cell>
          <cell r="D67" t="str">
            <v>tbd</v>
          </cell>
        </row>
        <row r="68">
          <cell r="A68" t="str">
            <v xml:space="preserve">COOPA003 </v>
          </cell>
          <cell r="B68" t="str">
            <v>Zprogramme</v>
          </cell>
          <cell r="C68" t="str">
            <v>ZProgramme.xlsx</v>
          </cell>
          <cell r="D68" t="str">
            <v>tbd</v>
          </cell>
        </row>
        <row r="69">
          <cell r="A69" t="str">
            <v xml:space="preserve">COOPA_01 </v>
          </cell>
          <cell r="B69" t="str">
            <v>Zprogramme</v>
          </cell>
          <cell r="C69" t="str">
            <v>ZProgramme.xlsx</v>
          </cell>
          <cell r="D69" t="str">
            <v>tbd</v>
          </cell>
        </row>
        <row r="70">
          <cell r="A70" t="str">
            <v xml:space="preserve">COCCA002 </v>
          </cell>
          <cell r="B70" t="str">
            <v>Zprogramme</v>
          </cell>
          <cell r="C70" t="str">
            <v>ZProgramme.xlsx</v>
          </cell>
          <cell r="D70" t="str">
            <v>tbd</v>
          </cell>
        </row>
        <row r="71">
          <cell r="A71" t="str">
            <v xml:space="preserve">SAPMKAL1 </v>
          </cell>
          <cell r="B71" t="str">
            <v>Zprogramme</v>
          </cell>
          <cell r="C71" t="str">
            <v>ZProgramme.xlsx</v>
          </cell>
          <cell r="D71" t="str">
            <v>tbd</v>
          </cell>
        </row>
        <row r="72">
          <cell r="A72" t="str">
            <v xml:space="preserve">SAPMKGA2 </v>
          </cell>
          <cell r="B72" t="str">
            <v>Zprogramme</v>
          </cell>
          <cell r="C72" t="str">
            <v>ZProgramme.xlsx</v>
          </cell>
          <cell r="D72" t="str">
            <v>tbd</v>
          </cell>
        </row>
        <row r="73">
          <cell r="A73" t="str">
            <v xml:space="preserve">COOMKS01 </v>
          </cell>
          <cell r="B73" t="str">
            <v>Zprogramme</v>
          </cell>
          <cell r="C73" t="str">
            <v>ZProgramme.xlsx</v>
          </cell>
          <cell r="D73" t="str">
            <v>tbd</v>
          </cell>
        </row>
        <row r="74">
          <cell r="A74" t="str">
            <v>COOMKS02</v>
          </cell>
          <cell r="B74" t="str">
            <v>Zprogramme</v>
          </cell>
          <cell r="C74" t="str">
            <v>ZProgramme.xlsx</v>
          </cell>
          <cell r="D74" t="str">
            <v>tbd</v>
          </cell>
        </row>
        <row r="75">
          <cell r="A75" t="str">
            <v xml:space="preserve">COOMKPT4 </v>
          </cell>
          <cell r="B75" t="str">
            <v>Zprogramme</v>
          </cell>
          <cell r="C75" t="str">
            <v>ZProgramme.xlsx</v>
          </cell>
          <cell r="D75" t="str">
            <v>tbd</v>
          </cell>
        </row>
        <row r="76">
          <cell r="A76" t="str">
            <v>FIELD_EXIT_AUFNR</v>
          </cell>
          <cell r="B76" t="str">
            <v>Zprogramme</v>
          </cell>
          <cell r="C76" t="str">
            <v>ZProgramme.xlsx</v>
          </cell>
          <cell r="D76" t="str">
            <v>tbd</v>
          </cell>
        </row>
        <row r="77">
          <cell r="A77" t="str">
            <v>FIELD_EXIT_AUFUSER6</v>
          </cell>
          <cell r="B77" t="str">
            <v>Zprogramme</v>
          </cell>
          <cell r="C77" t="str">
            <v>ZProgramme.xlsx</v>
          </cell>
          <cell r="D77" t="str">
            <v>tbd</v>
          </cell>
        </row>
        <row r="78">
          <cell r="A78" t="str">
            <v>FIELD_EXIT_CAUFN</v>
          </cell>
          <cell r="B78" t="str">
            <v>Zprogramme</v>
          </cell>
          <cell r="C78" t="str">
            <v>ZProgramme.xlsx</v>
          </cell>
          <cell r="D78" t="str">
            <v>tbd</v>
          </cell>
        </row>
        <row r="79">
          <cell r="A79" t="str">
            <v>FIELD_EXIT_KOSTL</v>
          </cell>
          <cell r="B79" t="str">
            <v>Zprogramme</v>
          </cell>
          <cell r="C79" t="str">
            <v>ZProgramme.xlsx</v>
          </cell>
          <cell r="D79" t="str">
            <v>tbd</v>
          </cell>
        </row>
        <row r="80">
          <cell r="A80" t="str">
            <v>FIELD_EXIT_KSTAR</v>
          </cell>
          <cell r="B80" t="str">
            <v>Zprogramme</v>
          </cell>
          <cell r="C80" t="str">
            <v>ZProgramme.xlsx</v>
          </cell>
          <cell r="D80" t="str">
            <v>tbd</v>
          </cell>
        </row>
        <row r="81">
          <cell r="A81" t="str">
            <v>FIELD_EXIT_TABNAME</v>
          </cell>
          <cell r="B81" t="str">
            <v>Zprogramme</v>
          </cell>
          <cell r="C81" t="str">
            <v>ZProgramme.xlsx</v>
          </cell>
          <cell r="D81" t="str">
            <v>tbd</v>
          </cell>
        </row>
        <row r="82">
          <cell r="A82" t="str">
            <v>FIELD_EXIT_XUACCNT</v>
          </cell>
          <cell r="B82" t="str">
            <v>Zprogramme</v>
          </cell>
          <cell r="C82" t="str">
            <v>ZProgramme.xlsx</v>
          </cell>
          <cell r="D82" t="str">
            <v>tbd</v>
          </cell>
        </row>
        <row r="83">
          <cell r="A83" t="str">
            <v>FIELD_EXIT_XUKOSTL</v>
          </cell>
          <cell r="B83" t="str">
            <v>Zprogramme</v>
          </cell>
          <cell r="C83" t="str">
            <v>ZProgramme.xlsx</v>
          </cell>
          <cell r="D83" t="str">
            <v>tbd</v>
          </cell>
        </row>
        <row r="84">
          <cell r="A84" t="str">
            <v>FIELD_EXIT_ZKOSTL_AUFNR</v>
          </cell>
          <cell r="B84" t="str">
            <v>Zprogramme</v>
          </cell>
          <cell r="C84" t="str">
            <v>ZProgramme.xlsx</v>
          </cell>
          <cell r="D84" t="str">
            <v>tbd</v>
          </cell>
        </row>
        <row r="85">
          <cell r="A85" t="str">
            <v>ZCO_DATENABZUG_PCA_TOP</v>
          </cell>
          <cell r="B85" t="str">
            <v>Zprogramme</v>
          </cell>
          <cell r="C85" t="str">
            <v>ZProgramme.xlsx</v>
          </cell>
          <cell r="D85" t="str">
            <v>tbd</v>
          </cell>
        </row>
        <row r="86">
          <cell r="A86" t="str">
            <v>ZCO_FEHLERHANDLING</v>
          </cell>
          <cell r="B86" t="str">
            <v>Zprogramme</v>
          </cell>
          <cell r="C86" t="str">
            <v>ZProgramme.xlsx</v>
          </cell>
          <cell r="D86" t="str">
            <v>tbd</v>
          </cell>
        </row>
        <row r="87">
          <cell r="A87" t="str">
            <v>zfi_ss_print_par</v>
          </cell>
          <cell r="B87" t="str">
            <v>Zprogramme</v>
          </cell>
          <cell r="C87" t="str">
            <v>ZProgramme.xlsx</v>
          </cell>
          <cell r="D87" t="str">
            <v>tbd</v>
          </cell>
        </row>
        <row r="88">
          <cell r="A88" t="str">
            <v>ZCO_PBPLAN_I0</v>
          </cell>
          <cell r="B88" t="str">
            <v>Zprogramme</v>
          </cell>
          <cell r="C88" t="str">
            <v>ZProgramme.xlsx</v>
          </cell>
          <cell r="D88" t="str">
            <v>tbd</v>
          </cell>
        </row>
        <row r="89">
          <cell r="A89" t="str">
            <v>ZCO_PPLEIHZEITARBEIT_0I</v>
          </cell>
          <cell r="B89" t="str">
            <v>Zprogramme</v>
          </cell>
          <cell r="C89" t="str">
            <v>ZProgramme.xlsx</v>
          </cell>
          <cell r="D89" t="str">
            <v>tbd</v>
          </cell>
        </row>
        <row r="90">
          <cell r="A90" t="str">
            <v>ZCO_PPLEIHZEITARBEIT_1I</v>
          </cell>
          <cell r="B90" t="str">
            <v>Zprogramme</v>
          </cell>
          <cell r="C90" t="str">
            <v>ZProgramme.xlsx</v>
          </cell>
          <cell r="D90" t="str">
            <v>tbd</v>
          </cell>
        </row>
        <row r="91">
          <cell r="A91" t="str">
            <v>ZCO_PPLEIHZEITARBEIT_2I</v>
          </cell>
          <cell r="B91" t="str">
            <v>Zprogramme</v>
          </cell>
          <cell r="C91" t="str">
            <v>ZProgramme.xlsx</v>
          </cell>
          <cell r="D91" t="str">
            <v>tbd</v>
          </cell>
        </row>
        <row r="92">
          <cell r="A92" t="str">
            <v>ZCO_PPLEIHZEITARBEIT_3I</v>
          </cell>
          <cell r="B92" t="str">
            <v>Zprogramme</v>
          </cell>
          <cell r="C92" t="str">
            <v>ZProgramme.xlsx</v>
          </cell>
          <cell r="D92" t="str">
            <v>tbd</v>
          </cell>
        </row>
        <row r="93">
          <cell r="A93" t="str">
            <v>ZCO_PPLEIHZEITARBEIT_4I</v>
          </cell>
          <cell r="B93" t="str">
            <v>Zprogramme</v>
          </cell>
          <cell r="C93" t="str">
            <v>ZProgramme.xlsx</v>
          </cell>
          <cell r="D93" t="str">
            <v>tbd</v>
          </cell>
        </row>
        <row r="94">
          <cell r="A94" t="str">
            <v>ZCO_PPLEIHZEITARBEIT_5I</v>
          </cell>
          <cell r="B94" t="str">
            <v>Zprogramme</v>
          </cell>
          <cell r="C94" t="str">
            <v>ZProgramme.xlsx</v>
          </cell>
          <cell r="D94" t="str">
            <v>tbd</v>
          </cell>
        </row>
        <row r="95">
          <cell r="A95" t="str">
            <v>ZCO_PPLEIHZEITARBEIT_6I</v>
          </cell>
          <cell r="B95" t="str">
            <v>Zprogramme</v>
          </cell>
          <cell r="C95" t="str">
            <v>ZProgramme.xlsx</v>
          </cell>
          <cell r="D95" t="str">
            <v>tbd</v>
          </cell>
        </row>
        <row r="96">
          <cell r="A96" t="str">
            <v>ZCO_PPLEIHZEITARBEIT_7I</v>
          </cell>
          <cell r="B96" t="str">
            <v>Zprogramme</v>
          </cell>
          <cell r="C96" t="str">
            <v>ZProgramme.xlsx</v>
          </cell>
          <cell r="D96" t="str">
            <v>tbd</v>
          </cell>
        </row>
        <row r="97">
          <cell r="A97" t="str">
            <v>ZCO_PPPLAN_0I</v>
          </cell>
          <cell r="B97" t="str">
            <v>Zprogramme</v>
          </cell>
          <cell r="C97" t="str">
            <v>ZProgramme.xlsx</v>
          </cell>
          <cell r="D97" t="str">
            <v>tbd</v>
          </cell>
        </row>
        <row r="98">
          <cell r="A98" t="str">
            <v>ZCO_PPPLAN_1I</v>
          </cell>
          <cell r="B98" t="str">
            <v>Zprogramme</v>
          </cell>
          <cell r="C98" t="str">
            <v>ZProgramme.xlsx</v>
          </cell>
          <cell r="D98" t="str">
            <v>tbd</v>
          </cell>
        </row>
        <row r="99">
          <cell r="A99" t="str">
            <v>ZCO_PPPLAN_2I</v>
          </cell>
          <cell r="B99" t="str">
            <v>Zprogramme</v>
          </cell>
          <cell r="C99" t="str">
            <v>ZProgramme.xlsx</v>
          </cell>
          <cell r="D99" t="str">
            <v>tbd</v>
          </cell>
        </row>
        <row r="100">
          <cell r="A100" t="str">
            <v>ZCO_PPPLAN_3I</v>
          </cell>
          <cell r="B100" t="str">
            <v>Zprogramme</v>
          </cell>
          <cell r="C100" t="str">
            <v>ZProgramme.xlsx</v>
          </cell>
          <cell r="D100" t="str">
            <v>tbd</v>
          </cell>
        </row>
        <row r="101">
          <cell r="A101" t="str">
            <v>ZCO_PPPLAN_4I</v>
          </cell>
          <cell r="B101" t="str">
            <v>Zprogramme</v>
          </cell>
          <cell r="C101" t="str">
            <v>ZProgramme.xlsx</v>
          </cell>
          <cell r="D101" t="str">
            <v>tbd</v>
          </cell>
        </row>
        <row r="102">
          <cell r="A102" t="str">
            <v>ZCO_PPPLAN_5I</v>
          </cell>
          <cell r="B102" t="str">
            <v>Zprogramme</v>
          </cell>
          <cell r="C102" t="str">
            <v>ZProgramme.xlsx</v>
          </cell>
          <cell r="D102" t="str">
            <v>tbd</v>
          </cell>
        </row>
        <row r="103">
          <cell r="A103" t="str">
            <v>ZCO_PPPLAN_COMMON</v>
          </cell>
          <cell r="B103" t="str">
            <v>Zprogramme</v>
          </cell>
          <cell r="C103" t="str">
            <v>ZProgramme.xlsx</v>
          </cell>
          <cell r="D103" t="str">
            <v>tbd</v>
          </cell>
        </row>
        <row r="104">
          <cell r="A104" t="str">
            <v>ZCO_KENNZAHLEN_ABZUG_F01</v>
          </cell>
          <cell r="B104" t="str">
            <v>Zprogramme</v>
          </cell>
          <cell r="C104" t="str">
            <v>ZProgramme.xlsx</v>
          </cell>
          <cell r="D104" t="str">
            <v>tbd</v>
          </cell>
        </row>
        <row r="105">
          <cell r="A105" t="str">
            <v>ZCO_KENNZAHLEN_ABZUG_TOP</v>
          </cell>
          <cell r="B105" t="str">
            <v>Zprogramme</v>
          </cell>
          <cell r="C105" t="str">
            <v>ZProgramme.xlsx</v>
          </cell>
          <cell r="D105" t="str">
            <v>tbd</v>
          </cell>
        </row>
        <row r="106">
          <cell r="A106" t="str">
            <v>ZCO_KENNZAHLEN_IMPORT</v>
          </cell>
          <cell r="B106" t="str">
            <v>Zprogramme</v>
          </cell>
          <cell r="C106" t="str">
            <v>ZProgramme.xlsx</v>
          </cell>
          <cell r="D106" t="str">
            <v>tbd</v>
          </cell>
        </row>
        <row r="107">
          <cell r="A107" t="str">
            <v>ZCO_KENNZAHLEN_IMPORT_F01</v>
          </cell>
          <cell r="B107" t="str">
            <v>Zprogramme</v>
          </cell>
          <cell r="C107" t="str">
            <v>ZProgramme.xlsx</v>
          </cell>
          <cell r="D107" t="str">
            <v>tbd</v>
          </cell>
        </row>
        <row r="108">
          <cell r="A108" t="str">
            <v>ZCO_KENNZAHLEN_IMPORT_TOP</v>
          </cell>
          <cell r="B108" t="str">
            <v>Zprogramme</v>
          </cell>
          <cell r="C108" t="str">
            <v>ZProgramme.xlsx</v>
          </cell>
          <cell r="D108" t="str">
            <v>tbd</v>
          </cell>
        </row>
        <row r="109">
          <cell r="A109" t="str">
            <v>ZCO_KENNZAHLEN_START</v>
          </cell>
          <cell r="B109" t="str">
            <v>Zprogramme</v>
          </cell>
          <cell r="C109" t="str">
            <v>ZProgramme.xlsx</v>
          </cell>
          <cell r="D109" t="str">
            <v>tbd</v>
          </cell>
        </row>
        <row r="110">
          <cell r="A110" t="str">
            <v>ZCO_ERGEBNISRECHNUNG_0</v>
          </cell>
          <cell r="B110" t="str">
            <v>Zprogramme</v>
          </cell>
          <cell r="C110" t="str">
            <v>ZProgramme.xlsx</v>
          </cell>
          <cell r="D110" t="str">
            <v>tbd</v>
          </cell>
        </row>
        <row r="111">
          <cell r="A111" t="str">
            <v>ZCO_ERGEBNISRECHNUNG_1</v>
          </cell>
          <cell r="B111" t="str">
            <v>Zprogramme</v>
          </cell>
          <cell r="C111" t="str">
            <v>ZProgramme.xlsx</v>
          </cell>
          <cell r="D111" t="str">
            <v>tbd</v>
          </cell>
        </row>
        <row r="112">
          <cell r="A112" t="str">
            <v>ZCO_ERGEBNISRECHNUNG_2</v>
          </cell>
          <cell r="B112" t="str">
            <v>Zprogramme</v>
          </cell>
          <cell r="C112" t="str">
            <v>ZProgramme.xlsx</v>
          </cell>
          <cell r="D112" t="str">
            <v>tbd</v>
          </cell>
        </row>
        <row r="113">
          <cell r="A113" t="str">
            <v>ZCO_ERGEBNISRECHNUNG_3</v>
          </cell>
          <cell r="B113" t="str">
            <v>Zprogramme</v>
          </cell>
          <cell r="C113" t="str">
            <v>ZProgramme.xlsx</v>
          </cell>
          <cell r="D113" t="str">
            <v>tbd</v>
          </cell>
        </row>
        <row r="114">
          <cell r="A114" t="str">
            <v>ZCO_ERGEBNISRECHNUNG_4</v>
          </cell>
          <cell r="B114" t="str">
            <v>Zprogramme</v>
          </cell>
          <cell r="C114" t="str">
            <v>ZProgramme.xlsx</v>
          </cell>
          <cell r="D114" t="str">
            <v>tbd</v>
          </cell>
        </row>
        <row r="115">
          <cell r="A115" t="str">
            <v>ZCO_ERGEBNISRECHNUNG_5</v>
          </cell>
          <cell r="B115" t="str">
            <v>Zprogramme</v>
          </cell>
          <cell r="C115" t="str">
            <v>ZProgramme.xlsx</v>
          </cell>
          <cell r="D115" t="str">
            <v>tbd</v>
          </cell>
        </row>
        <row r="116">
          <cell r="A116" t="str">
            <v>ZCO_ERGEBNISRECHNUNG_TOP</v>
          </cell>
          <cell r="B116" t="str">
            <v>Zprogramme</v>
          </cell>
          <cell r="C116" t="str">
            <v>ZProgramme.xlsx</v>
          </cell>
          <cell r="D116" t="str">
            <v>tbd</v>
          </cell>
        </row>
        <row r="117">
          <cell r="A117" t="str">
            <v>ZCO_BEWEGUNGSDATEN_ERGRE_I0</v>
          </cell>
          <cell r="B117" t="str">
            <v>Zprogramme</v>
          </cell>
          <cell r="C117" t="str">
            <v>ZProgramme.xlsx</v>
          </cell>
          <cell r="D117" t="str">
            <v>tbd</v>
          </cell>
        </row>
        <row r="118">
          <cell r="A118" t="str">
            <v>ZCO_BEWEGUNGSDATEN_ERGRE_I1</v>
          </cell>
          <cell r="B118" t="str">
            <v>Zprogramme</v>
          </cell>
          <cell r="C118" t="str">
            <v>ZProgramme.xlsx</v>
          </cell>
          <cell r="D118" t="str">
            <v>tbd</v>
          </cell>
        </row>
        <row r="119">
          <cell r="A119" t="str">
            <v>ZCO_BEWEGUNGSDATEN_ERGRE_I2</v>
          </cell>
          <cell r="B119" t="str">
            <v>Zprogramme</v>
          </cell>
          <cell r="C119" t="str">
            <v>ZProgramme.xlsx</v>
          </cell>
          <cell r="D119" t="str">
            <v>tbd</v>
          </cell>
        </row>
        <row r="120">
          <cell r="A120" t="str">
            <v>ZCO_BEWEGUNGSDATEN_ERGRE_I3</v>
          </cell>
          <cell r="B120" t="str">
            <v>Zprogramme</v>
          </cell>
          <cell r="C120" t="str">
            <v>ZProgramme.xlsx</v>
          </cell>
          <cell r="D120" t="str">
            <v>tbd</v>
          </cell>
        </row>
        <row r="121">
          <cell r="A121" t="str">
            <v>ZCO_BEWEGUNGSDATEN_ERGRE_I4</v>
          </cell>
          <cell r="B121" t="str">
            <v>Zprogramme</v>
          </cell>
          <cell r="C121" t="str">
            <v>ZProgramme.xlsx</v>
          </cell>
          <cell r="D121" t="str">
            <v>tbd</v>
          </cell>
        </row>
        <row r="122">
          <cell r="A122" t="str">
            <v>ZCO_BEWEGUNGSDATEN_ERGRE_I5</v>
          </cell>
          <cell r="B122" t="str">
            <v>Zprogramme</v>
          </cell>
          <cell r="C122" t="str">
            <v>ZProgramme.xlsx</v>
          </cell>
          <cell r="D122" t="str">
            <v>tbd</v>
          </cell>
        </row>
        <row r="123">
          <cell r="A123" t="str">
            <v>ZCO_BEWEGUNGSDATEN_ERGRE_I6</v>
          </cell>
          <cell r="B123" t="str">
            <v>Zprogramme</v>
          </cell>
          <cell r="C123" t="str">
            <v>ZProgramme.xlsx</v>
          </cell>
          <cell r="D123" t="str">
            <v>tbd</v>
          </cell>
        </row>
        <row r="124">
          <cell r="A124" t="str">
            <v>ZCO_BEWEGUNGSDATEN_ERGRE_I7</v>
          </cell>
          <cell r="B124" t="str">
            <v>Zprogramme</v>
          </cell>
          <cell r="C124" t="str">
            <v>ZProgramme.xlsx</v>
          </cell>
          <cell r="D124" t="str">
            <v>tbd</v>
          </cell>
        </row>
        <row r="125">
          <cell r="A125" t="str">
            <v>ZCO_BEWEGUNGSDATEN_ERGRE_I8</v>
          </cell>
          <cell r="B125" t="str">
            <v>Zprogramme</v>
          </cell>
          <cell r="C125" t="str">
            <v>ZProgramme.xlsx</v>
          </cell>
          <cell r="D125" t="str">
            <v>tbd</v>
          </cell>
        </row>
        <row r="126">
          <cell r="A126" t="str">
            <v>ZCO_KOSTENARTEN_ERGRE_I1</v>
          </cell>
          <cell r="B126" t="str">
            <v>Zprogramme</v>
          </cell>
          <cell r="C126" t="str">
            <v>ZProgramme.xlsx</v>
          </cell>
          <cell r="D126" t="str">
            <v>tbd</v>
          </cell>
        </row>
        <row r="127">
          <cell r="A127" t="str">
            <v>ZCO_KOSTENARTEN_ERGRE_I10</v>
          </cell>
          <cell r="B127" t="str">
            <v>Zprogramme</v>
          </cell>
          <cell r="C127" t="str">
            <v>ZProgramme.xlsx</v>
          </cell>
          <cell r="D127" t="str">
            <v>tbd</v>
          </cell>
        </row>
        <row r="128">
          <cell r="A128" t="str">
            <v>ZCO_KOSTENARTEN_ERGRE_I2</v>
          </cell>
          <cell r="B128" t="str">
            <v>Zprogramme</v>
          </cell>
          <cell r="C128" t="str">
            <v>ZProgramme.xlsx</v>
          </cell>
          <cell r="D128" t="str">
            <v>tbd</v>
          </cell>
        </row>
        <row r="129">
          <cell r="A129" t="str">
            <v>ZCO_KOSTENARTEN_ERGRE_I3</v>
          </cell>
          <cell r="B129" t="str">
            <v>Zprogramme</v>
          </cell>
          <cell r="C129" t="str">
            <v>ZProgramme.xlsx</v>
          </cell>
          <cell r="D129" t="str">
            <v>tbd</v>
          </cell>
        </row>
        <row r="130">
          <cell r="A130" t="str">
            <v>ZCO_KOSTENARTEN_ERGRE_I4</v>
          </cell>
          <cell r="B130" t="str">
            <v>Zprogramme</v>
          </cell>
          <cell r="C130" t="str">
            <v>ZProgramme.xlsx</v>
          </cell>
          <cell r="D130" t="str">
            <v>tbd</v>
          </cell>
        </row>
        <row r="131">
          <cell r="A131" t="str">
            <v>ZCO_KOSTENARTEN_ERGRE_I5</v>
          </cell>
          <cell r="B131" t="str">
            <v>Zprogramme</v>
          </cell>
          <cell r="C131" t="str">
            <v>ZProgramme.xlsx</v>
          </cell>
          <cell r="D131" t="str">
            <v>tbd</v>
          </cell>
        </row>
        <row r="132">
          <cell r="A132" t="str">
            <v>ZCO_KOSTENARTEN_ERGRE_I6</v>
          </cell>
          <cell r="B132" t="str">
            <v>Zprogramme</v>
          </cell>
          <cell r="C132" t="str">
            <v>ZProgramme.xlsx</v>
          </cell>
          <cell r="D132" t="str">
            <v>tbd</v>
          </cell>
        </row>
        <row r="133">
          <cell r="A133" t="str">
            <v>ZCO_KOSTENARTEN_ERGRE_I7</v>
          </cell>
          <cell r="B133" t="str">
            <v>Zprogramme</v>
          </cell>
          <cell r="C133" t="str">
            <v>ZProgramme.xlsx</v>
          </cell>
          <cell r="D133" t="str">
            <v>tbd</v>
          </cell>
        </row>
        <row r="134">
          <cell r="A134" t="str">
            <v>ZCO_KOSTENARTEN_ERGRE_ITOP</v>
          </cell>
          <cell r="B134" t="str">
            <v>Zprogramme</v>
          </cell>
          <cell r="C134" t="str">
            <v>ZProgramme.xlsx</v>
          </cell>
          <cell r="D134" t="str">
            <v>tbd</v>
          </cell>
        </row>
        <row r="135">
          <cell r="A135" t="str">
            <v>ZCO_PROFITCENTER_DEF_I1</v>
          </cell>
          <cell r="B135" t="str">
            <v>Zprogramme</v>
          </cell>
          <cell r="C135" t="str">
            <v>ZProgramme.xlsx</v>
          </cell>
          <cell r="D135" t="str">
            <v>tbd</v>
          </cell>
        </row>
        <row r="136">
          <cell r="A136" t="str">
            <v>ZCO_PROFITCENTER_HIER_I8</v>
          </cell>
          <cell r="B136" t="str">
            <v>Zprogramme</v>
          </cell>
          <cell r="C136" t="str">
            <v>ZProgramme.xlsx</v>
          </cell>
          <cell r="D136" t="str">
            <v>tbd</v>
          </cell>
        </row>
        <row r="137">
          <cell r="A137" t="str">
            <v>ZCO_PROFITCENTER_INIT_I5</v>
          </cell>
          <cell r="B137" t="str">
            <v>Zprogramme</v>
          </cell>
          <cell r="C137" t="str">
            <v>ZProgramme.xlsx</v>
          </cell>
          <cell r="D137" t="str">
            <v>tbd</v>
          </cell>
        </row>
        <row r="138">
          <cell r="A138" t="str">
            <v>ZCO_PROFITCENTER_MERKER_I3</v>
          </cell>
          <cell r="B138" t="str">
            <v>Zprogramme</v>
          </cell>
          <cell r="C138" t="str">
            <v>ZProgramme.xlsx</v>
          </cell>
          <cell r="D138" t="str">
            <v>tbd</v>
          </cell>
        </row>
        <row r="139">
          <cell r="A139" t="str">
            <v>ZCO_PROFITCENTER_MOVE_I4</v>
          </cell>
          <cell r="B139" t="str">
            <v>Zprogramme</v>
          </cell>
          <cell r="C139" t="str">
            <v>ZProgramme.xlsx</v>
          </cell>
          <cell r="D139" t="str">
            <v>tbd</v>
          </cell>
        </row>
        <row r="140">
          <cell r="A140" t="str">
            <v>ZCO_PROFITCENTER_PARAM_I2</v>
          </cell>
          <cell r="B140" t="str">
            <v>Zprogramme</v>
          </cell>
          <cell r="C140" t="str">
            <v>ZProgramme.xlsx</v>
          </cell>
          <cell r="D140" t="str">
            <v>tbd</v>
          </cell>
        </row>
        <row r="141">
          <cell r="A141" t="str">
            <v>ZCO_PROFITCENTER_STAMM_I7</v>
          </cell>
          <cell r="B141" t="str">
            <v>Zprogramme</v>
          </cell>
          <cell r="C141" t="str">
            <v>ZProgramme.xlsx</v>
          </cell>
          <cell r="D141" t="str">
            <v>tbd</v>
          </cell>
        </row>
        <row r="142">
          <cell r="A142" t="str">
            <v>ZCO_PROFITCENTER_WERTE_I6</v>
          </cell>
          <cell r="B142" t="str">
            <v>Zprogramme</v>
          </cell>
          <cell r="C142" t="str">
            <v>ZProgramme.xlsx</v>
          </cell>
          <cell r="D142" t="str">
            <v>tbd</v>
          </cell>
        </row>
        <row r="143">
          <cell r="A143" t="str">
            <v>ZCO_PROFITCENTER_ZUOR_I9</v>
          </cell>
          <cell r="B143" t="str">
            <v>Zprogramme</v>
          </cell>
          <cell r="C143" t="str">
            <v>ZProgramme.xlsx</v>
          </cell>
          <cell r="D143" t="str">
            <v>tbd</v>
          </cell>
        </row>
        <row r="144">
          <cell r="A144" t="str">
            <v>ZCO_LEISTUNGSARTEN_DEF_I1</v>
          </cell>
          <cell r="B144" t="str">
            <v>Zprogramme</v>
          </cell>
          <cell r="C144" t="str">
            <v>ZProgramme.xlsx</v>
          </cell>
          <cell r="D144" t="str">
            <v>tbd</v>
          </cell>
        </row>
        <row r="145">
          <cell r="A145" t="str">
            <v>ZCO_LEISTUNGSARTEN_LISTE_I4</v>
          </cell>
          <cell r="B145" t="str">
            <v>Zprogramme</v>
          </cell>
          <cell r="C145" t="str">
            <v>ZProgramme.xlsx</v>
          </cell>
          <cell r="D145" t="str">
            <v>tbd</v>
          </cell>
        </row>
        <row r="146">
          <cell r="A146" t="str">
            <v>ZCO_LEISTUNGSARTEN_PARAM_I2</v>
          </cell>
          <cell r="B146" t="str">
            <v>Zprogramme</v>
          </cell>
          <cell r="C146" t="str">
            <v>ZProgramme.xlsx</v>
          </cell>
          <cell r="D146" t="str">
            <v>tbd</v>
          </cell>
        </row>
        <row r="147">
          <cell r="A147" t="str">
            <v>ZCO_LEISTUNGSARTEN_STAMM_I3</v>
          </cell>
          <cell r="B147" t="str">
            <v>Zprogramme</v>
          </cell>
          <cell r="C147" t="str">
            <v>ZProgramme.xlsx</v>
          </cell>
          <cell r="D147" t="str">
            <v>tbd</v>
          </cell>
        </row>
        <row r="148">
          <cell r="A148" t="str">
            <v>ZCO_AVM_DATEN_TOP_I0</v>
          </cell>
          <cell r="B148" t="str">
            <v>Zprogramme</v>
          </cell>
          <cell r="C148" t="str">
            <v>ZProgramme.xlsx</v>
          </cell>
          <cell r="D148" t="str">
            <v>tbd</v>
          </cell>
        </row>
        <row r="149">
          <cell r="A149" t="str">
            <v>ZCO_AVM_DATENABZUG_ROUTINEN_I1</v>
          </cell>
          <cell r="B149" t="str">
            <v>Zprogramme</v>
          </cell>
          <cell r="C149" t="str">
            <v>ZProgramme.xlsx</v>
          </cell>
          <cell r="D149" t="str">
            <v>tbd</v>
          </cell>
        </row>
        <row r="150">
          <cell r="A150" t="str">
            <v>ZCOFI_VERTRAGSVERWALTUNG_I0</v>
          </cell>
          <cell r="B150" t="str">
            <v>Zprogramme</v>
          </cell>
          <cell r="C150" t="str">
            <v>ZProgramme.xlsx</v>
          </cell>
          <cell r="D150" t="str">
            <v>tbd</v>
          </cell>
        </row>
        <row r="151">
          <cell r="A151" t="str">
            <v>ZCOFI_VERTRAGSVERWALTUNG_I1</v>
          </cell>
          <cell r="B151" t="str">
            <v>Zprogramme</v>
          </cell>
          <cell r="C151" t="str">
            <v>ZProgramme.xlsx</v>
          </cell>
          <cell r="D151" t="str">
            <v>tbd</v>
          </cell>
        </row>
        <row r="152">
          <cell r="A152" t="str">
            <v>ZCOFI_VERTRAGSVERWALTUNG_I2</v>
          </cell>
          <cell r="B152" t="str">
            <v>Zprogramme</v>
          </cell>
          <cell r="C152" t="str">
            <v>ZProgramme.xlsx</v>
          </cell>
          <cell r="D152" t="str">
            <v>tbd</v>
          </cell>
        </row>
        <row r="153">
          <cell r="A153" t="str">
            <v>ZCO_KOSTENSTELLEN_I15</v>
          </cell>
          <cell r="B153" t="str">
            <v>Zprogramme</v>
          </cell>
          <cell r="C153" t="str">
            <v>ZProgramme.xlsx</v>
          </cell>
          <cell r="D153" t="str">
            <v>tbd</v>
          </cell>
        </row>
        <row r="154">
          <cell r="A154" t="str">
            <v>ZCO_KOSTENSTELLEN_I6</v>
          </cell>
          <cell r="B154" t="str">
            <v>Zprogramme</v>
          </cell>
          <cell r="C154" t="str">
            <v>ZProgramme.xlsx</v>
          </cell>
          <cell r="D154" t="str">
            <v>tbd</v>
          </cell>
        </row>
        <row r="155">
          <cell r="A155" t="str">
            <v>ZCO_RACF_IVA_I12</v>
          </cell>
          <cell r="B155" t="str">
            <v>Zprogramme</v>
          </cell>
          <cell r="C155" t="str">
            <v>ZProgramme.xlsx</v>
          </cell>
          <cell r="D155" t="str">
            <v>tbd</v>
          </cell>
        </row>
        <row r="156">
          <cell r="A156" t="str">
            <v>ZCO_RESSORT_I8</v>
          </cell>
          <cell r="B156" t="str">
            <v>Zprogramme</v>
          </cell>
          <cell r="C156" t="str">
            <v>ZProgramme.xlsx</v>
          </cell>
          <cell r="D156" t="str">
            <v>tbd</v>
          </cell>
        </row>
        <row r="157">
          <cell r="A157" t="str">
            <v>ZCO_AUFBAU_ITAB_I13</v>
          </cell>
          <cell r="B157" t="str">
            <v>Zprogramme</v>
          </cell>
          <cell r="C157" t="str">
            <v>ZProgramme.xlsx</v>
          </cell>
          <cell r="D157" t="str">
            <v>tbd</v>
          </cell>
        </row>
        <row r="158">
          <cell r="A158" t="str">
            <v>ZCO_EINZELKOSTENSTELLEN_I5</v>
          </cell>
          <cell r="B158" t="str">
            <v>Zprogramme</v>
          </cell>
          <cell r="C158" t="str">
            <v>ZProgramme.xlsx</v>
          </cell>
          <cell r="D158" t="str">
            <v>tbd</v>
          </cell>
        </row>
        <row r="159">
          <cell r="A159" t="str">
            <v>ZCO_FACHBEREICH_I9</v>
          </cell>
          <cell r="B159" t="str">
            <v>Zprogramme</v>
          </cell>
          <cell r="C159" t="str">
            <v>ZProgramme.xlsx</v>
          </cell>
          <cell r="D159" t="str">
            <v>tbd</v>
          </cell>
        </row>
        <row r="160">
          <cell r="A160" t="str">
            <v>ZCO_GESCHAEFTSBER_I7</v>
          </cell>
          <cell r="B160" t="str">
            <v>Zprogramme</v>
          </cell>
          <cell r="C160" t="str">
            <v>ZProgramme.xlsx</v>
          </cell>
          <cell r="D160" t="str">
            <v>tbd</v>
          </cell>
        </row>
        <row r="161">
          <cell r="A161" t="str">
            <v>ZCO_GRUPPENHIERARCHIE_I14</v>
          </cell>
          <cell r="B161" t="str">
            <v>Zprogramme</v>
          </cell>
          <cell r="C161" t="str">
            <v>ZProgramme.xlsx</v>
          </cell>
          <cell r="D161" t="str">
            <v>tbd</v>
          </cell>
        </row>
        <row r="162">
          <cell r="A162" t="str">
            <v>ZCO_KOSTENSTELLENEXPORT_I0</v>
          </cell>
          <cell r="B162" t="str">
            <v>Zprogramme</v>
          </cell>
          <cell r="C162" t="str">
            <v>ZProgramme.xlsx</v>
          </cell>
          <cell r="D162" t="str">
            <v>tbd</v>
          </cell>
        </row>
        <row r="163">
          <cell r="A163" t="str">
            <v>ZCO_KOSTENSTELLENEXPORT_I1</v>
          </cell>
          <cell r="B163" t="str">
            <v>Zprogramme</v>
          </cell>
          <cell r="C163" t="str">
            <v>ZProgramme.xlsx</v>
          </cell>
          <cell r="D163" t="str">
            <v>tbd</v>
          </cell>
        </row>
        <row r="164">
          <cell r="A164" t="str">
            <v>ZCO_KOSTENSTELLENGRUPPEN_I4</v>
          </cell>
          <cell r="B164" t="str">
            <v>Zprogramme</v>
          </cell>
          <cell r="C164" t="str">
            <v>ZProgramme.xlsx</v>
          </cell>
          <cell r="D164" t="str">
            <v>tbd</v>
          </cell>
        </row>
        <row r="165">
          <cell r="A165" t="str">
            <v>ZCO_MAESTRO_I16</v>
          </cell>
          <cell r="B165" t="str">
            <v>Zprogramme</v>
          </cell>
          <cell r="C165" t="str">
            <v>ZProgramme.xlsx</v>
          </cell>
          <cell r="D165" t="str">
            <v>tbd</v>
          </cell>
        </row>
        <row r="166">
          <cell r="A166" t="str">
            <v>ZCO_TELE_I11</v>
          </cell>
          <cell r="B166" t="str">
            <v>Zprogramme</v>
          </cell>
          <cell r="C166" t="str">
            <v>ZProgramme.xlsx</v>
          </cell>
          <cell r="D166" t="str">
            <v>tbd</v>
          </cell>
        </row>
        <row r="167">
          <cell r="A167" t="str">
            <v>ZCO_AUFTRAGSGRUPPEN_I12</v>
          </cell>
          <cell r="B167" t="str">
            <v>Zprogramme</v>
          </cell>
          <cell r="C167" t="str">
            <v>ZProgramme.xlsx</v>
          </cell>
          <cell r="D167" t="str">
            <v>tbd</v>
          </cell>
        </row>
        <row r="168">
          <cell r="A168" t="str">
            <v>ZCO_PCAABZUG_0I</v>
          </cell>
          <cell r="B168" t="str">
            <v>Zprogramme</v>
          </cell>
          <cell r="C168" t="str">
            <v>ZProgramme.xlsx</v>
          </cell>
          <cell r="D168" t="str">
            <v>tbd</v>
          </cell>
        </row>
        <row r="169">
          <cell r="A169" t="str">
            <v>ZCO_PCAABZUG_10I</v>
          </cell>
          <cell r="B169" t="str">
            <v>Zprogramme</v>
          </cell>
          <cell r="C169" t="str">
            <v>ZProgramme.xlsx</v>
          </cell>
          <cell r="D169" t="str">
            <v>tbd</v>
          </cell>
        </row>
        <row r="170">
          <cell r="A170" t="str">
            <v>ZCO_PCAABZUG_11I</v>
          </cell>
          <cell r="B170" t="str">
            <v>Zprogramme</v>
          </cell>
          <cell r="C170" t="str">
            <v>ZProgramme.xlsx</v>
          </cell>
          <cell r="D170" t="str">
            <v>tbd</v>
          </cell>
        </row>
        <row r="171">
          <cell r="A171" t="str">
            <v>ZCO_PCAABZUG_1I</v>
          </cell>
          <cell r="B171" t="str">
            <v>Zprogramme</v>
          </cell>
          <cell r="C171" t="str">
            <v>ZProgramme.xlsx</v>
          </cell>
          <cell r="D171" t="str">
            <v>tbd</v>
          </cell>
        </row>
        <row r="172">
          <cell r="A172" t="str">
            <v>ZCO_PCAABZUG_2I</v>
          </cell>
          <cell r="B172" t="str">
            <v>Zprogramme</v>
          </cell>
          <cell r="C172" t="str">
            <v>ZProgramme.xlsx</v>
          </cell>
          <cell r="D172" t="str">
            <v>tbd</v>
          </cell>
        </row>
        <row r="173">
          <cell r="A173" t="str">
            <v>ZCO_PCAABZUG_3I</v>
          </cell>
          <cell r="B173" t="str">
            <v>Zprogramme</v>
          </cell>
          <cell r="C173" t="str">
            <v>ZProgramme.xlsx</v>
          </cell>
          <cell r="D173" t="str">
            <v>tbd</v>
          </cell>
        </row>
        <row r="174">
          <cell r="A174" t="str">
            <v>ZCO_PCAABZUG_4I</v>
          </cell>
          <cell r="B174" t="str">
            <v>Zprogramme</v>
          </cell>
          <cell r="C174" t="str">
            <v>ZProgramme.xlsx</v>
          </cell>
          <cell r="D174" t="str">
            <v>tbd</v>
          </cell>
        </row>
        <row r="175">
          <cell r="A175" t="str">
            <v>ZCO_PCAABZUG_5I</v>
          </cell>
          <cell r="B175" t="str">
            <v>Zprogramme</v>
          </cell>
          <cell r="C175" t="str">
            <v>ZProgramme.xlsx</v>
          </cell>
          <cell r="D175" t="str">
            <v>tbd</v>
          </cell>
        </row>
        <row r="176">
          <cell r="A176" t="str">
            <v>ZCO_PCAABZUG_6I</v>
          </cell>
          <cell r="B176" t="str">
            <v>Zprogramme</v>
          </cell>
          <cell r="C176" t="str">
            <v>ZProgramme.xlsx</v>
          </cell>
          <cell r="D176" t="str">
            <v>tbd</v>
          </cell>
        </row>
        <row r="177">
          <cell r="A177" t="str">
            <v>ZCO_PCAABZUG_7I</v>
          </cell>
          <cell r="B177" t="str">
            <v>Zprogramme</v>
          </cell>
          <cell r="C177" t="str">
            <v>ZProgramme.xlsx</v>
          </cell>
          <cell r="D177" t="str">
            <v>tbd</v>
          </cell>
        </row>
        <row r="178">
          <cell r="A178" t="str">
            <v>ZCO_PCAABZUG_8I</v>
          </cell>
          <cell r="B178" t="str">
            <v>Zprogramme</v>
          </cell>
          <cell r="C178" t="str">
            <v>ZProgramme.xlsx</v>
          </cell>
          <cell r="D178" t="str">
            <v>tbd</v>
          </cell>
        </row>
        <row r="179">
          <cell r="A179" t="str">
            <v>ZCO_PCAABZUG_9I</v>
          </cell>
          <cell r="B179" t="str">
            <v>Zprogramme</v>
          </cell>
          <cell r="C179" t="str">
            <v>ZProgramme.xlsx</v>
          </cell>
          <cell r="D179" t="str">
            <v>tbd</v>
          </cell>
        </row>
        <row r="180">
          <cell r="A180" t="str">
            <v>ZCO_ILV_STS_10I</v>
          </cell>
          <cell r="B180" t="str">
            <v>Zprogramme</v>
          </cell>
          <cell r="C180" t="str">
            <v>ZProgramme.xlsx</v>
          </cell>
          <cell r="D180" t="str">
            <v>tbd</v>
          </cell>
        </row>
        <row r="181">
          <cell r="A181" t="str">
            <v>ZCO_ILV_STS_11I</v>
          </cell>
          <cell r="B181" t="str">
            <v>Zprogramme</v>
          </cell>
          <cell r="C181" t="str">
            <v>ZProgramme.xlsx</v>
          </cell>
          <cell r="D181" t="str">
            <v>tbd</v>
          </cell>
        </row>
        <row r="182">
          <cell r="A182" t="str">
            <v>ZCO_ILV_STS_13I</v>
          </cell>
          <cell r="B182" t="str">
            <v>Zprogramme</v>
          </cell>
          <cell r="C182" t="str">
            <v>ZProgramme.xlsx</v>
          </cell>
          <cell r="D182" t="str">
            <v>tbd</v>
          </cell>
        </row>
        <row r="183">
          <cell r="A183" t="str">
            <v>ZCO_ILV_STS_14I</v>
          </cell>
          <cell r="B183" t="str">
            <v>Zprogramme</v>
          </cell>
          <cell r="C183" t="str">
            <v>ZProgramme.xlsx</v>
          </cell>
          <cell r="D183" t="str">
            <v>tbd</v>
          </cell>
        </row>
        <row r="184">
          <cell r="A184" t="str">
            <v>ZCO_ILV_STS_1I</v>
          </cell>
          <cell r="B184" t="str">
            <v>Zprogramme</v>
          </cell>
          <cell r="C184" t="str">
            <v>ZProgramme.xlsx</v>
          </cell>
          <cell r="D184" t="str">
            <v>tbd</v>
          </cell>
        </row>
        <row r="185">
          <cell r="A185" t="str">
            <v>ZCO_ILV_STS_2I</v>
          </cell>
          <cell r="B185" t="str">
            <v>Zprogramme</v>
          </cell>
          <cell r="C185" t="str">
            <v>ZProgramme.xlsx</v>
          </cell>
          <cell r="D185" t="str">
            <v>tbd</v>
          </cell>
        </row>
        <row r="186">
          <cell r="A186" t="str">
            <v>ZCO_ILV_STS_3I</v>
          </cell>
          <cell r="B186" t="str">
            <v>Zprogramme</v>
          </cell>
          <cell r="C186" t="str">
            <v>ZProgramme.xlsx</v>
          </cell>
          <cell r="D186" t="str">
            <v>tbd</v>
          </cell>
        </row>
        <row r="187">
          <cell r="A187" t="str">
            <v>ZCO_ILV_STS_4I</v>
          </cell>
          <cell r="B187" t="str">
            <v>Zprogramme</v>
          </cell>
          <cell r="C187" t="str">
            <v>ZProgramme.xlsx</v>
          </cell>
          <cell r="D187" t="str">
            <v>tbd</v>
          </cell>
        </row>
        <row r="188">
          <cell r="A188" t="str">
            <v>ZCO_ILV_STS_5I</v>
          </cell>
          <cell r="B188" t="str">
            <v>Zprogramme</v>
          </cell>
          <cell r="C188" t="str">
            <v>ZProgramme.xlsx</v>
          </cell>
          <cell r="D188" t="str">
            <v>tbd</v>
          </cell>
        </row>
        <row r="189">
          <cell r="A189" t="str">
            <v>ZCO_ILV_STS_6I</v>
          </cell>
          <cell r="B189" t="str">
            <v>Zprogramme</v>
          </cell>
          <cell r="C189" t="str">
            <v>ZProgramme.xlsx</v>
          </cell>
          <cell r="D189" t="str">
            <v>tbd</v>
          </cell>
        </row>
        <row r="190">
          <cell r="A190" t="str">
            <v>ZCO_ILV_STS_8I</v>
          </cell>
          <cell r="B190" t="str">
            <v>Zprogramme</v>
          </cell>
          <cell r="C190" t="str">
            <v>ZProgramme.xlsx</v>
          </cell>
          <cell r="D190" t="str">
            <v>tbd</v>
          </cell>
        </row>
        <row r="191">
          <cell r="A191" t="str">
            <v>ZCO_ILV_STS_9I</v>
          </cell>
          <cell r="B191" t="str">
            <v>Zprogramme</v>
          </cell>
          <cell r="C191" t="str">
            <v>ZProgramme.xlsx</v>
          </cell>
          <cell r="D191" t="str">
            <v>tbd</v>
          </cell>
        </row>
        <row r="192">
          <cell r="A192" t="str">
            <v>ZCA_create_session</v>
          </cell>
          <cell r="B192" t="str">
            <v>Zprogramme</v>
          </cell>
          <cell r="C192" t="str">
            <v>ZProgramme.xlsx</v>
          </cell>
          <cell r="D192" t="str">
            <v>tbd</v>
          </cell>
        </row>
        <row r="193">
          <cell r="A193" t="str">
            <v>ZCO_ILV_FBSDEFINITIONEN</v>
          </cell>
          <cell r="B193" t="str">
            <v>Zprogramme</v>
          </cell>
          <cell r="C193" t="str">
            <v>ZProgramme.xlsx</v>
          </cell>
          <cell r="D193" t="str">
            <v>tbd</v>
          </cell>
        </row>
        <row r="194">
          <cell r="A194" t="str">
            <v>LZCO_ILVTOP</v>
          </cell>
          <cell r="B194" t="str">
            <v>Zprogramme</v>
          </cell>
          <cell r="C194" t="str">
            <v>ZProgramme.xlsx</v>
          </cell>
          <cell r="D194" t="str">
            <v>tbd</v>
          </cell>
        </row>
        <row r="195">
          <cell r="A195" t="str">
            <v>LZCO_ILVUXX</v>
          </cell>
          <cell r="B195" t="str">
            <v>Zprogramme</v>
          </cell>
          <cell r="C195" t="str">
            <v>ZProgramme.xlsx</v>
          </cell>
          <cell r="D195" t="str">
            <v>tbd</v>
          </cell>
        </row>
        <row r="196">
          <cell r="A196" t="str">
            <v>ZCO_ILV_VORPROGRAMM_F01</v>
          </cell>
          <cell r="B196" t="str">
            <v>Zprogramme</v>
          </cell>
          <cell r="C196" t="str">
            <v>ZProgramme.xlsx</v>
          </cell>
          <cell r="D196" t="str">
            <v>tbd</v>
          </cell>
        </row>
        <row r="197">
          <cell r="A197" t="str">
            <v>ZCO_ILV_VORPROGRAMM_TOP</v>
          </cell>
          <cell r="B197" t="str">
            <v>Zprogramme</v>
          </cell>
          <cell r="C197" t="str">
            <v>ZProgramme.xlsx</v>
          </cell>
          <cell r="D197" t="str">
            <v>tbd</v>
          </cell>
        </row>
        <row r="198">
          <cell r="A198" t="str">
            <v>ZCO_ILV_KENNZAHL_DAT_VERARBEIT</v>
          </cell>
          <cell r="B198" t="str">
            <v>Zprogramme</v>
          </cell>
          <cell r="C198" t="str">
            <v>ZProgramme.xlsx</v>
          </cell>
          <cell r="D198" t="str">
            <v>tbd</v>
          </cell>
        </row>
        <row r="199">
          <cell r="A199" t="str">
            <v>ZCO_ILV_KENNZAHL_DATUM</v>
          </cell>
          <cell r="B199" t="str">
            <v>Zprogramme</v>
          </cell>
          <cell r="C199" t="str">
            <v>ZProgramme.xlsx</v>
          </cell>
          <cell r="D199" t="str">
            <v>tbd</v>
          </cell>
        </row>
        <row r="200">
          <cell r="A200" t="str">
            <v>ZCO_ILV_KENNZAHL_DEFINITION</v>
          </cell>
          <cell r="B200" t="str">
            <v>Zprogramme</v>
          </cell>
          <cell r="C200" t="str">
            <v>ZProgramme.xlsx</v>
          </cell>
          <cell r="D200" t="str">
            <v>tbd</v>
          </cell>
        </row>
        <row r="201">
          <cell r="A201" t="str">
            <v>ZCO_ILV_KENNZAHL_FILTER</v>
          </cell>
          <cell r="B201" t="str">
            <v>Zprogramme</v>
          </cell>
          <cell r="C201" t="str">
            <v>ZProgramme.xlsx</v>
          </cell>
          <cell r="D201" t="str">
            <v>tbd</v>
          </cell>
        </row>
        <row r="202">
          <cell r="A202" t="str">
            <v>ZCO_ILV_KENNZAHL_HEADER</v>
          </cell>
          <cell r="B202" t="str">
            <v>Zprogramme</v>
          </cell>
          <cell r="C202" t="str">
            <v>ZProgramme.xlsx</v>
          </cell>
          <cell r="D202" t="str">
            <v>tbd</v>
          </cell>
        </row>
        <row r="203">
          <cell r="A203" t="str">
            <v>ZCO_ILV_KENNZAHL_LISTE</v>
          </cell>
          <cell r="B203" t="str">
            <v>Zprogramme</v>
          </cell>
          <cell r="C203" t="str">
            <v>ZProgramme.xlsx</v>
          </cell>
          <cell r="D203" t="str">
            <v>tbd</v>
          </cell>
        </row>
        <row r="204">
          <cell r="A204" t="str">
            <v>ZCO_ILV_KENNZAHL_PERFORM</v>
          </cell>
          <cell r="B204" t="str">
            <v>Zprogramme</v>
          </cell>
          <cell r="C204" t="str">
            <v>ZProgramme.xlsx</v>
          </cell>
          <cell r="D204" t="str">
            <v>tbd</v>
          </cell>
        </row>
        <row r="205">
          <cell r="A205" t="str">
            <v>ZCO_ILV_KENNZAHL_SPLIT</v>
          </cell>
          <cell r="B205" t="str">
            <v>Zprogramme</v>
          </cell>
          <cell r="C205" t="str">
            <v>ZProgramme.xlsx</v>
          </cell>
          <cell r="D205" t="str">
            <v>tbd</v>
          </cell>
        </row>
        <row r="206">
          <cell r="A206" t="str">
            <v>ZCO_ILV_KENNZAHL_UMSCHL</v>
          </cell>
          <cell r="B206" t="str">
            <v>Zprogramme</v>
          </cell>
          <cell r="C206" t="str">
            <v>ZProgramme.xlsx</v>
          </cell>
          <cell r="D206" t="str">
            <v>tbd</v>
          </cell>
        </row>
        <row r="207">
          <cell r="A207" t="str">
            <v>ZCO_ILV_KENNZAHL_VORSYSTEMOUTP</v>
          </cell>
          <cell r="B207" t="str">
            <v>Zprogramme</v>
          </cell>
          <cell r="C207" t="str">
            <v>ZProgramme.xlsx</v>
          </cell>
          <cell r="D207" t="str">
            <v>tbd</v>
          </cell>
        </row>
        <row r="208">
          <cell r="A208" t="str">
            <v>ZCO_ILV_KENNZAHL_VORSYSTEMSELE</v>
          </cell>
          <cell r="B208" t="str">
            <v>Zprogramme</v>
          </cell>
          <cell r="C208" t="str">
            <v>ZProgramme.xlsx</v>
          </cell>
          <cell r="D208" t="str">
            <v>tbd</v>
          </cell>
        </row>
        <row r="209">
          <cell r="A209" t="str">
            <v>ZCO_DRUCKER_SPOOL_0I</v>
          </cell>
          <cell r="B209" t="str">
            <v>Zprogramme</v>
          </cell>
          <cell r="C209" t="str">
            <v>ZProgramme.xlsx</v>
          </cell>
          <cell r="D209" t="str">
            <v>tbd</v>
          </cell>
        </row>
        <row r="210">
          <cell r="A210" t="str">
            <v>ZCO_DRUCKER_SPOOL_1I</v>
          </cell>
          <cell r="B210" t="str">
            <v>Zprogramme</v>
          </cell>
          <cell r="C210" t="str">
            <v>ZProgramme.xlsx</v>
          </cell>
          <cell r="D210" t="str">
            <v>tbd</v>
          </cell>
        </row>
        <row r="211">
          <cell r="A211" t="str">
            <v>ZCO_DRUCKER_SPOOL_2I</v>
          </cell>
          <cell r="B211" t="str">
            <v>Zprogramme</v>
          </cell>
          <cell r="C211" t="str">
            <v>ZProgramme.xlsx</v>
          </cell>
          <cell r="D211" t="str">
            <v>tbd</v>
          </cell>
        </row>
        <row r="212">
          <cell r="A212" t="str">
            <v>ZCO_ILV_LINZENZVERRECHNUNG_I13</v>
          </cell>
          <cell r="B212" t="str">
            <v>Zprogramme</v>
          </cell>
          <cell r="C212" t="str">
            <v>ZProgramme.xlsx</v>
          </cell>
          <cell r="D212" t="str">
            <v>tbd</v>
          </cell>
        </row>
        <row r="213">
          <cell r="A213" t="str">
            <v>ZCO_ILV_LIZENZVERRECHNUNG_I0</v>
          </cell>
          <cell r="B213" t="str">
            <v>Zprogramme</v>
          </cell>
          <cell r="C213" t="str">
            <v>ZProgramme.xlsx</v>
          </cell>
          <cell r="D213" t="str">
            <v>tbd</v>
          </cell>
        </row>
        <row r="214">
          <cell r="A214" t="str">
            <v>ZCO_ILV_LIZENZVERRECHNUNG_I1</v>
          </cell>
          <cell r="B214" t="str">
            <v>Zprogramme</v>
          </cell>
          <cell r="C214" t="str">
            <v>ZProgramme.xlsx</v>
          </cell>
          <cell r="D214" t="str">
            <v>tbd</v>
          </cell>
        </row>
        <row r="215">
          <cell r="A215" t="str">
            <v>ZCO_ILV_LIZENZVERRECHNUNG_I10</v>
          </cell>
          <cell r="B215" t="str">
            <v>Zprogramme</v>
          </cell>
          <cell r="C215" t="str">
            <v>ZProgramme.xlsx</v>
          </cell>
          <cell r="D215" t="str">
            <v>tbd</v>
          </cell>
        </row>
        <row r="216">
          <cell r="A216" t="str">
            <v>ZCO_ILV_LIZENZVERRECHNUNG_I11</v>
          </cell>
          <cell r="B216" t="str">
            <v>Zprogramme</v>
          </cell>
          <cell r="C216" t="str">
            <v>ZProgramme.xlsx</v>
          </cell>
          <cell r="D216" t="str">
            <v>tbd</v>
          </cell>
        </row>
        <row r="217">
          <cell r="A217" t="str">
            <v>ZCO_ILV_LIZENZVERRECHNUNG_I12</v>
          </cell>
          <cell r="B217" t="str">
            <v>Zprogramme</v>
          </cell>
          <cell r="C217" t="str">
            <v>ZProgramme.xlsx</v>
          </cell>
          <cell r="D217" t="str">
            <v>tbd</v>
          </cell>
        </row>
        <row r="218">
          <cell r="A218" t="str">
            <v>ZCO_ILV_LIZENZVERRECHNUNG_I2</v>
          </cell>
          <cell r="B218" t="str">
            <v>Zprogramme</v>
          </cell>
          <cell r="C218" t="str">
            <v>ZProgramme.xlsx</v>
          </cell>
          <cell r="D218" t="str">
            <v>tbd</v>
          </cell>
        </row>
        <row r="219">
          <cell r="A219" t="str">
            <v>ZCO_ILV_LIZENZVERRECHNUNG_I3</v>
          </cell>
          <cell r="B219" t="str">
            <v>Zprogramme</v>
          </cell>
          <cell r="C219" t="str">
            <v>ZProgramme.xlsx</v>
          </cell>
          <cell r="D219" t="str">
            <v>tbd</v>
          </cell>
        </row>
        <row r="220">
          <cell r="A220" t="str">
            <v>ZCO_ILV_LIZENZVERRECHNUNG_I4</v>
          </cell>
          <cell r="B220" t="str">
            <v>Zprogramme</v>
          </cell>
          <cell r="C220" t="str">
            <v>ZProgramme.xlsx</v>
          </cell>
          <cell r="D220" t="str">
            <v>tbd</v>
          </cell>
        </row>
        <row r="221">
          <cell r="A221" t="str">
            <v>ZCO_ILV_LIZENZVERRECHNUNG_I5</v>
          </cell>
          <cell r="B221" t="str">
            <v>Zprogramme</v>
          </cell>
          <cell r="C221" t="str">
            <v>ZProgramme.xlsx</v>
          </cell>
          <cell r="D221" t="str">
            <v>tbd</v>
          </cell>
        </row>
        <row r="222">
          <cell r="A222" t="str">
            <v>ZCO_ILV_LIZENZVERRECHNUNG_I6</v>
          </cell>
          <cell r="B222" t="str">
            <v>Zprogramme</v>
          </cell>
          <cell r="C222" t="str">
            <v>ZProgramme.xlsx</v>
          </cell>
          <cell r="D222" t="str">
            <v>tbd</v>
          </cell>
        </row>
        <row r="223">
          <cell r="A223" t="str">
            <v>ZCO_ILV_LIZENZVERRECHNUNG_I7</v>
          </cell>
          <cell r="B223" t="str">
            <v>Zprogramme</v>
          </cell>
          <cell r="C223" t="str">
            <v>ZProgramme.xlsx</v>
          </cell>
          <cell r="D223" t="str">
            <v>tbd</v>
          </cell>
        </row>
        <row r="224">
          <cell r="A224" t="str">
            <v>ZCO_ILV_LIZENZVERRECHNUNG_I8</v>
          </cell>
          <cell r="B224" t="str">
            <v>Zprogramme</v>
          </cell>
          <cell r="C224" t="str">
            <v>ZProgramme.xlsx</v>
          </cell>
          <cell r="D224" t="str">
            <v>tbd</v>
          </cell>
        </row>
        <row r="225">
          <cell r="A225" t="str">
            <v>ZCO_ILV_LIZENZVERRECHNUNG_I9</v>
          </cell>
          <cell r="B225" t="str">
            <v>Zprogramme</v>
          </cell>
          <cell r="C225" t="str">
            <v>ZProgramme.xlsx</v>
          </cell>
          <cell r="D225" t="str">
            <v>tbd</v>
          </cell>
        </row>
        <row r="226">
          <cell r="A226" t="str">
            <v>ZCO_ILV_LIZENZVERRECHNUNG_TOP</v>
          </cell>
          <cell r="B226" t="str">
            <v>Zprogramme</v>
          </cell>
          <cell r="C226" t="str">
            <v>ZProgramme.xlsx</v>
          </cell>
          <cell r="D226" t="str">
            <v>tbd</v>
          </cell>
        </row>
        <row r="227">
          <cell r="A227" t="str">
            <v>ZCO_VORSTEUERKORREKTUR_F01</v>
          </cell>
          <cell r="B227" t="str">
            <v>Zprogramme</v>
          </cell>
          <cell r="C227" t="str">
            <v>ZProgramme.xlsx</v>
          </cell>
          <cell r="D227" t="str">
            <v>tbd</v>
          </cell>
        </row>
        <row r="228">
          <cell r="A228" t="str">
            <v>ZCO_VORSTEUERKORREKTUR_TOP</v>
          </cell>
          <cell r="B228" t="str">
            <v>Zprogramme</v>
          </cell>
          <cell r="C228" t="str">
            <v>ZProgramme.xlsx</v>
          </cell>
          <cell r="D228" t="str">
            <v>tbd</v>
          </cell>
        </row>
        <row r="229">
          <cell r="A229" t="str">
            <v>ZCO_ABSTIMMUNG_TOP</v>
          </cell>
          <cell r="B229" t="str">
            <v>Zprogramme</v>
          </cell>
          <cell r="C229" t="str">
            <v>ZProgramme.xlsx</v>
          </cell>
          <cell r="D229" t="str">
            <v>tbd</v>
          </cell>
        </row>
        <row r="230">
          <cell r="A230" t="str">
            <v>ZCO_ABSTIMMUNG_F00</v>
          </cell>
          <cell r="B230" t="str">
            <v>Zprogramme</v>
          </cell>
          <cell r="C230" t="str">
            <v>ZProgramme.xlsx</v>
          </cell>
          <cell r="D230" t="str">
            <v>tbd</v>
          </cell>
        </row>
        <row r="231">
          <cell r="A231" t="str">
            <v>ZCO_ABSTIMMUNG_F01</v>
          </cell>
          <cell r="B231" t="str">
            <v>Zprogramme</v>
          </cell>
          <cell r="C231" t="str">
            <v>ZProgramme.xlsx</v>
          </cell>
          <cell r="D231" t="str">
            <v>tbd</v>
          </cell>
        </row>
        <row r="232">
          <cell r="A232" t="str">
            <v>ZCO_ABSTIMMUNG_F02</v>
          </cell>
          <cell r="B232" t="str">
            <v>Zprogramme</v>
          </cell>
          <cell r="C232" t="str">
            <v>ZProgramme.xlsx</v>
          </cell>
          <cell r="D232" t="str">
            <v>tbd</v>
          </cell>
        </row>
        <row r="233">
          <cell r="A233" t="str">
            <v>ZCO_ABSTIMMUNG_F03</v>
          </cell>
          <cell r="B233" t="str">
            <v>Zprogramme</v>
          </cell>
          <cell r="C233" t="str">
            <v>ZProgramme.xlsx</v>
          </cell>
          <cell r="D233" t="str">
            <v>tbd</v>
          </cell>
        </row>
        <row r="234">
          <cell r="A234" t="str">
            <v>zbc_ss_print_par</v>
          </cell>
          <cell r="B234" t="str">
            <v>Zprogramme</v>
          </cell>
          <cell r="C234" t="str">
            <v>ZProgramme.xlsx</v>
          </cell>
          <cell r="D234" t="str">
            <v>tbd</v>
          </cell>
        </row>
        <row r="235">
          <cell r="A235" t="str">
            <v>zca_bdcrecx1_neu</v>
          </cell>
          <cell r="B235" t="str">
            <v>Zprogramme</v>
          </cell>
          <cell r="C235" t="str">
            <v>ZProgramme.xlsx</v>
          </cell>
          <cell r="D235" t="str">
            <v>tbd</v>
          </cell>
        </row>
        <row r="236">
          <cell r="A236" t="str">
            <v>ZCO_KALC_DRUCK_F01</v>
          </cell>
          <cell r="B236" t="str">
            <v>Zprogramme</v>
          </cell>
          <cell r="C236" t="str">
            <v>ZProgramme.xlsx</v>
          </cell>
          <cell r="D236" t="str">
            <v>tbd</v>
          </cell>
        </row>
        <row r="237">
          <cell r="A237" t="str">
            <v>ZCO_KALC_DRUCK_TOP</v>
          </cell>
          <cell r="B237" t="str">
            <v>Zprogramme</v>
          </cell>
          <cell r="C237" t="str">
            <v>ZProgramme.xlsx</v>
          </cell>
          <cell r="D237" t="str">
            <v>tbd</v>
          </cell>
        </row>
        <row r="238">
          <cell r="A238" t="str">
            <v>ZCO_PFC_MASS_I1</v>
          </cell>
          <cell r="B238" t="str">
            <v>Zprogramme</v>
          </cell>
          <cell r="C238" t="str">
            <v>ZProgramme.xlsx</v>
          </cell>
          <cell r="D238" t="str">
            <v>tbd</v>
          </cell>
        </row>
        <row r="239">
          <cell r="A239" t="str">
            <v>ZCO_PFC_MASS_I2</v>
          </cell>
          <cell r="B239" t="str">
            <v>Zprogramme</v>
          </cell>
          <cell r="C239" t="str">
            <v>ZProgramme.xlsx</v>
          </cell>
          <cell r="D239" t="str">
            <v>tbd</v>
          </cell>
        </row>
        <row r="240">
          <cell r="A240" t="str">
            <v>ZCO_PROFITCENTERANLAGE_0I</v>
          </cell>
          <cell r="B240" t="str">
            <v>Zprogramme</v>
          </cell>
          <cell r="C240" t="str">
            <v>ZProgramme.xlsx</v>
          </cell>
          <cell r="D240" t="str">
            <v>tbd</v>
          </cell>
        </row>
        <row r="241">
          <cell r="A241" t="str">
            <v>ZCO_PROFITCENTERANLAGE_10I</v>
          </cell>
          <cell r="B241" t="str">
            <v>Zprogramme</v>
          </cell>
          <cell r="C241" t="str">
            <v>ZProgramme.xlsx</v>
          </cell>
          <cell r="D241" t="str">
            <v>tbd</v>
          </cell>
        </row>
        <row r="242">
          <cell r="A242" t="str">
            <v>ZCO_PROFITCENTERANLAGE_1I</v>
          </cell>
          <cell r="B242" t="str">
            <v>Zprogramme</v>
          </cell>
          <cell r="C242" t="str">
            <v>ZProgramme.xlsx</v>
          </cell>
          <cell r="D242" t="str">
            <v>tbd</v>
          </cell>
        </row>
        <row r="243">
          <cell r="A243" t="str">
            <v>ZCO_PROFITCENTERANLAGE_2I</v>
          </cell>
          <cell r="B243" t="str">
            <v>Zprogramme</v>
          </cell>
          <cell r="C243" t="str">
            <v>ZProgramme.xlsx</v>
          </cell>
          <cell r="D243" t="str">
            <v>tbd</v>
          </cell>
        </row>
        <row r="244">
          <cell r="A244" t="str">
            <v>ZCO_PROFITCENTERANLAGE_3I</v>
          </cell>
          <cell r="B244" t="str">
            <v>Zprogramme</v>
          </cell>
          <cell r="C244" t="str">
            <v>ZProgramme.xlsx</v>
          </cell>
          <cell r="D244" t="str">
            <v>tbd</v>
          </cell>
        </row>
        <row r="245">
          <cell r="A245" t="str">
            <v>ZCO_PROFITCENTERANLAGE_4I</v>
          </cell>
          <cell r="B245" t="str">
            <v>Zprogramme</v>
          </cell>
          <cell r="C245" t="str">
            <v>ZProgramme.xlsx</v>
          </cell>
          <cell r="D245" t="str">
            <v>tbd</v>
          </cell>
        </row>
        <row r="246">
          <cell r="A246" t="str">
            <v>ZCO_PROFITCENTERANLAGE_5I</v>
          </cell>
          <cell r="B246" t="str">
            <v>Zprogramme</v>
          </cell>
          <cell r="C246" t="str">
            <v>ZProgramme.xlsx</v>
          </cell>
          <cell r="D246" t="str">
            <v>tbd</v>
          </cell>
        </row>
        <row r="247">
          <cell r="A247" t="str">
            <v>ZCO_PROFITCENTERANLAGE_6I</v>
          </cell>
          <cell r="B247" t="str">
            <v>Zprogramme</v>
          </cell>
          <cell r="C247" t="str">
            <v>ZProgramme.xlsx</v>
          </cell>
          <cell r="D247" t="str">
            <v>tbd</v>
          </cell>
        </row>
        <row r="248">
          <cell r="A248" t="str">
            <v>ZCO_PROFITCENTERANLAGE_7I</v>
          </cell>
          <cell r="B248" t="str">
            <v>Zprogramme</v>
          </cell>
          <cell r="C248" t="str">
            <v>ZProgramme.xlsx</v>
          </cell>
          <cell r="D248" t="str">
            <v>tbd</v>
          </cell>
        </row>
        <row r="249">
          <cell r="A249" t="str">
            <v>ZCO_PROFITCENTERANLAGE_8I</v>
          </cell>
          <cell r="B249" t="str">
            <v>Zprogramme</v>
          </cell>
          <cell r="C249" t="str">
            <v>ZProgramme.xlsx</v>
          </cell>
          <cell r="D249" t="str">
            <v>tbd</v>
          </cell>
        </row>
        <row r="250">
          <cell r="A250" t="str">
            <v>ZCO_PROFITCENTERANLAGE_9I</v>
          </cell>
          <cell r="B250" t="str">
            <v>Zprogramme</v>
          </cell>
          <cell r="C250" t="str">
            <v>ZProgramme.xlsx</v>
          </cell>
          <cell r="D250" t="str">
            <v>tbd</v>
          </cell>
        </row>
        <row r="251">
          <cell r="A251" t="str">
            <v>ZCO_PLANUNGSSCHNITTSTELLE_I0</v>
          </cell>
          <cell r="B251" t="str">
            <v>Zprogramme</v>
          </cell>
          <cell r="C251" t="str">
            <v>ZProgramme.xlsx</v>
          </cell>
          <cell r="D251" t="str">
            <v>tbd</v>
          </cell>
        </row>
        <row r="252">
          <cell r="A252" t="str">
            <v>ZCO_PLANUNGSSCHNITTSTELLE_I1</v>
          </cell>
          <cell r="B252" t="str">
            <v>Zprogramme</v>
          </cell>
          <cell r="C252" t="str">
            <v>ZProgramme.xlsx</v>
          </cell>
          <cell r="D252" t="str">
            <v>tbd</v>
          </cell>
        </row>
        <row r="253">
          <cell r="A253" t="str">
            <v>ZCO_PLANUNGSSCHNITTSTELLE_I2</v>
          </cell>
          <cell r="B253" t="str">
            <v>Zprogramme</v>
          </cell>
          <cell r="C253" t="str">
            <v>ZProgramme.xlsx</v>
          </cell>
          <cell r="D253" t="str">
            <v>tbd</v>
          </cell>
        </row>
        <row r="254">
          <cell r="A254" t="str">
            <v>ZCO_PLANUNGSSCHNITTSTELLE_I4</v>
          </cell>
          <cell r="B254" t="str">
            <v>Zprogramme</v>
          </cell>
          <cell r="C254" t="str">
            <v>ZProgramme.xlsx</v>
          </cell>
          <cell r="D254" t="str">
            <v>tbd</v>
          </cell>
        </row>
        <row r="255">
          <cell r="A255" t="str">
            <v>ZCO_PLANUNGSSCHNITTSTELLE_I5</v>
          </cell>
          <cell r="B255" t="str">
            <v>Zprogramme</v>
          </cell>
          <cell r="C255" t="str">
            <v>ZProgramme.xlsx</v>
          </cell>
          <cell r="D255" t="str">
            <v>tbd</v>
          </cell>
        </row>
        <row r="256">
          <cell r="A256" t="str">
            <v>ZCO_PLANUNGSSCHNITTSTELLE_I6</v>
          </cell>
          <cell r="B256" t="str">
            <v>Zprogramme</v>
          </cell>
          <cell r="C256" t="str">
            <v>ZProgramme.xlsx</v>
          </cell>
          <cell r="D256" t="str">
            <v>tbd</v>
          </cell>
        </row>
        <row r="257">
          <cell r="A257" t="str">
            <v>ZCO_PLANUNGSSCHNITTSTELLE_I7</v>
          </cell>
          <cell r="B257" t="str">
            <v>Zprogramme</v>
          </cell>
          <cell r="C257" t="str">
            <v>ZProgramme.xlsx</v>
          </cell>
          <cell r="D257" t="str">
            <v>tbd</v>
          </cell>
        </row>
        <row r="258">
          <cell r="A258" t="str">
            <v>ZCO_PLANUNGSSCHNITTSTELLE_I8</v>
          </cell>
          <cell r="B258" t="str">
            <v>Zprogramme</v>
          </cell>
          <cell r="C258" t="str">
            <v>ZProgramme.xlsx</v>
          </cell>
          <cell r="D258" t="str">
            <v>tbd</v>
          </cell>
        </row>
        <row r="259">
          <cell r="A259" t="str">
            <v>ZCO_PLANUNGSSCHNITTSTELLE_I9</v>
          </cell>
          <cell r="B259" t="str">
            <v>Zprogramme</v>
          </cell>
          <cell r="C259" t="str">
            <v>ZProgramme.xlsx</v>
          </cell>
          <cell r="D259" t="str">
            <v>tbd</v>
          </cell>
        </row>
        <row r="260">
          <cell r="A260" t="str">
            <v>ZCO_PLANUNGLKST</v>
          </cell>
          <cell r="B260" t="str">
            <v>Zprogramme</v>
          </cell>
          <cell r="C260" t="str">
            <v>ZProgramme.xlsx</v>
          </cell>
          <cell r="D260" t="str">
            <v>tbd</v>
          </cell>
        </row>
        <row r="261">
          <cell r="A261" t="str">
            <v>ZCO_PLANUNGMAUF</v>
          </cell>
          <cell r="B261" t="str">
            <v>Zprogramme</v>
          </cell>
          <cell r="C261" t="str">
            <v>ZProgramme.xlsx</v>
          </cell>
          <cell r="D261" t="str">
            <v>tbd</v>
          </cell>
        </row>
        <row r="262">
          <cell r="A262" t="str">
            <v>ZCO_PLANUNGMKST</v>
          </cell>
          <cell r="B262" t="str">
            <v>Zprogramme</v>
          </cell>
          <cell r="C262" t="str">
            <v>ZProgramme.xlsx</v>
          </cell>
          <cell r="D262" t="str">
            <v>tbd</v>
          </cell>
        </row>
        <row r="263">
          <cell r="A263" t="str">
            <v>ZCO_PLANUNGPAUF</v>
          </cell>
          <cell r="B263" t="str">
            <v>Zprogramme</v>
          </cell>
          <cell r="C263" t="str">
            <v>ZProgramme.xlsx</v>
          </cell>
          <cell r="D263" t="str">
            <v>tbd</v>
          </cell>
        </row>
        <row r="264">
          <cell r="A264" t="str">
            <v>ZCO_PLANUNGPKST</v>
          </cell>
          <cell r="B264" t="str">
            <v>Zprogramme</v>
          </cell>
          <cell r="C264" t="str">
            <v>ZProgramme.xlsx</v>
          </cell>
          <cell r="D264" t="str">
            <v>tbd</v>
          </cell>
        </row>
        <row r="265">
          <cell r="A265" t="str">
            <v>ZCO_PLANUNGSAUF</v>
          </cell>
          <cell r="B265" t="str">
            <v>Zprogramme</v>
          </cell>
          <cell r="C265" t="str">
            <v>ZProgramme.xlsx</v>
          </cell>
          <cell r="D265" t="str">
            <v>tbd</v>
          </cell>
        </row>
        <row r="266">
          <cell r="A266" t="str">
            <v>ZCO_PRUEFUNG_STAMM_ORGA_LESF01</v>
          </cell>
          <cell r="B266" t="str">
            <v>Zprogramme</v>
          </cell>
          <cell r="C266" t="str">
            <v>ZProgramme.xlsx</v>
          </cell>
          <cell r="D266" t="str">
            <v>tbd</v>
          </cell>
        </row>
        <row r="267">
          <cell r="A267" t="str">
            <v>ZCO_PRUEFUNG_STAMM_ORGA_TOP</v>
          </cell>
          <cell r="B267" t="str">
            <v>Zprogramme</v>
          </cell>
          <cell r="C267" t="str">
            <v>ZProgramme.xlsx</v>
          </cell>
          <cell r="D267" t="str">
            <v>tbd</v>
          </cell>
        </row>
        <row r="268">
          <cell r="A268" t="str">
            <v>ZCO_SOLVENCY_PCR_TOP</v>
          </cell>
          <cell r="B268" t="str">
            <v>Zprogramme</v>
          </cell>
          <cell r="C268" t="str">
            <v>ZProgramme.xlsx</v>
          </cell>
          <cell r="D268" t="str">
            <v>tbd</v>
          </cell>
        </row>
        <row r="269">
          <cell r="A269" t="str">
            <v>ZCO_IA_ABRECHNUNGSSCHEMA_1I</v>
          </cell>
          <cell r="B269" t="str">
            <v>Zprogramme</v>
          </cell>
          <cell r="C269" t="str">
            <v>ZProgramme.xlsx</v>
          </cell>
          <cell r="D269" t="str">
            <v>tbd</v>
          </cell>
        </row>
        <row r="270">
          <cell r="A270" t="str">
            <v>ZIM_MASANFORD_IMPORT_I1</v>
          </cell>
          <cell r="B270" t="str">
            <v>Zprogramme</v>
          </cell>
          <cell r="C270" t="str">
            <v>ZProgramme.xlsx</v>
          </cell>
          <cell r="D270" t="str">
            <v>tbd</v>
          </cell>
        </row>
        <row r="271">
          <cell r="A271" t="str">
            <v>ZIM_UPD_IMAUFTRAG01_TOP</v>
          </cell>
          <cell r="B271" t="str">
            <v>Zprogramme</v>
          </cell>
          <cell r="C271" t="str">
            <v>ZProgramme.xlsx</v>
          </cell>
          <cell r="D271" t="str">
            <v>tbd</v>
          </cell>
        </row>
        <row r="272">
          <cell r="A272" t="str">
            <v>EXIT_SAPMKAUF_002</v>
          </cell>
          <cell r="B272" t="str">
            <v>Zprogramme</v>
          </cell>
          <cell r="C272" t="str">
            <v>ZProgramme.xlsx</v>
          </cell>
          <cell r="D272" t="str">
            <v>tbd</v>
          </cell>
        </row>
        <row r="273">
          <cell r="A273" t="str">
            <v>EXIT_SAPMKAUF_003</v>
          </cell>
          <cell r="B273" t="str">
            <v>Zprogramme</v>
          </cell>
          <cell r="C273" t="str">
            <v>ZProgramme.xlsx</v>
          </cell>
          <cell r="D273" t="str">
            <v>tbd</v>
          </cell>
        </row>
        <row r="274">
          <cell r="A274" t="str">
            <v>CI_AUFK</v>
          </cell>
          <cell r="B274" t="str">
            <v>Zprogramme</v>
          </cell>
          <cell r="C274" t="str">
            <v>ZProgramme.xlsx</v>
          </cell>
          <cell r="D274" t="str">
            <v>tbd</v>
          </cell>
        </row>
        <row r="275">
          <cell r="A275" t="str">
            <v>EXIT_SAPLKOAU_002</v>
          </cell>
          <cell r="B275" t="str">
            <v>Zprogramme</v>
          </cell>
          <cell r="C275" t="str">
            <v>ZProgramme.xlsx</v>
          </cell>
          <cell r="D275" t="str">
            <v>tbd</v>
          </cell>
        </row>
        <row r="276">
          <cell r="A276" t="str">
            <v>EXIT_SAPLRKIO_001</v>
          </cell>
          <cell r="B276" t="str">
            <v>Zprogramme</v>
          </cell>
          <cell r="C276" t="str">
            <v>ZProgramme.xlsx</v>
          </cell>
          <cell r="D276" t="str">
            <v>tbd</v>
          </cell>
        </row>
        <row r="277">
          <cell r="A277" t="str">
            <v>EXIT_SAPLRKIO_002</v>
          </cell>
          <cell r="B277" t="str">
            <v>Zprogramme</v>
          </cell>
          <cell r="C277" t="str">
            <v>ZProgramme.xlsx</v>
          </cell>
          <cell r="D277" t="str">
            <v>tbd</v>
          </cell>
        </row>
        <row r="278">
          <cell r="A278" t="str">
            <v>EXIT_SAPLKBER_002</v>
          </cell>
          <cell r="B278" t="str">
            <v>Zprogramme</v>
          </cell>
          <cell r="C278" t="str">
            <v>ZProgramme.xlsx</v>
          </cell>
          <cell r="D278" t="str">
            <v>tbd</v>
          </cell>
        </row>
        <row r="279">
          <cell r="A279" t="str">
            <v>EXIT_SAPMKAL1_001</v>
          </cell>
          <cell r="B279" t="str">
            <v>Zprogramme</v>
          </cell>
          <cell r="C279" t="str">
            <v>ZProgramme.xlsx</v>
          </cell>
          <cell r="D279" t="str">
            <v>tbd</v>
          </cell>
        </row>
        <row r="280">
          <cell r="A280" t="str">
            <v>EXIT_SAPMKGA2_001</v>
          </cell>
          <cell r="B280" t="str">
            <v>Zprogramme</v>
          </cell>
          <cell r="C280" t="str">
            <v>ZProgramme.xlsx</v>
          </cell>
          <cell r="D280" t="str">
            <v>tbd</v>
          </cell>
        </row>
        <row r="281">
          <cell r="A281" t="str">
            <v>EXIT_SAPLKMA1_001</v>
          </cell>
          <cell r="B281" t="str">
            <v>Zprogramme</v>
          </cell>
          <cell r="C281" t="str">
            <v>ZProgramme.xlsx</v>
          </cell>
          <cell r="D281" t="str">
            <v>tbd</v>
          </cell>
        </row>
        <row r="282">
          <cell r="A282" t="str">
            <v>EXIT_SAPLKMA1_002</v>
          </cell>
          <cell r="B282" t="str">
            <v>Zprogramme</v>
          </cell>
          <cell r="C282" t="str">
            <v>ZProgramme.xlsx</v>
          </cell>
          <cell r="D282" t="str">
            <v>tbd</v>
          </cell>
        </row>
        <row r="283">
          <cell r="A283" t="str">
            <v>SAPLKMA1                       +CU1</v>
          </cell>
          <cell r="B283" t="str">
            <v>Zprogramme</v>
          </cell>
          <cell r="C283" t="str">
            <v>ZProgramme.xlsx</v>
          </cell>
          <cell r="D283" t="str">
            <v>tbd</v>
          </cell>
        </row>
        <row r="284">
          <cell r="A284" t="str">
            <v>SAPLKMA1                       0399 CUSTFLDS SAPLXKM1                       0999</v>
          </cell>
          <cell r="B284" t="str">
            <v>Zprogramme</v>
          </cell>
          <cell r="C284" t="str">
            <v>ZProgramme.xlsx</v>
          </cell>
          <cell r="D284" t="str">
            <v>tbd</v>
          </cell>
        </row>
        <row r="285">
          <cell r="A285" t="str">
            <v>SAPLKMA1                       3399 CUSTFLDS SAPLXKM1                       0999</v>
          </cell>
          <cell r="B285" t="str">
            <v>Zprogramme</v>
          </cell>
          <cell r="C285" t="str">
            <v>ZProgramme.xlsx</v>
          </cell>
          <cell r="D285" t="str">
            <v>tbd</v>
          </cell>
        </row>
        <row r="286">
          <cell r="A286" t="str">
            <v>CI_CSKS</v>
          </cell>
          <cell r="B286" t="str">
            <v>Zprogramme</v>
          </cell>
          <cell r="C286" t="str">
            <v>ZProgramme.xlsx</v>
          </cell>
          <cell r="D286" t="str">
            <v>tbd</v>
          </cell>
        </row>
        <row r="287">
          <cell r="A287" t="str">
            <v>EXIT_SAPLKMA1_003</v>
          </cell>
          <cell r="B287" t="str">
            <v>Zprogramme</v>
          </cell>
          <cell r="C287" t="str">
            <v>ZProgramme.xlsx</v>
          </cell>
          <cell r="D287" t="str">
            <v>tbd</v>
          </cell>
        </row>
        <row r="288">
          <cell r="A288" t="str">
            <v>EXIT_SAPMKPT4_020</v>
          </cell>
          <cell r="B288" t="str">
            <v>Zprogramme</v>
          </cell>
          <cell r="C288" t="str">
            <v>ZProgramme.xlsx</v>
          </cell>
          <cell r="D288" t="str">
            <v>tbd</v>
          </cell>
        </row>
        <row r="289">
          <cell r="A289" t="str">
            <v>ZFI_MONATSABSCHLUSS_UPLOAD</v>
          </cell>
          <cell r="B289" t="str">
            <v>Z-Artefakte_ADAC_Schwerpunkt_FI_Stand_18_08_2022</v>
          </cell>
          <cell r="C289" t="str">
            <v>Z_Artefakte_ADAC_Schwerpunkt_FI_Stand_18_08_2022.xlsx</v>
          </cell>
          <cell r="D289" t="str">
            <v>Nein</v>
          </cell>
        </row>
        <row r="290">
          <cell r="A290" t="str">
            <v>ZFI_T27CHECK</v>
          </cell>
          <cell r="B290" t="str">
            <v>Z-Artefakte_ADAC_Schwerpunkt_FI_Stand_18_08_2022</v>
          </cell>
          <cell r="C290" t="str">
            <v>Z_Artefakte_ADAC_Schwerpunkt_FI_Stand_18_08_2022.xlsx</v>
          </cell>
          <cell r="D290" t="str">
            <v>Nein</v>
          </cell>
        </row>
        <row r="291">
          <cell r="A291" t="str">
            <v>ZFI_T27CHECK_MIG</v>
          </cell>
          <cell r="B291" t="str">
            <v>Z-Artefakte_ADAC_Schwerpunkt_FI_Stand_18_08_2022</v>
          </cell>
          <cell r="C291" t="str">
            <v>Z_Artefakte_ADAC_Schwerpunkt_FI_Stand_18_08_2022.xlsx</v>
          </cell>
          <cell r="D291" t="str">
            <v>Nein</v>
          </cell>
        </row>
        <row r="292">
          <cell r="A292" t="str">
            <v>ZFI_T29CHECK</v>
          </cell>
          <cell r="B292" t="str">
            <v>Z-Artefakte_ADAC_Schwerpunkt_FI_Stand_18_08_2022</v>
          </cell>
          <cell r="C292" t="str">
            <v>Z_Artefakte_ADAC_Schwerpunkt_FI_Stand_18_08_2022.xlsx</v>
          </cell>
          <cell r="D292" t="str">
            <v>Nein</v>
          </cell>
        </row>
        <row r="293">
          <cell r="A293" t="str">
            <v>ZFI_UPLOAD_ADAMTAB_MIG</v>
          </cell>
          <cell r="B293" t="str">
            <v>Z-Artefakte_ADAC_Schwerpunkt_FI_Stand_18_08_2022</v>
          </cell>
          <cell r="C293" t="str">
            <v>Z_Artefakte_ADAC_Schwerpunkt_FI_Stand_18_08_2022.xlsx</v>
          </cell>
          <cell r="D293" t="str">
            <v>Nein</v>
          </cell>
        </row>
        <row r="294">
          <cell r="A294" t="str">
            <v>ZFI_AANALYZE01</v>
          </cell>
          <cell r="B294" t="str">
            <v>Z-Artefakte_ADAC_Schwerpunkt_FI_Stand_18_08_2022</v>
          </cell>
          <cell r="C294" t="str">
            <v>Z_Artefakte_ADAC_Schwerpunkt_FI_Stand_18_08_2022.xlsx</v>
          </cell>
          <cell r="D294" t="str">
            <v>Nein</v>
          </cell>
        </row>
        <row r="295">
          <cell r="A295" t="str">
            <v>ZFI_ABZUG_ANLA</v>
          </cell>
          <cell r="B295" t="str">
            <v>Z-Artefakte_ADAC_Schwerpunkt_FI_Stand_18_08_2022</v>
          </cell>
          <cell r="C295" t="str">
            <v>Z_Artefakte_ADAC_Schwerpunkt_FI_Stand_18_08_2022.xlsx</v>
          </cell>
          <cell r="D295" t="str">
            <v>Nein</v>
          </cell>
        </row>
        <row r="296">
          <cell r="A296" t="str">
            <v>ZFI_ANLA_AENDERN_INVKENNZ</v>
          </cell>
          <cell r="B296" t="str">
            <v>Z-Artefakte_ADAC_Schwerpunkt_FI_Stand_18_08_2022</v>
          </cell>
          <cell r="C296" t="str">
            <v>Z_Artefakte_ADAC_Schwerpunkt_FI_Stand_18_08_2022.xlsx</v>
          </cell>
          <cell r="D296" t="str">
            <v>tbd</v>
          </cell>
        </row>
        <row r="297">
          <cell r="A297" t="str">
            <v>ZFI_AS91_GKS</v>
          </cell>
          <cell r="B297" t="str">
            <v>Z-Artefakte_ADAC_Schwerpunkt_FI_Stand_18_08_2022</v>
          </cell>
          <cell r="C297" t="str">
            <v>Z_Artefakte_ADAC_Schwerpunkt_FI_Stand_18_08_2022.xlsx</v>
          </cell>
          <cell r="D297" t="str">
            <v>tbd</v>
          </cell>
        </row>
        <row r="298">
          <cell r="A298" t="str">
            <v>ZFI_AUSBUCHUNG_PROV_REPORT</v>
          </cell>
          <cell r="B298" t="str">
            <v>Z-Artefakte_ADAC_Schwerpunkt_FI_Stand_18_08_2022</v>
          </cell>
          <cell r="C298" t="str">
            <v>Z_Artefakte_ADAC_Schwerpunkt_FI_Stand_18_08_2022.xlsx</v>
          </cell>
          <cell r="D298" t="str">
            <v>tbd</v>
          </cell>
        </row>
        <row r="299">
          <cell r="A299" t="str">
            <v>ZFI_STEUER_ANL_VIEW</v>
          </cell>
          <cell r="B299" t="str">
            <v>Z-Artefakte_ADAC_Schwerpunkt_FI_Stand_18_08_2022</v>
          </cell>
          <cell r="C299" t="str">
            <v>Z_Artefakte_ADAC_Schwerpunkt_FI_Stand_18_08_2022.xlsx</v>
          </cell>
          <cell r="D299" t="str">
            <v>tbd</v>
          </cell>
        </row>
        <row r="300">
          <cell r="A300" t="str">
            <v>ZFI_AL_REBHIS_DEL</v>
          </cell>
          <cell r="B300" t="str">
            <v>Z-Artefakte_ADAC_Schwerpunkt_FI_Stand_18_08_2022</v>
          </cell>
          <cell r="C300" t="str">
            <v>Z_Artefakte_ADAC_Schwerpunkt_FI_Stand_18_08_2022.xlsx</v>
          </cell>
          <cell r="D300" t="str">
            <v>Ja</v>
          </cell>
        </row>
        <row r="301">
          <cell r="A301" t="str">
            <v>ZFI_ARCID_FIDOCS</v>
          </cell>
          <cell r="B301" t="str">
            <v>Z-Artefakte_ADAC_Schwerpunkt_FI_Stand_18_08_2022</v>
          </cell>
          <cell r="C301" t="str">
            <v>Z_Artefakte_ADAC_Schwerpunkt_FI_Stand_18_08_2022.xlsx</v>
          </cell>
          <cell r="D301" t="str">
            <v>Ja</v>
          </cell>
        </row>
        <row r="302">
          <cell r="A302" t="str">
            <v>ZFI_ARFILES_DEL</v>
          </cell>
          <cell r="B302" t="str">
            <v>Z-Artefakte_ADAC_Schwerpunkt_FI_Stand_18_08_2022</v>
          </cell>
          <cell r="C302" t="str">
            <v>Z_Artefakte_ADAC_Schwerpunkt_FI_Stand_18_08_2022.xlsx</v>
          </cell>
          <cell r="D302" t="str">
            <v>Ja</v>
          </cell>
        </row>
        <row r="303">
          <cell r="A303" t="str">
            <v>ZFI_AVM_AOBJD</v>
          </cell>
          <cell r="B303" t="str">
            <v>Z-Artefakte_ADAC_Schwerpunkt_FI_Stand_18_08_2022</v>
          </cell>
          <cell r="C303" t="str">
            <v>Z_Artefakte_ADAC_Schwerpunkt_FI_Stand_18_08_2022.xlsx</v>
          </cell>
          <cell r="D303" t="str">
            <v>Ja</v>
          </cell>
        </row>
        <row r="304">
          <cell r="A304" t="str">
            <v>ZFI_AVM_AOBJR</v>
          </cell>
          <cell r="B304" t="str">
            <v>Z-Artefakte_ADAC_Schwerpunkt_FI_Stand_18_08_2022</v>
          </cell>
          <cell r="C304" t="str">
            <v>Z_Artefakte_ADAC_Schwerpunkt_FI_Stand_18_08_2022.xlsx</v>
          </cell>
          <cell r="D304" t="str">
            <v>Ja</v>
          </cell>
        </row>
        <row r="305">
          <cell r="A305" t="str">
            <v>ZFI_AVM_AOBJW</v>
          </cell>
          <cell r="B305" t="str">
            <v>Z-Artefakte_ADAC_Schwerpunkt_FI_Stand_18_08_2022</v>
          </cell>
          <cell r="C305" t="str">
            <v>Z_Artefakte_ADAC_Schwerpunkt_FI_Stand_18_08_2022.xlsx</v>
          </cell>
          <cell r="D305" t="str">
            <v>Ja</v>
          </cell>
        </row>
        <row r="306">
          <cell r="A306" t="str">
            <v>ZFI_AVM1_DATA</v>
          </cell>
          <cell r="B306" t="str">
            <v>Z-Artefakte_ADAC_Schwerpunkt_FI_Stand_18_08_2022</v>
          </cell>
          <cell r="C306" t="str">
            <v>Z_Artefakte_ADAC_Schwerpunkt_FI_Stand_18_08_2022.xlsx</v>
          </cell>
          <cell r="D306" t="str">
            <v>Ja</v>
          </cell>
        </row>
        <row r="307">
          <cell r="A307" t="str">
            <v>ZFI_AVM1_DEL</v>
          </cell>
          <cell r="B307" t="str">
            <v>Z-Artefakte_ADAC_Schwerpunkt_FI_Stand_18_08_2022</v>
          </cell>
          <cell r="C307" t="str">
            <v>Z_Artefakte_ADAC_Schwerpunkt_FI_Stand_18_08_2022.xlsx</v>
          </cell>
          <cell r="D307" t="str">
            <v>Ja</v>
          </cell>
        </row>
        <row r="308">
          <cell r="A308" t="str">
            <v>ZFI_AVM1_FILE</v>
          </cell>
          <cell r="B308" t="str">
            <v>Z-Artefakte_ADAC_Schwerpunkt_FI_Stand_18_08_2022</v>
          </cell>
          <cell r="C308" t="str">
            <v>Z_Artefakte_ADAC_Schwerpunkt_FI_Stand_18_08_2022.xlsx</v>
          </cell>
          <cell r="D308" t="str">
            <v>Ja</v>
          </cell>
        </row>
        <row r="309">
          <cell r="A309" t="str">
            <v>ZFI_AVM1_FILE1</v>
          </cell>
          <cell r="B309" t="str">
            <v>Z-Artefakte_ADAC_Schwerpunkt_FI_Stand_18_08_2022</v>
          </cell>
          <cell r="C309" t="str">
            <v>Z_Artefakte_ADAC_Schwerpunkt_FI_Stand_18_08_2022.xlsx</v>
          </cell>
          <cell r="D309" t="str">
            <v>Ja</v>
          </cell>
        </row>
        <row r="310">
          <cell r="A310" t="str">
            <v>ZFI_AVM1_FILE2</v>
          </cell>
          <cell r="B310" t="str">
            <v>Z-Artefakte_ADAC_Schwerpunkt_FI_Stand_18_08_2022</v>
          </cell>
          <cell r="C310" t="str">
            <v>Z_Artefakte_ADAC_Schwerpunkt_FI_Stand_18_08_2022.xlsx</v>
          </cell>
          <cell r="D310" t="str">
            <v>Ja</v>
          </cell>
        </row>
        <row r="311">
          <cell r="A311" t="str">
            <v>ZFI_AVM1_LOAD</v>
          </cell>
          <cell r="B311" t="str">
            <v>Z-Artefakte_ADAC_Schwerpunkt_FI_Stand_18_08_2022</v>
          </cell>
          <cell r="C311" t="str">
            <v>Z_Artefakte_ADAC_Schwerpunkt_FI_Stand_18_08_2022.xlsx</v>
          </cell>
          <cell r="D311" t="str">
            <v>Ja</v>
          </cell>
        </row>
        <row r="312">
          <cell r="A312" t="str">
            <v>ZFI_AVM1_READ</v>
          </cell>
          <cell r="B312" t="str">
            <v>Z-Artefakte_ADAC_Schwerpunkt_FI_Stand_18_08_2022</v>
          </cell>
          <cell r="C312" t="str">
            <v>Z_Artefakte_ADAC_Schwerpunkt_FI_Stand_18_08_2022.xlsx</v>
          </cell>
          <cell r="D312" t="str">
            <v>Ja</v>
          </cell>
        </row>
        <row r="313">
          <cell r="A313" t="str">
            <v>ZFI_AVM1_SCAN</v>
          </cell>
          <cell r="B313" t="str">
            <v>Z-Artefakte_ADAC_Schwerpunkt_FI_Stand_18_08_2022</v>
          </cell>
          <cell r="C313" t="str">
            <v>Z_Artefakte_ADAC_Schwerpunkt_FI_Stand_18_08_2022.xlsx</v>
          </cell>
          <cell r="D313" t="str">
            <v>Ja</v>
          </cell>
        </row>
        <row r="314">
          <cell r="A314" t="str">
            <v>ZFI_AUSL_MENUE</v>
          </cell>
          <cell r="B314" t="str">
            <v>Z-Artefakte_ADAC_Schwerpunkt_FI_Stand_18_08_2022</v>
          </cell>
          <cell r="C314" t="str">
            <v>Z_Artefakte_ADAC_Schwerpunkt_FI_Stand_18_08_2022.xlsx</v>
          </cell>
          <cell r="D314" t="str">
            <v>tbd</v>
          </cell>
        </row>
        <row r="315">
          <cell r="A315" t="str">
            <v>ZFI_AUSL_MENUE_ADMIN</v>
          </cell>
          <cell r="B315" t="str">
            <v>Z-Artefakte_ADAC_Schwerpunkt_FI_Stand_18_08_2022</v>
          </cell>
          <cell r="C315" t="str">
            <v>Z_Artefakte_ADAC_Schwerpunkt_FI_Stand_18_08_2022.xlsx</v>
          </cell>
          <cell r="D315" t="str">
            <v>tbd</v>
          </cell>
        </row>
        <row r="316">
          <cell r="A316" t="str">
            <v>ZFI_AUSL_MENUE_ANZ</v>
          </cell>
          <cell r="B316" t="str">
            <v>Z-Artefakte_ADAC_Schwerpunkt_FI_Stand_18_08_2022</v>
          </cell>
          <cell r="C316" t="str">
            <v>Z_Artefakte_ADAC_Schwerpunkt_FI_Stand_18_08_2022.xlsx</v>
          </cell>
          <cell r="D316" t="str">
            <v>tbd</v>
          </cell>
        </row>
        <row r="317">
          <cell r="A317" t="str">
            <v>ZFI_AUSL_BEL</v>
          </cell>
          <cell r="B317" t="str">
            <v>Z-Artefakte_ADAC_Schwerpunkt_FI_Stand_18_08_2022</v>
          </cell>
          <cell r="C317" t="str">
            <v>Z_Artefakte_ADAC_Schwerpunkt_FI_Stand_18_08_2022.xlsx</v>
          </cell>
          <cell r="D317" t="str">
            <v>tbd</v>
          </cell>
        </row>
        <row r="318">
          <cell r="A318" t="str">
            <v>ZFI_AUSL_BEL_HIST</v>
          </cell>
          <cell r="B318" t="str">
            <v>Z-Artefakte_ADAC_Schwerpunkt_FI_Stand_18_08_2022</v>
          </cell>
          <cell r="C318" t="str">
            <v>Z_Artefakte_ADAC_Schwerpunkt_FI_Stand_18_08_2022.xlsx</v>
          </cell>
          <cell r="D318" t="str">
            <v>tbd</v>
          </cell>
        </row>
        <row r="319">
          <cell r="A319" t="str">
            <v>ZFI_AUSL_LISTE</v>
          </cell>
          <cell r="B319" t="str">
            <v>Z-Artefakte_ADAC_Schwerpunkt_FI_Stand_18_08_2022</v>
          </cell>
          <cell r="C319" t="str">
            <v>Z_Artefakte_ADAC_Schwerpunkt_FI_Stand_18_08_2022.xlsx</v>
          </cell>
          <cell r="D319" t="str">
            <v>tbd</v>
          </cell>
        </row>
        <row r="320">
          <cell r="A320" t="str">
            <v>ZFI_AVM_UMBUCHUNG</v>
          </cell>
          <cell r="B320" t="str">
            <v>Z-Artefakte_ADAC_Schwerpunkt_FI_Stand_18_08_2022</v>
          </cell>
          <cell r="C320" t="str">
            <v>Z_Artefakte_ADAC_Schwerpunkt_FI_Stand_18_08_2022.xlsx</v>
          </cell>
          <cell r="D320" t="str">
            <v>tbd mit AVM</v>
          </cell>
        </row>
        <row r="321">
          <cell r="A321" t="str">
            <v>ZFI_WOMO_ZUORDANZ</v>
          </cell>
          <cell r="B321" t="str">
            <v>Z-Artefakte_ADAC_Schwerpunkt_FI_Stand_18_08_2022</v>
          </cell>
          <cell r="C321" t="str">
            <v>Z_Artefakte_ADAC_Schwerpunkt_FI_Stand_18_08_2022.xlsx</v>
          </cell>
          <cell r="D321" t="str">
            <v>tbd mit AVM</v>
          </cell>
        </row>
        <row r="322">
          <cell r="A322" t="str">
            <v>ZFI_PAYPAL</v>
          </cell>
          <cell r="B322" t="str">
            <v>Z-Artefakte_ADAC_Schwerpunkt_FI_Stand_18_08_2022</v>
          </cell>
          <cell r="C322" t="str">
            <v>Z_Artefakte_ADAC_Schwerpunkt_FI_Stand_18_08_2022.xlsx</v>
          </cell>
          <cell r="D322" t="str">
            <v>tbd mit AVM</v>
          </cell>
        </row>
        <row r="323">
          <cell r="A323" t="str">
            <v>ZFI_AVMBROKER_ABSTIMM_SUPP</v>
          </cell>
          <cell r="B323" t="str">
            <v>Z-Artefakte_ADAC_Schwerpunkt_FI_Stand_18_08_2022</v>
          </cell>
          <cell r="C323" t="str">
            <v>Z_Artefakte_ADAC_Schwerpunkt_FI_Stand_18_08_2022.xlsx</v>
          </cell>
          <cell r="D323" t="str">
            <v>tbd mit AVM</v>
          </cell>
        </row>
        <row r="324">
          <cell r="A324" t="str">
            <v>ZFI_AVMBROKER_ABSTIMMUNG</v>
          </cell>
          <cell r="B324" t="str">
            <v>Z-Artefakte_ADAC_Schwerpunkt_FI_Stand_18_08_2022</v>
          </cell>
          <cell r="C324" t="str">
            <v>Z_Artefakte_ADAC_Schwerpunkt_FI_Stand_18_08_2022.xlsx</v>
          </cell>
          <cell r="D324" t="str">
            <v>tbd mit AVM</v>
          </cell>
        </row>
        <row r="325">
          <cell r="A325" t="str">
            <v>ZFI_AVMBR01</v>
          </cell>
          <cell r="B325" t="str">
            <v>Z-Artefakte_ADAC_Schwerpunkt_FI_Stand_18_08_2022</v>
          </cell>
          <cell r="C325" t="str">
            <v>Z_Artefakte_ADAC_Schwerpunkt_FI_Stand_18_08_2022.xlsx</v>
          </cell>
          <cell r="D325" t="str">
            <v>tbd mit AVM</v>
          </cell>
        </row>
        <row r="326">
          <cell r="A326" t="str">
            <v>ZFI_AVMBR02</v>
          </cell>
          <cell r="B326" t="str">
            <v>Z-Artefakte_ADAC_Schwerpunkt_FI_Stand_18_08_2022</v>
          </cell>
          <cell r="C326" t="str">
            <v>Z_Artefakte_ADAC_Schwerpunkt_FI_Stand_18_08_2022.xlsx</v>
          </cell>
          <cell r="D326" t="str">
            <v>tbd mit AVM</v>
          </cell>
        </row>
        <row r="327">
          <cell r="A327" t="str">
            <v>ZFI_AVMBR04</v>
          </cell>
          <cell r="B327" t="str">
            <v>Z-Artefakte_ADAC_Schwerpunkt_FI_Stand_18_08_2022</v>
          </cell>
          <cell r="C327" t="str">
            <v>Z_Artefakte_ADAC_Schwerpunkt_FI_Stand_18_08_2022.xlsx</v>
          </cell>
          <cell r="D327" t="str">
            <v>tbd mit AVM</v>
          </cell>
        </row>
        <row r="328">
          <cell r="A328" t="str">
            <v>ZFI_BSCARD</v>
          </cell>
          <cell r="B328" t="str">
            <v>Z-Artefakte_ADAC_Schwerpunkt_FI_Stand_18_08_2022</v>
          </cell>
          <cell r="C328" t="str">
            <v>Z_Artefakte_ADAC_Schwerpunkt_FI_Stand_18_08_2022.xlsx</v>
          </cell>
          <cell r="D328" t="str">
            <v>tbd mit AVM</v>
          </cell>
        </row>
        <row r="329">
          <cell r="A329" t="str">
            <v>ZFI_BSCARD_TIMDATA</v>
          </cell>
          <cell r="B329" t="str">
            <v>Z-Artefakte_ADAC_Schwerpunkt_FI_Stand_18_08_2022</v>
          </cell>
          <cell r="C329" t="str">
            <v>Z_Artefakte_ADAC_Schwerpunkt_FI_Stand_18_08_2022.xlsx</v>
          </cell>
          <cell r="D329" t="str">
            <v>tbd</v>
          </cell>
        </row>
        <row r="330">
          <cell r="A330" t="str">
            <v>ZFI_BSCARD_UMBUCHUNG</v>
          </cell>
          <cell r="B330" t="str">
            <v>Z-Artefakte_ADAC_Schwerpunkt_FI_Stand_18_08_2022</v>
          </cell>
          <cell r="C330" t="str">
            <v>Z_Artefakte_ADAC_Schwerpunkt_FI_Stand_18_08_2022.xlsx</v>
          </cell>
          <cell r="D330" t="str">
            <v>tbd mit AVM</v>
          </cell>
        </row>
        <row r="331">
          <cell r="A331" t="str">
            <v>ZFI_COMPUTOP</v>
          </cell>
          <cell r="B331" t="str">
            <v>Z-Artefakte_ADAC_Schwerpunkt_FI_Stand_18_08_2022</v>
          </cell>
          <cell r="C331" t="str">
            <v>Z_Artefakte_ADAC_Schwerpunkt_FI_Stand_18_08_2022.xlsx</v>
          </cell>
          <cell r="D331" t="str">
            <v>tbd mit AVM</v>
          </cell>
        </row>
        <row r="332">
          <cell r="A332" t="str">
            <v>ZFI_COPY_TEXT_DATASET</v>
          </cell>
          <cell r="B332" t="str">
            <v>Z-Artefakte_ADAC_Schwerpunkt_FI_Stand_18_08_2022</v>
          </cell>
          <cell r="C332" t="str">
            <v>Z_Artefakte_ADAC_Schwerpunkt_FI_Stand_18_08_2022.xlsx</v>
          </cell>
          <cell r="D332" t="str">
            <v>Ja</v>
          </cell>
        </row>
        <row r="333">
          <cell r="A333" t="str">
            <v>ZFI_EXCEL_UPLOAD</v>
          </cell>
          <cell r="B333" t="str">
            <v>Z-Artefakte_ADAC_Schwerpunkt_FI_Stand_18_08_2022</v>
          </cell>
          <cell r="C333" t="str">
            <v>Z_Artefakte_ADAC_Schwerpunkt_FI_Stand_18_08_2022.xlsx</v>
          </cell>
          <cell r="D333" t="str">
            <v>Nein</v>
          </cell>
        </row>
        <row r="334">
          <cell r="A334" t="str">
            <v>ZFI_FELDSTATUS_AUSWERTUNG</v>
          </cell>
          <cell r="B334" t="str">
            <v>Z-Artefakte_ADAC_Schwerpunkt_FI_Stand_18_08_2022</v>
          </cell>
          <cell r="C334" t="str">
            <v>Z_Artefakte_ADAC_Schwerpunkt_FI_Stand_18_08_2022.xlsx</v>
          </cell>
          <cell r="D334" t="str">
            <v>Nein</v>
          </cell>
        </row>
        <row r="335">
          <cell r="A335" t="str">
            <v>ZFI_GLOBAL</v>
          </cell>
          <cell r="B335" t="str">
            <v>Z-Artefakte_ADAC_Schwerpunkt_FI_Stand_18_08_2022</v>
          </cell>
          <cell r="C335" t="str">
            <v>Z_Artefakte_ADAC_Schwerpunkt_FI_Stand_18_08_2022.xlsx</v>
          </cell>
          <cell r="D335" t="str">
            <v>Muss neu designed werden
(wegen Abhängigkeiten)</v>
          </cell>
        </row>
        <row r="336">
          <cell r="A336" t="str">
            <v>ZFI_GLT3_DELETE</v>
          </cell>
          <cell r="B336" t="str">
            <v>Z-Artefakte_ADAC_Schwerpunkt_FI_Stand_18_08_2022</v>
          </cell>
          <cell r="C336" t="str">
            <v>Z_Artefakte_ADAC_Schwerpunkt_FI_Stand_18_08_2022.xlsx</v>
          </cell>
          <cell r="D336" t="str">
            <v>Nein</v>
          </cell>
        </row>
        <row r="337">
          <cell r="A337" t="str">
            <v>ZFI_NR_STAND_KOPIEREN</v>
          </cell>
          <cell r="B337" t="str">
            <v>Z-Artefakte_ADAC_Schwerpunkt_FI_Stand_18_08_2022</v>
          </cell>
          <cell r="C337" t="str">
            <v>Z_Artefakte_ADAC_Schwerpunkt_FI_Stand_18_08_2022.xlsx</v>
          </cell>
          <cell r="D337" t="str">
            <v>Ja</v>
          </cell>
        </row>
        <row r="338">
          <cell r="A338" t="str">
            <v>ZFI_SPOOL_PDF</v>
          </cell>
          <cell r="B338" t="str">
            <v>Z-Artefakte_ADAC_Schwerpunkt_FI_Stand_18_08_2022</v>
          </cell>
          <cell r="C338" t="str">
            <v>Z_Artefakte_ADAC_Schwerpunkt_FI_Stand_18_08_2022.xlsx</v>
          </cell>
          <cell r="D338" t="str">
            <v>Ja</v>
          </cell>
        </row>
        <row r="339">
          <cell r="A339" t="str">
            <v>ZFI_SPOOL_UPDATE</v>
          </cell>
          <cell r="B339" t="str">
            <v>Z-Artefakte_ADAC_Schwerpunkt_FI_Stand_18_08_2022</v>
          </cell>
          <cell r="C339" t="str">
            <v>Z_Artefakte_ADAC_Schwerpunkt_FI_Stand_18_08_2022.xlsx</v>
          </cell>
          <cell r="D339" t="str">
            <v>Ja</v>
          </cell>
        </row>
        <row r="340">
          <cell r="A340" t="str">
            <v>Platzhalter (eigentlich leer)</v>
          </cell>
          <cell r="B340" t="str">
            <v>Z-Artefakte_ADAC_Schwerpunkt_FI_Stand_18_08_2022</v>
          </cell>
          <cell r="C340" t="str">
            <v>Z_Artefakte_ADAC_Schwerpunkt_FI_Stand_18_08_2022.xlsx</v>
          </cell>
          <cell r="D340" t="str">
            <v>tbd</v>
          </cell>
        </row>
        <row r="341">
          <cell r="A341" t="str">
            <v>Platzhalter (eigentlich leer)</v>
          </cell>
          <cell r="B341" t="str">
            <v>Z-Artefakte_ADAC_Schwerpunkt_FI_Stand_18_08_2022</v>
          </cell>
          <cell r="C341" t="str">
            <v>Z_Artefakte_ADAC_Schwerpunkt_FI_Stand_18_08_2022.xlsx</v>
          </cell>
          <cell r="D341" t="str">
            <v>tbd</v>
          </cell>
        </row>
        <row r="342">
          <cell r="A342" t="str">
            <v>ZFI_RFBABL00</v>
          </cell>
          <cell r="B342" t="str">
            <v>Z-Artefakte_ADAC_Schwerpunkt_FI_Stand_18_08_2022</v>
          </cell>
          <cell r="C342" t="str">
            <v>Z_Artefakte_ADAC_Schwerpunkt_FI_Stand_18_08_2022.xlsx</v>
          </cell>
          <cell r="D342" t="str">
            <v>Nein</v>
          </cell>
        </row>
        <row r="343">
          <cell r="A343" t="str">
            <v>ZFI_RFBILA00</v>
          </cell>
          <cell r="B343" t="str">
            <v>Z-Artefakte_ADAC_Schwerpunkt_FI_Stand_18_08_2022</v>
          </cell>
          <cell r="C343" t="str">
            <v>Z_Artefakte_ADAC_Schwerpunkt_FI_Stand_18_08_2022.xlsx</v>
          </cell>
          <cell r="D343" t="str">
            <v>Nein</v>
          </cell>
        </row>
        <row r="344">
          <cell r="A344" t="str">
            <v>ZFI_BU_RUECKLASTSCHRIFT</v>
          </cell>
          <cell r="B344" t="str">
            <v>Z-Artefakte_ADAC_Schwerpunkt_FI_Stand_18_08_2022</v>
          </cell>
          <cell r="C344" t="str">
            <v>Z_Artefakte_ADAC_Schwerpunkt_FI_Stand_18_08_2022.xlsx</v>
          </cell>
          <cell r="D344" t="str">
            <v>tbd</v>
          </cell>
        </row>
        <row r="345">
          <cell r="A345" t="str">
            <v>ZFI_ABZUG_GLT3</v>
          </cell>
          <cell r="B345" t="str">
            <v>Z-Artefakte_ADAC_Schwerpunkt_FI_Stand_18_08_2022</v>
          </cell>
          <cell r="C345" t="str">
            <v>Z_Artefakte_ADAC_Schwerpunkt_FI_Stand_18_08_2022.xlsx</v>
          </cell>
          <cell r="D345" t="str">
            <v>Nein</v>
          </cell>
        </row>
        <row r="346">
          <cell r="A346" t="str">
            <v>ZFI_ABZUG_SAKO</v>
          </cell>
          <cell r="B346" t="str">
            <v>Z-Artefakte_ADAC_Schwerpunkt_FI_Stand_18_08_2022</v>
          </cell>
          <cell r="C346" t="str">
            <v>Z_Artefakte_ADAC_Schwerpunkt_FI_Stand_18_08_2022.xlsx</v>
          </cell>
          <cell r="D346" t="str">
            <v>Nein</v>
          </cell>
        </row>
        <row r="347">
          <cell r="A347" t="str">
            <v>ZFI_ADAM_KONTENABSTIMMUNG</v>
          </cell>
          <cell r="B347" t="str">
            <v>Z-Artefakte_ADAC_Schwerpunkt_FI_Stand_18_08_2022</v>
          </cell>
          <cell r="C347" t="str">
            <v>Z_Artefakte_ADAC_Schwerpunkt_FI_Stand_18_08_2022.xlsx</v>
          </cell>
          <cell r="D347" t="str">
            <v>Nein</v>
          </cell>
        </row>
        <row r="348">
          <cell r="A348" t="str">
            <v>ZFI_KONSOLID01</v>
          </cell>
          <cell r="B348" t="str">
            <v>Z-Artefakte_ADAC_Schwerpunkt_FI_Stand_18_08_2022</v>
          </cell>
          <cell r="C348" t="str">
            <v>Z_Artefakte_ADAC_Schwerpunkt_FI_Stand_18_08_2022.xlsx</v>
          </cell>
          <cell r="D348" t="str">
            <v>Nein</v>
          </cell>
        </row>
        <row r="349">
          <cell r="A349" t="str">
            <v>ZFI_RFCASH20</v>
          </cell>
          <cell r="B349" t="str">
            <v>Z-Artefakte_ADAC_Schwerpunkt_FI_Stand_18_08_2022</v>
          </cell>
          <cell r="C349" t="str">
            <v>Z_Artefakte_ADAC_Schwerpunkt_FI_Stand_18_08_2022.xlsx</v>
          </cell>
          <cell r="D349" t="str">
            <v>tbd</v>
          </cell>
        </row>
        <row r="350">
          <cell r="A350" t="str">
            <v>ZFI_RFDABL00</v>
          </cell>
          <cell r="B350" t="str">
            <v>Z-Artefakte_ADAC_Schwerpunkt_FI_Stand_18_08_2022</v>
          </cell>
          <cell r="C350" t="str">
            <v>Z_Artefakte_ADAC_Schwerpunkt_FI_Stand_18_08_2022.xlsx</v>
          </cell>
          <cell r="D350" t="str">
            <v>Nein</v>
          </cell>
        </row>
        <row r="351">
          <cell r="A351" t="str">
            <v>ZFI_RSTTAB</v>
          </cell>
          <cell r="B351" t="str">
            <v>Z-Artefakte_ADAC_Schwerpunkt_FI_Stand_18_08_2022</v>
          </cell>
          <cell r="C351" t="str">
            <v>Z_Artefakte_ADAC_Schwerpunkt_FI_Stand_18_08_2022.xlsx</v>
          </cell>
          <cell r="D351" t="str">
            <v>tbd</v>
          </cell>
        </row>
        <row r="352">
          <cell r="A352" t="str">
            <v>ZFI_SAKO_IMMO</v>
          </cell>
          <cell r="B352" t="str">
            <v>Z-Artefakte_ADAC_Schwerpunkt_FI_Stand_18_08_2022</v>
          </cell>
          <cell r="C352" t="str">
            <v>Z_Artefakte_ADAC_Schwerpunkt_FI_Stand_18_08_2022.xlsx</v>
          </cell>
          <cell r="D352" t="str">
            <v>Ja</v>
          </cell>
        </row>
        <row r="353">
          <cell r="A353" t="str">
            <v>ZFI_SAKO_IMMO_ALT</v>
          </cell>
          <cell r="B353" t="str">
            <v>Z-Artefakte_ADAC_Schwerpunkt_FI_Stand_18_08_2022</v>
          </cell>
          <cell r="C353" t="str">
            <v>Z_Artefakte_ADAC_Schwerpunkt_FI_Stand_18_08_2022.xlsx</v>
          </cell>
          <cell r="D353" t="str">
            <v>Ja</v>
          </cell>
        </row>
        <row r="354">
          <cell r="A354" t="str">
            <v>ZFI_SALDEN_GLT0_TO_GLT3</v>
          </cell>
          <cell r="B354" t="str">
            <v>Z-Artefakte_ADAC_Schwerpunkt_FI_Stand_18_08_2022</v>
          </cell>
          <cell r="C354" t="str">
            <v>Z_Artefakte_ADAC_Schwerpunkt_FI_Stand_18_08_2022.xlsx</v>
          </cell>
          <cell r="D354" t="str">
            <v>Nein</v>
          </cell>
        </row>
        <row r="355">
          <cell r="A355" t="str">
            <v>ZFI_SALDEN_MITBUCHKONTO</v>
          </cell>
          <cell r="B355" t="str">
            <v>Z-Artefakte_ADAC_Schwerpunkt_FI_Stand_18_08_2022</v>
          </cell>
          <cell r="C355" t="str">
            <v>Z_Artefakte_ADAC_Schwerpunkt_FI_Stand_18_08_2022.xlsx</v>
          </cell>
          <cell r="D355" t="str">
            <v>Nein</v>
          </cell>
        </row>
        <row r="356">
          <cell r="A356" t="str">
            <v>ZFI_SOLVENCY_BIL</v>
          </cell>
          <cell r="B356" t="str">
            <v>Z-Artefakte_ADAC_Schwerpunkt_FI_Stand_18_08_2022</v>
          </cell>
          <cell r="C356" t="str">
            <v>Z_Artefakte_ADAC_Schwerpunkt_FI_Stand_18_08_2022.xlsx</v>
          </cell>
          <cell r="D356" t="str">
            <v>Nein</v>
          </cell>
        </row>
        <row r="357">
          <cell r="A357" t="str">
            <v>ZFI_ELMO02</v>
          </cell>
          <cell r="B357" t="str">
            <v>Z-Artefakte_ADAC_Schwerpunkt_FI_Stand_18_08_2022</v>
          </cell>
          <cell r="C357" t="str">
            <v>Z_Artefakte_ADAC_Schwerpunkt_FI_Stand_18_08_2022.xlsx</v>
          </cell>
          <cell r="D357" t="str">
            <v>Ja</v>
          </cell>
        </row>
        <row r="358">
          <cell r="A358" t="str">
            <v>ZFI_ELSY_SCHNITTSTELLE</v>
          </cell>
          <cell r="B358" t="str">
            <v>Z-Artefakte_ADAC_Schwerpunkt_FI_Stand_18_08_2022</v>
          </cell>
          <cell r="C358" t="str">
            <v>Z_Artefakte_ADAC_Schwerpunkt_FI_Stand_18_08_2022.xlsx</v>
          </cell>
          <cell r="D358" t="str">
            <v>Ja</v>
          </cell>
        </row>
        <row r="359">
          <cell r="A359" t="str">
            <v>ZFI_ETIS02</v>
          </cell>
          <cell r="B359" t="str">
            <v>Z-Artefakte_ADAC_Schwerpunkt_FI_Stand_18_08_2022</v>
          </cell>
          <cell r="C359" t="str">
            <v>Z_Artefakte_ADAC_Schwerpunkt_FI_Stand_18_08_2022.xlsx</v>
          </cell>
          <cell r="D359" t="str">
            <v>Ja</v>
          </cell>
        </row>
        <row r="360">
          <cell r="A360" t="str">
            <v>ZFI_BE2000</v>
          </cell>
          <cell r="B360" t="str">
            <v>Z-Artefakte_ADAC_Schwerpunkt_FI_Stand_18_08_2022</v>
          </cell>
          <cell r="C360" t="str">
            <v>Z_Artefakte_ADAC_Schwerpunkt_FI_Stand_18_08_2022.xlsx</v>
          </cell>
          <cell r="D360" t="str">
            <v>Nein</v>
          </cell>
        </row>
        <row r="361">
          <cell r="A361" t="str">
            <v>ZFI_BE2000_MIG</v>
          </cell>
          <cell r="B361" t="str">
            <v>Z-Artefakte_ADAC_Schwerpunkt_FI_Stand_18_08_2022</v>
          </cell>
          <cell r="C361" t="str">
            <v>Z_Artefakte_ADAC_Schwerpunkt_FI_Stand_18_08_2022.xlsx</v>
          </cell>
          <cell r="D361" t="str">
            <v>Nein</v>
          </cell>
        </row>
        <row r="362">
          <cell r="A362" t="str">
            <v>ZFI_ELMO03</v>
          </cell>
          <cell r="B362" t="str">
            <v>Z-Artefakte_ADAC_Schwerpunkt_FI_Stand_18_08_2022</v>
          </cell>
          <cell r="C362" t="str">
            <v>Z_Artefakte_ADAC_Schwerpunkt_FI_Stand_18_08_2022.xlsx</v>
          </cell>
          <cell r="D362" t="str">
            <v>Nein</v>
          </cell>
        </row>
        <row r="363">
          <cell r="A363" t="str">
            <v>ZFI_ANZ_REISE_PBS</v>
          </cell>
          <cell r="B363" t="str">
            <v>Z-Artefakte_ADAC_Schwerpunkt_FI_Stand_18_08_2022</v>
          </cell>
          <cell r="C363" t="str">
            <v>Z_Artefakte_ADAC_Schwerpunkt_FI_Stand_18_08_2022.xlsx</v>
          </cell>
          <cell r="D363" t="str">
            <v>Ja</v>
          </cell>
        </row>
        <row r="364">
          <cell r="A364" t="str">
            <v>ZFI_BELEGE_PG</v>
          </cell>
          <cell r="B364" t="str">
            <v>Z-Artefakte_ADAC_Schwerpunkt_FI_Stand_18_08_2022</v>
          </cell>
          <cell r="C364" t="str">
            <v>Z_Artefakte_ADAC_Schwerpunkt_FI_Stand_18_08_2022.xlsx</v>
          </cell>
          <cell r="D364" t="str">
            <v>Nein</v>
          </cell>
        </row>
        <row r="365">
          <cell r="A365" t="str">
            <v>ZFI_BELEGVERFOLGUNG</v>
          </cell>
          <cell r="B365" t="str">
            <v>Z-Artefakte_ADAC_Schwerpunkt_FI_Stand_18_08_2022</v>
          </cell>
          <cell r="C365" t="str">
            <v>Z_Artefakte_ADAC_Schwerpunkt_FI_Stand_18_08_2022.xlsx</v>
          </cell>
          <cell r="D365" t="str">
            <v>Nein</v>
          </cell>
        </row>
        <row r="366">
          <cell r="A366" t="str">
            <v>ZFI_BELEGZEILEN_EXPORT_CSV</v>
          </cell>
          <cell r="B366" t="str">
            <v>Z-Artefakte_ADAC_Schwerpunkt_FI_Stand_18_08_2022</v>
          </cell>
          <cell r="C366" t="str">
            <v>Z_Artefakte_ADAC_Schwerpunkt_FI_Stand_18_08_2022.xlsx</v>
          </cell>
          <cell r="D366" t="str">
            <v>tbd</v>
          </cell>
        </row>
        <row r="367">
          <cell r="A367" t="str">
            <v>ZFI_DEBI_EPGGKTO</v>
          </cell>
          <cell r="B367" t="str">
            <v>Z-Artefakte_ADAC_Schwerpunkt_FI_Stand_18_08_2022</v>
          </cell>
          <cell r="C367" t="str">
            <v>Z_Artefakte_ADAC_Schwerpunkt_FI_Stand_18_08_2022.xlsx</v>
          </cell>
          <cell r="D367" t="str">
            <v>tbd</v>
          </cell>
        </row>
        <row r="368">
          <cell r="A368" t="str">
            <v>ZFI_DEBI_POSZAHLWEG</v>
          </cell>
          <cell r="B368" t="str">
            <v>Z-Artefakte_ADAC_Schwerpunkt_FI_Stand_18_08_2022</v>
          </cell>
          <cell r="C368" t="str">
            <v>Z_Artefakte_ADAC_Schwerpunkt_FI_Stand_18_08_2022.xlsx</v>
          </cell>
          <cell r="D368" t="str">
            <v>Nein</v>
          </cell>
        </row>
        <row r="369">
          <cell r="A369" t="str">
            <v>ZFI_DEBREP_ANZMAHN</v>
          </cell>
          <cell r="B369" t="str">
            <v>Z-Artefakte_ADAC_Schwerpunkt_FI_Stand_18_08_2022</v>
          </cell>
          <cell r="C369" t="str">
            <v>Z_Artefakte_ADAC_Schwerpunkt_FI_Stand_18_08_2022.xlsx</v>
          </cell>
          <cell r="D369" t="str">
            <v>Nein</v>
          </cell>
        </row>
        <row r="370">
          <cell r="A370" t="str">
            <v>ZFI_DEBREP_AUSBUCH</v>
          </cell>
          <cell r="B370" t="str">
            <v>Z-Artefakte_ADAC_Schwerpunkt_FI_Stand_18_08_2022</v>
          </cell>
          <cell r="C370" t="str">
            <v>Z_Artefakte_ADAC_Schwerpunkt_FI_Stand_18_08_2022.xlsx</v>
          </cell>
          <cell r="D370" t="str">
            <v>Nein</v>
          </cell>
        </row>
        <row r="371">
          <cell r="A371" t="str">
            <v>ZFI_DEBREP_BELPOS</v>
          </cell>
          <cell r="B371" t="str">
            <v>Z-Artefakte_ADAC_Schwerpunkt_FI_Stand_18_08_2022</v>
          </cell>
          <cell r="C371" t="str">
            <v>Z_Artefakte_ADAC_Schwerpunkt_FI_Stand_18_08_2022.xlsx</v>
          </cell>
          <cell r="D371" t="str">
            <v>Nein</v>
          </cell>
        </row>
        <row r="372">
          <cell r="A372" t="str">
            <v>ZFI_DEBREP_UMSATZ</v>
          </cell>
          <cell r="B372" t="str">
            <v>Z-Artefakte_ADAC_Schwerpunkt_FI_Stand_18_08_2022</v>
          </cell>
          <cell r="C372" t="str">
            <v>Z_Artefakte_ADAC_Schwerpunkt_FI_Stand_18_08_2022.xlsx</v>
          </cell>
          <cell r="D372" t="str">
            <v>Nein</v>
          </cell>
        </row>
        <row r="373">
          <cell r="A373" t="str">
            <v>ZFI_DOCATTACH_REPORT</v>
          </cell>
          <cell r="B373" t="str">
            <v>Z-Artefakte_ADAC_Schwerpunkt_FI_Stand_18_08_2022</v>
          </cell>
          <cell r="C373" t="str">
            <v>Z_Artefakte_ADAC_Schwerpunkt_FI_Stand_18_08_2022.xlsx</v>
          </cell>
          <cell r="D373" t="str">
            <v>tbd</v>
          </cell>
        </row>
        <row r="374">
          <cell r="A374" t="str">
            <v>ZFI_DOPO40</v>
          </cell>
          <cell r="B374" t="str">
            <v>Z-Artefakte_ADAC_Schwerpunkt_FI_Stand_18_08_2022</v>
          </cell>
          <cell r="C374" t="str">
            <v>Z_Artefakte_ADAC_Schwerpunkt_FI_Stand_18_08_2022.xlsx</v>
          </cell>
          <cell r="D374" t="str">
            <v>Nein</v>
          </cell>
        </row>
        <row r="375">
          <cell r="A375" t="str">
            <v>ZFI_RATE01</v>
          </cell>
          <cell r="B375" t="str">
            <v>Z-Artefakte_ADAC_Schwerpunkt_FI_Stand_18_08_2022</v>
          </cell>
          <cell r="C375" t="str">
            <v>Z_Artefakte_ADAC_Schwerpunkt_FI_Stand_18_08_2022.xlsx</v>
          </cell>
          <cell r="D375" t="str">
            <v>Ja</v>
          </cell>
        </row>
        <row r="376">
          <cell r="A376" t="str">
            <v>ZFI_RATEN_RUECK01</v>
          </cell>
          <cell r="B376" t="str">
            <v>Z-Artefakte_ADAC_Schwerpunkt_FI_Stand_18_08_2022</v>
          </cell>
          <cell r="C376" t="str">
            <v>Z_Artefakte_ADAC_Schwerpunkt_FI_Stand_18_08_2022.xlsx</v>
          </cell>
          <cell r="D376" t="str">
            <v>Ja</v>
          </cell>
        </row>
        <row r="377">
          <cell r="A377" t="str">
            <v>ZFI_RATEN_UEBERGABE</v>
          </cell>
          <cell r="B377" t="str">
            <v>Z-Artefakte_ADAC_Schwerpunkt_FI_Stand_18_08_2022</v>
          </cell>
          <cell r="C377" t="str">
            <v>Z_Artefakte_ADAC_Schwerpunkt_FI_Stand_18_08_2022.xlsx</v>
          </cell>
          <cell r="D377" t="str">
            <v>Ja</v>
          </cell>
        </row>
        <row r="378">
          <cell r="A378" t="str">
            <v>ZFI_RATENZINS</v>
          </cell>
          <cell r="B378" t="str">
            <v>Z-Artefakte_ADAC_Schwerpunkt_FI_Stand_18_08_2022</v>
          </cell>
          <cell r="C378" t="str">
            <v>Z_Artefakte_ADAC_Schwerpunkt_FI_Stand_18_08_2022.xlsx</v>
          </cell>
          <cell r="D378" t="str">
            <v>tbd</v>
          </cell>
        </row>
        <row r="379">
          <cell r="A379" t="str">
            <v>ZFI_RATENZINS_DRUCKPGM</v>
          </cell>
          <cell r="B379" t="str">
            <v>Z-Artefakte_ADAC_Schwerpunkt_FI_Stand_18_08_2022</v>
          </cell>
          <cell r="C379" t="str">
            <v>Z_Artefakte_ADAC_Schwerpunkt_FI_Stand_18_08_2022.xlsx</v>
          </cell>
          <cell r="D379" t="str">
            <v>tbd</v>
          </cell>
        </row>
        <row r="380">
          <cell r="A380" t="str">
            <v>ZFI_TB05FO</v>
          </cell>
          <cell r="B380" t="str">
            <v>Z-Artefakte_ADAC_Schwerpunkt_FI_Stand_18_08_2022</v>
          </cell>
          <cell r="C380" t="str">
            <v>Z_Artefakte_ADAC_Schwerpunkt_FI_Stand_18_08_2022.xlsx</v>
          </cell>
          <cell r="D380" t="str">
            <v>tbd</v>
          </cell>
        </row>
        <row r="381">
          <cell r="A381" t="str">
            <v>ZFI_UPD_RATEN</v>
          </cell>
          <cell r="B381" t="str">
            <v>Z-Artefakte_ADAC_Schwerpunkt_FI_Stand_18_08_2022</v>
          </cell>
          <cell r="C381" t="str">
            <v>Z_Artefakte_ADAC_Schwerpunkt_FI_Stand_18_08_2022.xlsx</v>
          </cell>
          <cell r="D381" t="str">
            <v>Nein</v>
          </cell>
        </row>
        <row r="382">
          <cell r="A382" t="str">
            <v>ZFI_UPDATE_ZFBDT</v>
          </cell>
          <cell r="B382" t="str">
            <v>Z-Artefakte_ADAC_Schwerpunkt_FI_Stand_18_08_2022</v>
          </cell>
          <cell r="C382" t="str">
            <v>Z_Artefakte_ADAC_Schwerpunkt_FI_Stand_18_08_2022.xlsx</v>
          </cell>
          <cell r="D382" t="str">
            <v>Nein</v>
          </cell>
        </row>
        <row r="383">
          <cell r="A383" t="str">
            <v>ZFI_VBUND_ADRESS</v>
          </cell>
          <cell r="B383" t="str">
            <v>Z-Artefakte_ADAC_Schwerpunkt_FI_Stand_18_08_2022</v>
          </cell>
          <cell r="C383" t="str">
            <v>Z_Artefakte_ADAC_Schwerpunkt_FI_Stand_18_08_2022.xlsx</v>
          </cell>
          <cell r="D383" t="str">
            <v>Nein</v>
          </cell>
        </row>
        <row r="384">
          <cell r="A384" t="str">
            <v>ZFI_ZAHLUNGSMITTEILUNGEN</v>
          </cell>
          <cell r="B384" t="str">
            <v>Z-Artefakte_ADAC_Schwerpunkt_FI_Stand_18_08_2022</v>
          </cell>
          <cell r="C384" t="str">
            <v>Z_Artefakte_ADAC_Schwerpunkt_FI_Stand_18_08_2022.xlsx</v>
          </cell>
          <cell r="D384" t="str">
            <v>Nein</v>
          </cell>
        </row>
        <row r="385">
          <cell r="A385" t="str">
            <v>ZFI_ZAHLV_ALV</v>
          </cell>
          <cell r="B385" t="str">
            <v>Z-Artefakte_ADAC_Schwerpunkt_FI_Stand_18_08_2022</v>
          </cell>
          <cell r="C385" t="str">
            <v>Z_Artefakte_ADAC_Schwerpunkt_FI_Stand_18_08_2022.xlsx</v>
          </cell>
          <cell r="D385" t="str">
            <v>Nein</v>
          </cell>
        </row>
        <row r="386">
          <cell r="A386" t="str">
            <v>ZFI_ZAHLV_DDF</v>
          </cell>
          <cell r="B386" t="str">
            <v>Z-Artefakte_ADAC_Schwerpunkt_FI_Stand_18_08_2022</v>
          </cell>
          <cell r="C386" t="str">
            <v>Z_Artefakte_ADAC_Schwerpunkt_FI_Stand_18_08_2022.xlsx</v>
          </cell>
          <cell r="D386" t="str">
            <v>Nein</v>
          </cell>
        </row>
        <row r="387">
          <cell r="A387" t="str">
            <v>ZFI_ZAHLV_RAHMEN</v>
          </cell>
          <cell r="B387" t="str">
            <v>Z-Artefakte_ADAC_Schwerpunkt_FI_Stand_18_08_2022</v>
          </cell>
          <cell r="C387" t="str">
            <v>Z_Artefakte_ADAC_Schwerpunkt_FI_Stand_18_08_2022.xlsx</v>
          </cell>
          <cell r="D387" t="str">
            <v>Nein</v>
          </cell>
        </row>
        <row r="388">
          <cell r="A388" t="str">
            <v>ZFI_ZAHLV_RAHMEN_FB</v>
          </cell>
          <cell r="B388" t="str">
            <v>Z-Artefakte_ADAC_Schwerpunkt_FI_Stand_18_08_2022</v>
          </cell>
          <cell r="C388" t="str">
            <v>Z_Artefakte_ADAC_Schwerpunkt_FI_Stand_18_08_2022.xlsx</v>
          </cell>
          <cell r="D388" t="str">
            <v>Nein</v>
          </cell>
        </row>
        <row r="389">
          <cell r="A389" t="str">
            <v>ZFI_ZAHLV_SEL</v>
          </cell>
          <cell r="B389" t="str">
            <v>Z-Artefakte_ADAC_Schwerpunkt_FI_Stand_18_08_2022</v>
          </cell>
          <cell r="C389" t="str">
            <v>Z_Artefakte_ADAC_Schwerpunkt_FI_Stand_18_08_2022.xlsx</v>
          </cell>
          <cell r="D389" t="str">
            <v>Nein</v>
          </cell>
        </row>
        <row r="390">
          <cell r="A390" t="str">
            <v>ZFI_ZF140_CASH</v>
          </cell>
          <cell r="B390" t="str">
            <v>Z-Artefakte_ADAC_Schwerpunkt_FI_Stand_18_08_2022</v>
          </cell>
          <cell r="C390" t="str">
            <v>Z_Artefakte_ADAC_Schwerpunkt_FI_Stand_18_08_2022.xlsx</v>
          </cell>
          <cell r="D390" t="str">
            <v>Nein</v>
          </cell>
        </row>
        <row r="391">
          <cell r="A391" t="str">
            <v>ZFI_KUNREGV</v>
          </cell>
          <cell r="B391" t="str">
            <v>Z-Artefakte_ADAC_Schwerpunkt_FI_Stand_18_08_2022</v>
          </cell>
          <cell r="C391" t="str">
            <v>Z_Artefakte_ADAC_Schwerpunkt_FI_Stand_18_08_2022.xlsx</v>
          </cell>
          <cell r="D391" t="str">
            <v>Nein</v>
          </cell>
        </row>
        <row r="392">
          <cell r="A392" t="str">
            <v>ZFI_MAUS10</v>
          </cell>
          <cell r="B392" t="str">
            <v>Z-Artefakte_ADAC_Schwerpunkt_FI_Stand_18_08_2022</v>
          </cell>
          <cell r="C392" t="str">
            <v>Z_Artefakte_ADAC_Schwerpunkt_FI_Stand_18_08_2022.xlsx</v>
          </cell>
          <cell r="D392" t="str">
            <v>Nein</v>
          </cell>
        </row>
        <row r="393">
          <cell r="A393" t="str">
            <v>ZFI_SALDEN_CLUBS</v>
          </cell>
          <cell r="B393" t="str">
            <v>Z-Artefakte_ADAC_Schwerpunkt_FI_Stand_18_08_2022</v>
          </cell>
          <cell r="C393" t="str">
            <v>Z_Artefakte_ADAC_Schwerpunkt_FI_Stand_18_08_2022.xlsx</v>
          </cell>
          <cell r="D393" t="str">
            <v>Nein</v>
          </cell>
        </row>
        <row r="394">
          <cell r="A394" t="str">
            <v>ZFI_AUSUMS</v>
          </cell>
          <cell r="B394" t="str">
            <v>Z-Artefakte_ADAC_Schwerpunkt_FI_Stand_18_08_2022</v>
          </cell>
          <cell r="C394" t="str">
            <v>Z_Artefakte_ADAC_Schwerpunkt_FI_Stand_18_08_2022.xlsx</v>
          </cell>
          <cell r="D394" t="str">
            <v>Nein</v>
          </cell>
        </row>
        <row r="395">
          <cell r="A395" t="str">
            <v>ZFI_AVM_UPLOAD_AUFNR_KFZ</v>
          </cell>
          <cell r="B395" t="str">
            <v>Z-Artefakte_ADAC_Schwerpunkt_FI_Stand_18_08_2022</v>
          </cell>
          <cell r="C395" t="str">
            <v>Z_Artefakte_ADAC_Schwerpunkt_FI_Stand_18_08_2022.xlsx</v>
          </cell>
          <cell r="D395" t="str">
            <v>Ja</v>
          </cell>
        </row>
        <row r="396">
          <cell r="A396" t="str">
            <v>ZFI_AVM_VERSICHERUNG</v>
          </cell>
          <cell r="B396" t="str">
            <v>Z-Artefakte_ADAC_Schwerpunkt_FI_Stand_18_08_2022</v>
          </cell>
          <cell r="C396" t="str">
            <v>Z_Artefakte_ADAC_Schwerpunkt_FI_Stand_18_08_2022.xlsx</v>
          </cell>
          <cell r="D396" t="str">
            <v>Ja</v>
          </cell>
        </row>
        <row r="397">
          <cell r="A397" t="str">
            <v>ZFI_BAZFSB</v>
          </cell>
          <cell r="B397" t="str">
            <v>Z-Artefakte_ADAC_Schwerpunkt_FI_Stand_18_08_2022</v>
          </cell>
          <cell r="C397" t="str">
            <v>Z_Artefakte_ADAC_Schwerpunkt_FI_Stand_18_08_2022.xlsx</v>
          </cell>
          <cell r="D397" t="str">
            <v>Nein</v>
          </cell>
        </row>
        <row r="398">
          <cell r="A398" t="str">
            <v>ZFI_VEHICLE_TAX_EV</v>
          </cell>
          <cell r="B398" t="str">
            <v>Z-Artefakte_ADAC_Schwerpunkt_FI_Stand_18_08_2022</v>
          </cell>
          <cell r="C398" t="str">
            <v>Z_Artefakte_ADAC_Schwerpunkt_FI_Stand_18_08_2022.xlsx</v>
          </cell>
          <cell r="D398" t="str">
            <v>Nein</v>
          </cell>
        </row>
        <row r="399">
          <cell r="A399" t="str">
            <v>ZFI_SGSS_EXPORT</v>
          </cell>
          <cell r="B399" t="str">
            <v>Z-Artefakte_ADAC_Schwerpunkt_FI_Stand_18_08_2022</v>
          </cell>
          <cell r="C399" t="str">
            <v>Z_Artefakte_ADAC_Schwerpunkt_FI_Stand_18_08_2022.xlsx</v>
          </cell>
          <cell r="D399" t="str">
            <v>tbd</v>
          </cell>
        </row>
        <row r="400">
          <cell r="A400" t="str">
            <v>ZFI_SGSS_IMPORT</v>
          </cell>
          <cell r="B400" t="str">
            <v>Z-Artefakte_ADAC_Schwerpunkt_FI_Stand_18_08_2022</v>
          </cell>
          <cell r="C400" t="str">
            <v>Z_Artefakte_ADAC_Schwerpunkt_FI_Stand_18_08_2022.xlsx</v>
          </cell>
          <cell r="D400" t="str">
            <v>tbd</v>
          </cell>
        </row>
        <row r="401">
          <cell r="A401" t="str">
            <v>ZFI_REGZAHL</v>
          </cell>
          <cell r="B401" t="str">
            <v>Z-Artefakte_ADAC_Schwerpunkt_FI_Stand_18_08_2022</v>
          </cell>
          <cell r="C401" t="str">
            <v>Z_Artefakte_ADAC_Schwerpunkt_FI_Stand_18_08_2022.xlsx</v>
          </cell>
          <cell r="D401" t="str">
            <v>Ja</v>
          </cell>
        </row>
        <row r="402">
          <cell r="A402" t="str">
            <v>ZFI_SD_UM</v>
          </cell>
          <cell r="B402" t="str">
            <v>Z-Artefakte_ADAC_Schwerpunkt_FI_Stand_18_08_2022</v>
          </cell>
          <cell r="C402" t="str">
            <v>Z_Artefakte_ADAC_Schwerpunkt_FI_Stand_18_08_2022.xlsx</v>
          </cell>
          <cell r="D402" t="str">
            <v>tbd</v>
          </cell>
        </row>
        <row r="403">
          <cell r="A403" t="str">
            <v>ZFI_VARTA_GUT</v>
          </cell>
          <cell r="B403" t="str">
            <v>Z-Artefakte_ADAC_Schwerpunkt_FI_Stand_18_08_2022</v>
          </cell>
          <cell r="C403" t="str">
            <v>Z_Artefakte_ADAC_Schwerpunkt_FI_Stand_18_08_2022.xlsx</v>
          </cell>
          <cell r="D403" t="str">
            <v>tbd</v>
          </cell>
        </row>
        <row r="404">
          <cell r="A404" t="str">
            <v>ZFI_VARTA_LIFNR</v>
          </cell>
          <cell r="B404" t="str">
            <v>Z-Artefakte_ADAC_Schwerpunkt_FI_Stand_18_08_2022</v>
          </cell>
          <cell r="C404" t="str">
            <v>Z_Artefakte_ADAC_Schwerpunkt_FI_Stand_18_08_2022.xlsx</v>
          </cell>
          <cell r="D404" t="str">
            <v>Nein</v>
          </cell>
        </row>
        <row r="405">
          <cell r="A405" t="str">
            <v>ZSD_SWA_PROV</v>
          </cell>
          <cell r="B405" t="str">
            <v>Z-Artefakte_ADAC_Schwerpunkt_FI_Stand_18_08_2022</v>
          </cell>
          <cell r="C405" t="str">
            <v>Z_Artefakte_ADAC_Schwerpunkt_FI_Stand_18_08_2022.xlsx</v>
          </cell>
          <cell r="D405" t="str">
            <v>Ja</v>
          </cell>
        </row>
        <row r="406">
          <cell r="A406" t="str">
            <v>ZFI_SWA_LIEF_RUECK</v>
          </cell>
          <cell r="B406" t="str">
            <v>Z-Artefakte_ADAC_Schwerpunkt_FI_Stand_18_08_2022</v>
          </cell>
          <cell r="C406" t="str">
            <v>Z_Artefakte_ADAC_Schwerpunkt_FI_Stand_18_08_2022.xlsx</v>
          </cell>
          <cell r="D406" t="str">
            <v>Nein</v>
          </cell>
        </row>
        <row r="407">
          <cell r="A407" t="str">
            <v>ZFI_BLBCUR</v>
          </cell>
          <cell r="B407" t="str">
            <v>Z-Artefakte_ADAC_Schwerpunkt_FI_Stand_18_08_2022</v>
          </cell>
          <cell r="C407" t="str">
            <v>Z_Artefakte_ADAC_Schwerpunkt_FI_Stand_18_08_2022.xlsx</v>
          </cell>
          <cell r="D407" t="str">
            <v>Nein</v>
          </cell>
        </row>
        <row r="408">
          <cell r="A408" t="str">
            <v>ZFI_DSS34BDSG</v>
          </cell>
          <cell r="B408" t="str">
            <v>Z-Artefakte_ADAC_Schwerpunkt_FI_Stand_18_08_2022</v>
          </cell>
          <cell r="C408" t="str">
            <v>Z_Artefakte_ADAC_Schwerpunkt_FI_Stand_18_08_2022.xlsx</v>
          </cell>
          <cell r="D408" t="str">
            <v>Ja</v>
          </cell>
        </row>
        <row r="409">
          <cell r="A409" t="str">
            <v>ZFI_FAHR00</v>
          </cell>
          <cell r="B409" t="str">
            <v>Z-Artefakte_ADAC_Schwerpunkt_FI_Stand_18_08_2022</v>
          </cell>
          <cell r="C409" t="str">
            <v>Z_Artefakte_ADAC_Schwerpunkt_FI_Stand_18_08_2022.xlsx</v>
          </cell>
          <cell r="D409" t="str">
            <v>Nein</v>
          </cell>
        </row>
        <row r="410">
          <cell r="A410" t="str">
            <v>ZFI_MASSENAENDERUNG_VERTDAT</v>
          </cell>
          <cell r="B410" t="str">
            <v>Z-Artefakte_ADAC_Schwerpunkt_FI_Stand_18_08_2022</v>
          </cell>
          <cell r="C410" t="str">
            <v>Z_Artefakte_ADAC_Schwerpunkt_FI_Stand_18_08_2022.xlsx</v>
          </cell>
          <cell r="D410" t="str">
            <v>Ja</v>
          </cell>
        </row>
        <row r="411">
          <cell r="A411" t="str">
            <v>ZFI_LOGA_STAMMDATEN</v>
          </cell>
          <cell r="B411" t="str">
            <v>Z-Artefakte_ADAC_Schwerpunkt_FI_Stand_18_08_2022</v>
          </cell>
          <cell r="C411" t="str">
            <v>Z_Artefakte_ADAC_Schwerpunkt_FI_Stand_18_08_2022.xlsx</v>
          </cell>
          <cell r="D411" t="str">
            <v>tbd</v>
          </cell>
        </row>
        <row r="412">
          <cell r="A412" t="str">
            <v>ZFI_INKASSO</v>
          </cell>
          <cell r="B412" t="str">
            <v>Z-Artefakte_ADAC_Schwerpunkt_FI_Stand_18_08_2022</v>
          </cell>
          <cell r="C412" t="str">
            <v>Z_Artefakte_ADAC_Schwerpunkt_FI_Stand_18_08_2022.xlsx</v>
          </cell>
          <cell r="D412" t="str">
            <v>Ja</v>
          </cell>
        </row>
        <row r="413">
          <cell r="A413" t="str">
            <v>ZFI_INKASSO</v>
          </cell>
          <cell r="B413" t="str">
            <v>Z-Artefakte_ADAC_Schwerpunkt_FI_Stand_18_08_2022</v>
          </cell>
          <cell r="C413" t="str">
            <v>Z_Artefakte_ADAC_Schwerpunkt_FI_Stand_18_08_2022.xlsx</v>
          </cell>
          <cell r="D413" t="str">
            <v>Ja</v>
          </cell>
        </row>
        <row r="414">
          <cell r="A414" t="str">
            <v>ZFI_INKO_COCKPIT</v>
          </cell>
          <cell r="B414" t="str">
            <v>Z-Artefakte_ADAC_Schwerpunkt_FI_Stand_18_08_2022</v>
          </cell>
          <cell r="C414" t="str">
            <v>Z_Artefakte_ADAC_Schwerpunkt_FI_Stand_18_08_2022.xlsx</v>
          </cell>
          <cell r="D414" t="str">
            <v>Ja</v>
          </cell>
        </row>
        <row r="415">
          <cell r="A415" t="str">
            <v>ZFI_INKO_COCKPIT_KORREKTUR</v>
          </cell>
          <cell r="B415" t="str">
            <v>Z-Artefakte_ADAC_Schwerpunkt_FI_Stand_18_08_2022</v>
          </cell>
          <cell r="C415" t="str">
            <v>Z_Artefakte_ADAC_Schwerpunkt_FI_Stand_18_08_2022.xlsx</v>
          </cell>
          <cell r="D415" t="str">
            <v>Ja</v>
          </cell>
        </row>
        <row r="416">
          <cell r="A416" t="str">
            <v>ZFI_INKO_ZAHLUNG</v>
          </cell>
          <cell r="B416" t="str">
            <v>Z-Artefakte_ADAC_Schwerpunkt_FI_Stand_18_08_2022</v>
          </cell>
          <cell r="C416" t="str">
            <v>Z_Artefakte_ADAC_Schwerpunkt_FI_Stand_18_08_2022.xlsx</v>
          </cell>
          <cell r="D416" t="str">
            <v>Ja</v>
          </cell>
        </row>
        <row r="417">
          <cell r="A417" t="str">
            <v>ZFI_INKO00</v>
          </cell>
          <cell r="B417" t="str">
            <v>Z-Artefakte_ADAC_Schwerpunkt_FI_Stand_18_08_2022</v>
          </cell>
          <cell r="C417" t="str">
            <v>Z_Artefakte_ADAC_Schwerpunkt_FI_Stand_18_08_2022.xlsx</v>
          </cell>
          <cell r="D417" t="str">
            <v>Ja</v>
          </cell>
        </row>
        <row r="418">
          <cell r="A418" t="str">
            <v>ZFI_INKO03</v>
          </cell>
          <cell r="B418" t="str">
            <v>Z-Artefakte_ADAC_Schwerpunkt_FI_Stand_18_08_2022</v>
          </cell>
          <cell r="C418" t="str">
            <v>Z_Artefakte_ADAC_Schwerpunkt_FI_Stand_18_08_2022.xlsx</v>
          </cell>
          <cell r="D418" t="str">
            <v>Ja</v>
          </cell>
        </row>
        <row r="419">
          <cell r="A419" t="str">
            <v>ZFI_INKO04</v>
          </cell>
          <cell r="B419" t="str">
            <v>Z-Artefakte_ADAC_Schwerpunkt_FI_Stand_18_08_2022</v>
          </cell>
          <cell r="C419" t="str">
            <v>Z_Artefakte_ADAC_Schwerpunkt_FI_Stand_18_08_2022.xlsx</v>
          </cell>
          <cell r="D419" t="str">
            <v>Ja</v>
          </cell>
        </row>
        <row r="420">
          <cell r="A420" t="str">
            <v>ZFI_INKO05</v>
          </cell>
          <cell r="B420" t="str">
            <v>Z-Artefakte_ADAC_Schwerpunkt_FI_Stand_18_08_2022</v>
          </cell>
          <cell r="C420" t="str">
            <v>Z_Artefakte_ADAC_Schwerpunkt_FI_Stand_18_08_2022.xlsx</v>
          </cell>
          <cell r="D420" t="str">
            <v>Ja</v>
          </cell>
        </row>
        <row r="421">
          <cell r="A421" t="str">
            <v>ZFI_GLT3_AUSWERTUNG</v>
          </cell>
          <cell r="B421" t="str">
            <v>Z-Artefakte_ADAC_Schwerpunkt_FI_Stand_18_08_2022</v>
          </cell>
          <cell r="C421" t="str">
            <v>Z_Artefakte_ADAC_Schwerpunkt_FI_Stand_18_08_2022.xlsx</v>
          </cell>
          <cell r="D421" t="str">
            <v>Nein</v>
          </cell>
        </row>
        <row r="422">
          <cell r="A422" t="str">
            <v>ZFI_INTCOMP_VERDICHT</v>
          </cell>
          <cell r="B422" t="str">
            <v>Z-Artefakte_ADAC_Schwerpunkt_FI_Stand_18_08_2022</v>
          </cell>
          <cell r="C422" t="str">
            <v>Z_Artefakte_ADAC_Schwerpunkt_FI_Stand_18_08_2022.xlsx</v>
          </cell>
          <cell r="D422" t="str">
            <v>Nein</v>
          </cell>
        </row>
        <row r="423">
          <cell r="A423" t="str">
            <v>ZFI_BELEGABR_ANZ</v>
          </cell>
          <cell r="B423" t="str">
            <v>Z-Artefakte_ADAC_Schwerpunkt_FI_Stand_18_08_2022</v>
          </cell>
          <cell r="C423" t="str">
            <v>Z_Artefakte_ADAC_Schwerpunkt_FI_Stand_18_08_2022.xlsx</v>
          </cell>
          <cell r="D423" t="str">
            <v>tbd</v>
          </cell>
        </row>
        <row r="424">
          <cell r="A424" t="str">
            <v>ZFI_BELEGABR_ILV2</v>
          </cell>
          <cell r="B424" t="str">
            <v>Z-Artefakte_ADAC_Schwerpunkt_FI_Stand_18_08_2022</v>
          </cell>
          <cell r="C424" t="str">
            <v>Z_Artefakte_ADAC_Schwerpunkt_FI_Stand_18_08_2022.xlsx</v>
          </cell>
          <cell r="D424" t="str">
            <v>tbd</v>
          </cell>
        </row>
        <row r="425">
          <cell r="A425" t="str">
            <v>ZCL_IM_SD_IM_PLANWERTE</v>
          </cell>
          <cell r="B425" t="str">
            <v>Z-Artefakte_ADAC_Schwerpunkt_FI_Stand_18_08_2022</v>
          </cell>
          <cell r="C425" t="str">
            <v>Z_Artefakte_ADAC_Schwerpunkt_FI_Stand_18_08_2022.xlsx</v>
          </cell>
          <cell r="D425" t="str">
            <v>tbd</v>
          </cell>
        </row>
        <row r="426">
          <cell r="A426" t="str">
            <v>ZFI_IVAN_AI_DUPL</v>
          </cell>
          <cell r="B426" t="str">
            <v>Z-Artefakte_ADAC_Schwerpunkt_FI_Stand_18_08_2022</v>
          </cell>
          <cell r="C426" t="str">
            <v>Z_Artefakte_ADAC_Schwerpunkt_FI_Stand_18_08_2022.xlsx</v>
          </cell>
          <cell r="D426" t="str">
            <v>Zurückgestellt (IVAN)</v>
          </cell>
        </row>
        <row r="427">
          <cell r="A427" t="str">
            <v>ZFI_IVAN_TABCHECK</v>
          </cell>
          <cell r="B427" t="str">
            <v>Z-Artefakte_ADAC_Schwerpunkt_FI_Stand_18_08_2022</v>
          </cell>
          <cell r="C427" t="str">
            <v>Z_Artefakte_ADAC_Schwerpunkt_FI_Stand_18_08_2022.xlsx</v>
          </cell>
          <cell r="D427" t="str">
            <v>Zurückgestellt (IVAN)</v>
          </cell>
        </row>
        <row r="428">
          <cell r="A428" t="str">
            <v>ZFI_IVAN_UMB</v>
          </cell>
          <cell r="B428" t="str">
            <v>Z-Artefakte_ADAC_Schwerpunkt_FI_Stand_18_08_2022</v>
          </cell>
          <cell r="C428" t="str">
            <v>Z_Artefakte_ADAC_Schwerpunkt_FI_Stand_18_08_2022.xlsx</v>
          </cell>
          <cell r="D428" t="str">
            <v>Zurückgestellt (VITA)</v>
          </cell>
        </row>
        <row r="429">
          <cell r="A429" t="str">
            <v>ZFI_IVAN00</v>
          </cell>
          <cell r="B429" t="str">
            <v>Z-Artefakte_ADAC_Schwerpunkt_FI_Stand_18_08_2022</v>
          </cell>
          <cell r="C429" t="str">
            <v>Z_Artefakte_ADAC_Schwerpunkt_FI_Stand_18_08_2022.xlsx</v>
          </cell>
          <cell r="D429" t="str">
            <v>Zurückgestellt (VITA)</v>
          </cell>
        </row>
        <row r="430">
          <cell r="A430" t="str">
            <v>ZFI_FK02_AVIS</v>
          </cell>
          <cell r="B430" t="str">
            <v>Z-Artefakte_ADAC_Schwerpunkt_FI_Stand_18_08_2022</v>
          </cell>
          <cell r="C430" t="str">
            <v>Z_Artefakte_ADAC_Schwerpunkt_FI_Stand_18_08_2022.xlsx</v>
          </cell>
          <cell r="D430" t="str">
            <v>Zurückgestellt (VITA)</v>
          </cell>
        </row>
        <row r="431">
          <cell r="A431" t="str">
            <v>ZFI_FW_SELVAR</v>
          </cell>
          <cell r="B431" t="str">
            <v>Z-Artefakte_ADAC_Schwerpunkt_FI_Stand_18_08_2022</v>
          </cell>
          <cell r="C431" t="str">
            <v>Z_Artefakte_ADAC_Schwerpunkt_FI_Stand_18_08_2022.xlsx</v>
          </cell>
          <cell r="D431" t="str">
            <v>Ja</v>
          </cell>
        </row>
        <row r="432">
          <cell r="A432" t="str">
            <v>ZFI_SWA_LIEF_GUT</v>
          </cell>
          <cell r="B432" t="str">
            <v>Z-Artefakte_ADAC_Schwerpunkt_FI_Stand_18_08_2022</v>
          </cell>
          <cell r="C432" t="str">
            <v>Z_Artefakte_ADAC_Schwerpunkt_FI_Stand_18_08_2022.xlsx</v>
          </cell>
          <cell r="D432" t="str">
            <v>Ja</v>
          </cell>
        </row>
        <row r="433">
          <cell r="A433" t="str">
            <v>ZFI_LAVA01</v>
          </cell>
          <cell r="B433" t="str">
            <v>Z-Artefakte_ADAC_Schwerpunkt_FI_Stand_18_08_2022</v>
          </cell>
          <cell r="C433" t="str">
            <v>Z_Artefakte_ADAC_Schwerpunkt_FI_Stand_18_08_2022.xlsx</v>
          </cell>
          <cell r="D433" t="str">
            <v>Zurückgestellt (VITA)</v>
          </cell>
        </row>
        <row r="434">
          <cell r="A434" t="str">
            <v>ZFI_LAEX01</v>
          </cell>
          <cell r="B434" t="str">
            <v>Z-Artefakte_ADAC_Schwerpunkt_FI_Stand_18_08_2022</v>
          </cell>
          <cell r="C434" t="str">
            <v>Z_Artefakte_ADAC_Schwerpunkt_FI_Stand_18_08_2022.xlsx</v>
          </cell>
          <cell r="D434" t="str">
            <v>Zurückgestellt (VITA)</v>
          </cell>
        </row>
        <row r="435">
          <cell r="A435" t="str">
            <v>ZFI_LAVA_INKASSO</v>
          </cell>
          <cell r="B435" t="str">
            <v>Z-Artefakte_ADAC_Schwerpunkt_FI_Stand_18_08_2022</v>
          </cell>
          <cell r="C435" t="str">
            <v>Z_Artefakte_ADAC_Schwerpunkt_FI_Stand_18_08_2022.xlsx</v>
          </cell>
          <cell r="D435" t="str">
            <v>Zurückgestellt (VITA)</v>
          </cell>
        </row>
        <row r="436">
          <cell r="A436" t="str">
            <v>ZFI_LAVA_RUECK</v>
          </cell>
          <cell r="B436" t="str">
            <v>Z-Artefakte_ADAC_Schwerpunkt_FI_Stand_18_08_2022</v>
          </cell>
          <cell r="C436" t="str">
            <v>Z_Artefakte_ADAC_Schwerpunkt_FI_Stand_18_08_2022.xlsx</v>
          </cell>
          <cell r="D436" t="str">
            <v>Zurückgestellt (VITA)</v>
          </cell>
        </row>
        <row r="437">
          <cell r="A437" t="str">
            <v>ZFI_LIQUI_ARCHIV</v>
          </cell>
          <cell r="B437" t="str">
            <v>Z-Artefakte_ADAC_Schwerpunkt_FI_Stand_18_08_2022</v>
          </cell>
          <cell r="C437" t="str">
            <v>Z_Artefakte_ADAC_Schwerpunkt_FI_Stand_18_08_2022.xlsx</v>
          </cell>
          <cell r="D437" t="str">
            <v>tbd</v>
          </cell>
        </row>
        <row r="438">
          <cell r="A438" t="str">
            <v>ZFI_LIQUI_ARCHIV_KONTEN</v>
          </cell>
          <cell r="B438" t="str">
            <v>Z-Artefakte_ADAC_Schwerpunkt_FI_Stand_18_08_2022</v>
          </cell>
          <cell r="C438" t="str">
            <v>Z_Artefakte_ADAC_Schwerpunkt_FI_Stand_18_08_2022.xlsx</v>
          </cell>
          <cell r="D438" t="str">
            <v>tbd</v>
          </cell>
        </row>
        <row r="439">
          <cell r="A439" t="str">
            <v>ZFI_LIQUI_MANUELL_UPDATE</v>
          </cell>
          <cell r="B439" t="str">
            <v>Z-Artefakte_ADAC_Schwerpunkt_FI_Stand_18_08_2022</v>
          </cell>
          <cell r="C439" t="str">
            <v>Z_Artefakte_ADAC_Schwerpunkt_FI_Stand_18_08_2022.xlsx</v>
          </cell>
          <cell r="D439" t="str">
            <v>tbd</v>
          </cell>
        </row>
        <row r="440">
          <cell r="A440" t="str">
            <v>ZFI_LIQUI_PERFIRMA</v>
          </cell>
          <cell r="B440" t="str">
            <v>Z-Artefakte_ADAC_Schwerpunkt_FI_Stand_18_08_2022</v>
          </cell>
          <cell r="C440" t="str">
            <v>Z_Artefakte_ADAC_Schwerpunkt_FI_Stand_18_08_2022.xlsx</v>
          </cell>
          <cell r="D440" t="str">
            <v>tbd</v>
          </cell>
        </row>
        <row r="441">
          <cell r="A441" t="str">
            <v>ZFI_LIQUI_VALUTA_SUMMEN</v>
          </cell>
          <cell r="B441" t="str">
            <v>Z-Artefakte_ADAC_Schwerpunkt_FI_Stand_18_08_2022</v>
          </cell>
          <cell r="C441" t="str">
            <v>Z_Artefakte_ADAC_Schwerpunkt_FI_Stand_18_08_2022.xlsx</v>
          </cell>
          <cell r="D441" t="str">
            <v>tbd</v>
          </cell>
        </row>
        <row r="442">
          <cell r="A442" t="str">
            <v>ZFI_LIQUI_VALUTA_SUMMEN_AUFBAU</v>
          </cell>
          <cell r="B442" t="str">
            <v>Z-Artefakte_ADAC_Schwerpunkt_FI_Stand_18_08_2022</v>
          </cell>
          <cell r="C442" t="str">
            <v>Z_Artefakte_ADAC_Schwerpunkt_FI_Stand_18_08_2022.xlsx</v>
          </cell>
          <cell r="D442" t="str">
            <v>tbd</v>
          </cell>
        </row>
        <row r="443">
          <cell r="A443" t="str">
            <v>ZFI_LIQUIDITAET</v>
          </cell>
          <cell r="B443" t="str">
            <v>Z-Artefakte_ADAC_Schwerpunkt_FI_Stand_18_08_2022</v>
          </cell>
          <cell r="C443" t="str">
            <v>Z_Artefakte_ADAC_Schwerpunkt_FI_Stand_18_08_2022.xlsx</v>
          </cell>
          <cell r="D443" t="str">
            <v>tbd</v>
          </cell>
        </row>
        <row r="444">
          <cell r="A444" t="str">
            <v>ZFI_LIQUIDITAET_VALUTA_BELEGE</v>
          </cell>
          <cell r="B444" t="str">
            <v>Z-Artefakte_ADAC_Schwerpunkt_FI_Stand_18_08_2022</v>
          </cell>
          <cell r="C444" t="str">
            <v>Z_Artefakte_ADAC_Schwerpunkt_FI_Stand_18_08_2022.xlsx</v>
          </cell>
          <cell r="D444" t="str">
            <v>tbd</v>
          </cell>
        </row>
        <row r="445">
          <cell r="A445" t="str">
            <v>ZFI_HFP057</v>
          </cell>
          <cell r="B445" t="str">
            <v>Z-Artefakte_ADAC_Schwerpunkt_FI_Stand_18_08_2022</v>
          </cell>
          <cell r="C445" t="str">
            <v>Z_Artefakte_ADAC_Schwerpunkt_FI_Stand_18_08_2022.xlsx</v>
          </cell>
          <cell r="D445" t="str">
            <v>Ja</v>
          </cell>
        </row>
        <row r="446">
          <cell r="A446" t="str">
            <v>ZFI_LRG_ANZ1</v>
          </cell>
          <cell r="B446" t="str">
            <v>Z-Artefakte_ADAC_Schwerpunkt_FI_Stand_18_08_2022</v>
          </cell>
          <cell r="C446" t="str">
            <v>Z_Artefakte_ADAC_Schwerpunkt_FI_Stand_18_08_2022.xlsx</v>
          </cell>
          <cell r="D446" t="str">
            <v>Ja</v>
          </cell>
        </row>
        <row r="447">
          <cell r="A447" t="str">
            <v>ZFI_SAPF150D2</v>
          </cell>
          <cell r="B447" t="str">
            <v>Z-Artefakte_ADAC_Schwerpunkt_FI_Stand_18_08_2022</v>
          </cell>
          <cell r="C447" t="str">
            <v>Z_Artefakte_ADAC_Schwerpunkt_FI_Stand_18_08_2022.xlsx</v>
          </cell>
          <cell r="D447" t="str">
            <v>Nein</v>
          </cell>
        </row>
        <row r="448">
          <cell r="A448" t="str">
            <v>ZFI_DEB_BKORM</v>
          </cell>
          <cell r="B448" t="str">
            <v>Z-Artefakte_ADAC_Schwerpunkt_FI_Stand_18_08_2022</v>
          </cell>
          <cell r="C448" t="str">
            <v>Z_Artefakte_ADAC_Schwerpunkt_FI_Stand_18_08_2022.xlsx</v>
          </cell>
          <cell r="D448" t="str">
            <v>Nein</v>
          </cell>
        </row>
        <row r="449">
          <cell r="A449" t="str">
            <v>ZFI_CCS_AUSWERT</v>
          </cell>
          <cell r="B449" t="str">
            <v>Z-Artefakte_ADAC_Schwerpunkt_FI_Stand_18_08_2022</v>
          </cell>
          <cell r="C449" t="str">
            <v>Z_Artefakte_ADAC_Schwerpunkt_FI_Stand_18_08_2022.xlsx</v>
          </cell>
          <cell r="D449" t="str">
            <v>Ja</v>
          </cell>
        </row>
        <row r="450">
          <cell r="A450" t="str">
            <v>ZFI_CCS_DRUCKE</v>
          </cell>
          <cell r="B450" t="str">
            <v>Z-Artefakte_ADAC_Schwerpunkt_FI_Stand_18_08_2022</v>
          </cell>
          <cell r="C450" t="str">
            <v>Z_Artefakte_ADAC_Schwerpunkt_FI_Stand_18_08_2022.xlsx</v>
          </cell>
          <cell r="D450" t="str">
            <v>Ja</v>
          </cell>
        </row>
        <row r="451">
          <cell r="A451" t="str">
            <v>ZFI_MAHNABR_ILV</v>
          </cell>
          <cell r="B451" t="str">
            <v>Z-Artefakte_ADAC_Schwerpunkt_FI_Stand_18_08_2022</v>
          </cell>
          <cell r="C451" t="str">
            <v>Z_Artefakte_ADAC_Schwerpunkt_FI_Stand_18_08_2022.xlsx</v>
          </cell>
          <cell r="D451" t="str">
            <v>Nein</v>
          </cell>
        </row>
        <row r="452">
          <cell r="A452" t="str">
            <v>ZFI_MAHNHIST_ALV</v>
          </cell>
          <cell r="B452" t="str">
            <v>Z-Artefakte_ADAC_Schwerpunkt_FI_Stand_18_08_2022</v>
          </cell>
          <cell r="C452" t="str">
            <v>Z_Artefakte_ADAC_Schwerpunkt_FI_Stand_18_08_2022.xlsx</v>
          </cell>
          <cell r="D452" t="str">
            <v>Nein</v>
          </cell>
        </row>
        <row r="453">
          <cell r="A453" t="str">
            <v>ZFI_MAHNRHYTHMUS</v>
          </cell>
          <cell r="B453" t="str">
            <v>Z-Artefakte_ADAC_Schwerpunkt_FI_Stand_18_08_2022</v>
          </cell>
          <cell r="C453" t="str">
            <v>Z_Artefakte_ADAC_Schwerpunkt_FI_Stand_18_08_2022.xlsx</v>
          </cell>
          <cell r="D453" t="str">
            <v>Zurückgestellt (VITA)</v>
          </cell>
        </row>
        <row r="454">
          <cell r="A454" t="str">
            <v>ZFI_MAHNS_LOESCH</v>
          </cell>
          <cell r="B454" t="str">
            <v>Z-Artefakte_ADAC_Schwerpunkt_FI_Stand_18_08_2022</v>
          </cell>
          <cell r="C454" t="str">
            <v>Z_Artefakte_ADAC_Schwerpunkt_FI_Stand_18_08_2022.xlsx</v>
          </cell>
          <cell r="D454" t="str">
            <v>Ja</v>
          </cell>
        </row>
        <row r="455">
          <cell r="A455" t="str">
            <v>ZFI_MAHNS_MAHNV</v>
          </cell>
          <cell r="B455" t="str">
            <v>Z-Artefakte_ADAC_Schwerpunkt_FI_Stand_18_08_2022</v>
          </cell>
          <cell r="C455" t="str">
            <v>Z_Artefakte_ADAC_Schwerpunkt_FI_Stand_18_08_2022.xlsx</v>
          </cell>
          <cell r="D455" t="str">
            <v>Ja</v>
          </cell>
        </row>
        <row r="456">
          <cell r="A456" t="str">
            <v>ZFI_MAHNSTAPEL</v>
          </cell>
          <cell r="B456" t="str">
            <v>Z-Artefakte_ADAC_Schwerpunkt_FI_Stand_18_08_2022</v>
          </cell>
          <cell r="C456" t="str">
            <v>Z_Artefakte_ADAC_Schwerpunkt_FI_Stand_18_08_2022.xlsx</v>
          </cell>
          <cell r="D456" t="str">
            <v>Ja</v>
          </cell>
        </row>
        <row r="457">
          <cell r="A457" t="str">
            <v>ZFI_MAHNSTATISTIK</v>
          </cell>
          <cell r="B457" t="str">
            <v>Z-Artefakte_ADAC_Schwerpunkt_FI_Stand_18_08_2022</v>
          </cell>
          <cell r="C457" t="str">
            <v>Z_Artefakte_ADAC_Schwerpunkt_FI_Stand_18_08_2022.xlsx</v>
          </cell>
          <cell r="D457" t="str">
            <v>Nein</v>
          </cell>
        </row>
        <row r="458">
          <cell r="A458" t="str">
            <v>ZFI_MAHNSTOPP</v>
          </cell>
          <cell r="B458" t="str">
            <v>Z-Artefakte_ADAC_Schwerpunkt_FI_Stand_18_08_2022</v>
          </cell>
          <cell r="C458" t="str">
            <v>Z_Artefakte_ADAC_Schwerpunkt_FI_Stand_18_08_2022.xlsx</v>
          </cell>
          <cell r="D458" t="str">
            <v>Ja</v>
          </cell>
        </row>
        <row r="459">
          <cell r="A459" t="str">
            <v>ZFI_MAHNSTOPP_ABZUG</v>
          </cell>
          <cell r="B459" t="str">
            <v>Z-Artefakte_ADAC_Schwerpunkt_FI_Stand_18_08_2022</v>
          </cell>
          <cell r="C459" t="str">
            <v>Z_Artefakte_ADAC_Schwerpunkt_FI_Stand_18_08_2022.xlsx</v>
          </cell>
          <cell r="D459" t="str">
            <v>Ja</v>
          </cell>
        </row>
        <row r="460">
          <cell r="A460" t="str">
            <v>ZFI_MAHNSTOPP_SETZEN</v>
          </cell>
          <cell r="B460" t="str">
            <v>Z-Artefakte_ADAC_Schwerpunkt_FI_Stand_18_08_2022</v>
          </cell>
          <cell r="C460" t="str">
            <v>Z_Artefakte_ADAC_Schwerpunkt_FI_Stand_18_08_2022.xlsx</v>
          </cell>
          <cell r="D460" t="str">
            <v>Ja</v>
          </cell>
        </row>
        <row r="461">
          <cell r="A461" t="str">
            <v>ZFI_MAHNSTOPP2</v>
          </cell>
          <cell r="B461" t="str">
            <v>Z-Artefakte_ADAC_Schwerpunkt_FI_Stand_18_08_2022</v>
          </cell>
          <cell r="C461" t="str">
            <v>Z_Artefakte_ADAC_Schwerpunkt_FI_Stand_18_08_2022.xlsx</v>
          </cell>
          <cell r="D461" t="str">
            <v>Ja</v>
          </cell>
        </row>
        <row r="462">
          <cell r="A462" t="str">
            <v>ZFI_MAHNVORSCHLAG</v>
          </cell>
          <cell r="B462" t="str">
            <v>Z-Artefakte_ADAC_Schwerpunkt_FI_Stand_18_08_2022</v>
          </cell>
          <cell r="C462" t="str">
            <v>Z_Artefakte_ADAC_Schwerpunkt_FI_Stand_18_08_2022.xlsx</v>
          </cell>
          <cell r="D462" t="str">
            <v>Ja</v>
          </cell>
        </row>
        <row r="463">
          <cell r="A463" t="str">
            <v>ZFI_MHNHST</v>
          </cell>
          <cell r="B463" t="str">
            <v>Z-Artefakte_ADAC_Schwerpunkt_FI_Stand_18_08_2022</v>
          </cell>
          <cell r="C463" t="str">
            <v>Z_Artefakte_ADAC_Schwerpunkt_FI_Stand_18_08_2022.xlsx</v>
          </cell>
          <cell r="D463" t="str">
            <v>Nein</v>
          </cell>
        </row>
        <row r="464">
          <cell r="A464" t="str">
            <v>ZCL_MAR_EVENT</v>
          </cell>
          <cell r="B464" t="str">
            <v>Z-Artefakte_ADAC_Schwerpunkt_FI_Stand_18_08_2022</v>
          </cell>
          <cell r="C464" t="str">
            <v>Z_Artefakte_ADAC_Schwerpunkt_FI_Stand_18_08_2022.xlsx</v>
          </cell>
          <cell r="D464" t="str">
            <v>Ja</v>
          </cell>
        </row>
        <row r="465">
          <cell r="A465" t="str">
            <v>ZCL_MAR_KUNDE</v>
          </cell>
          <cell r="B465" t="str">
            <v>Z-Artefakte_ADAC_Schwerpunkt_FI_Stand_18_08_2022</v>
          </cell>
          <cell r="C465" t="str">
            <v>Z_Artefakte_ADAC_Schwerpunkt_FI_Stand_18_08_2022.xlsx</v>
          </cell>
          <cell r="D465" t="str">
            <v>Ja</v>
          </cell>
        </row>
        <row r="466">
          <cell r="A466" t="str">
            <v>ZCL_MAR_NACHRICHTENART</v>
          </cell>
          <cell r="B466" t="str">
            <v>Z-Artefakte_ADAC_Schwerpunkt_FI_Stand_18_08_2022</v>
          </cell>
          <cell r="C466" t="str">
            <v>Z_Artefakte_ADAC_Schwerpunkt_FI_Stand_18_08_2022.xlsx</v>
          </cell>
          <cell r="D466" t="str">
            <v>Ja</v>
          </cell>
        </row>
        <row r="467">
          <cell r="A467" t="str">
            <v>ZCL_MAR_NAST_STATUS</v>
          </cell>
          <cell r="B467" t="str">
            <v>Z-Artefakte_ADAC_Schwerpunkt_FI_Stand_18_08_2022</v>
          </cell>
          <cell r="C467" t="str">
            <v>Z_Artefakte_ADAC_Schwerpunkt_FI_Stand_18_08_2022.xlsx</v>
          </cell>
          <cell r="D467" t="str">
            <v>Ja</v>
          </cell>
        </row>
        <row r="468">
          <cell r="A468" t="str">
            <v>ZCL_MAR_RECHNUNGSTYP</v>
          </cell>
          <cell r="B468" t="str">
            <v>Z-Artefakte_ADAC_Schwerpunkt_FI_Stand_18_08_2022</v>
          </cell>
          <cell r="C468" t="str">
            <v>Z_Artefakte_ADAC_Schwerpunkt_FI_Stand_18_08_2022.xlsx</v>
          </cell>
          <cell r="D468" t="str">
            <v>Ja</v>
          </cell>
        </row>
        <row r="469">
          <cell r="A469" t="str">
            <v>ZFI_SEPA_MIG_IBAN</v>
          </cell>
          <cell r="B469" t="str">
            <v>Z-Artefakte_ADAC_Schwerpunkt_FI_Stand_18_08_2022</v>
          </cell>
          <cell r="C469" t="str">
            <v>Z_Artefakte_ADAC_Schwerpunkt_FI_Stand_18_08_2022.xlsx</v>
          </cell>
          <cell r="D469" t="str">
            <v>Nein</v>
          </cell>
        </row>
        <row r="470">
          <cell r="A470" t="str">
            <v>ZFI_LAGSTA</v>
          </cell>
          <cell r="B470" t="str">
            <v>Z-Artefakte_ADAC_Schwerpunkt_FI_Stand_18_08_2022</v>
          </cell>
          <cell r="C470" t="str">
            <v>Z_Artefakte_ADAC_Schwerpunkt_FI_Stand_18_08_2022.xlsx</v>
          </cell>
          <cell r="D470" t="str">
            <v>Nein</v>
          </cell>
        </row>
        <row r="471">
          <cell r="A471" t="str">
            <v>ZFI_NEUBAU_ANLAGENLIST</v>
          </cell>
          <cell r="B471" t="str">
            <v>Z-Artefakte_ADAC_Schwerpunkt_FI_Stand_18_08_2022</v>
          </cell>
          <cell r="C471" t="str">
            <v>Z_Artefakte_ADAC_Schwerpunkt_FI_Stand_18_08_2022.xlsx</v>
          </cell>
          <cell r="D471" t="str">
            <v>Nein</v>
          </cell>
        </row>
        <row r="472">
          <cell r="A472" t="str">
            <v>ZFI_NEUBAU_ANLIST_GJ</v>
          </cell>
          <cell r="B472" t="str">
            <v>Z-Artefakte_ADAC_Schwerpunkt_FI_Stand_18_08_2022</v>
          </cell>
          <cell r="C472" t="str">
            <v>Z_Artefakte_ADAC_Schwerpunkt_FI_Stand_18_08_2022.xlsx</v>
          </cell>
          <cell r="D472" t="str">
            <v>Nein</v>
          </cell>
        </row>
        <row r="473">
          <cell r="A473" t="str">
            <v>ZFI_PERBIT</v>
          </cell>
          <cell r="B473" t="str">
            <v>Z-Artefakte_ADAC_Schwerpunkt_FI_Stand_18_08_2022</v>
          </cell>
          <cell r="C473" t="str">
            <v>Z_Artefakte_ADAC_Schwerpunkt_FI_Stand_18_08_2022.xlsx</v>
          </cell>
          <cell r="D473" t="str">
            <v>tbd? Steinkamp?</v>
          </cell>
        </row>
        <row r="474">
          <cell r="A474" t="str">
            <v>ZFI_PHONE_ABRECHNUNG</v>
          </cell>
          <cell r="B474" t="str">
            <v>Z-Artefakte_ADAC_Schwerpunkt_FI_Stand_18_08_2022</v>
          </cell>
          <cell r="C474" t="str">
            <v>Z_Artefakte_ADAC_Schwerpunkt_FI_Stand_18_08_2022.xlsx</v>
          </cell>
          <cell r="D474" t="str">
            <v>Nein</v>
          </cell>
        </row>
        <row r="475">
          <cell r="A475" t="str">
            <v>ZFI_RECHNUNG_WUERTH</v>
          </cell>
          <cell r="B475" t="str">
            <v>Z-Artefakte_ADAC_Schwerpunkt_FI_Stand_18_08_2022</v>
          </cell>
          <cell r="C475" t="str">
            <v>Z_Artefakte_ADAC_Schwerpunkt_FI_Stand_18_08_2022.xlsx</v>
          </cell>
          <cell r="D475" t="str">
            <v>Ja</v>
          </cell>
        </row>
        <row r="476">
          <cell r="A476" t="str">
            <v>ZFI_RFAWVZ40_OHNE_LZBKZ</v>
          </cell>
          <cell r="B476" t="str">
            <v>Z-Artefakte_ADAC_Schwerpunkt_FI_Stand_18_08_2022</v>
          </cell>
          <cell r="C476" t="str">
            <v>Z_Artefakte_ADAC_Schwerpunkt_FI_Stand_18_08_2022.xlsx</v>
          </cell>
          <cell r="D476" t="str">
            <v>nein</v>
          </cell>
        </row>
        <row r="477">
          <cell r="A477" t="str">
            <v>ZFI_SCHECKDB</v>
          </cell>
          <cell r="B477" t="str">
            <v>Z-Artefakte_ADAC_Schwerpunkt_FI_Stand_18_08_2022</v>
          </cell>
          <cell r="C477" t="str">
            <v>Z_Artefakte_ADAC_Schwerpunkt_FI_Stand_18_08_2022.xlsx</v>
          </cell>
          <cell r="D477" t="str">
            <v>tbd</v>
          </cell>
        </row>
        <row r="478">
          <cell r="A478" t="str">
            <v>ZFI_BESCHAFFUNG</v>
          </cell>
          <cell r="B478" t="str">
            <v>Z-Artefakte_ADAC_Schwerpunkt_FI_Stand_18_08_2022</v>
          </cell>
          <cell r="C478" t="str">
            <v>Z_Artefakte_ADAC_Schwerpunkt_FI_Stand_18_08_2022.xlsx</v>
          </cell>
          <cell r="D478" t="str">
            <v>tbd</v>
          </cell>
        </row>
        <row r="479">
          <cell r="A479" t="str">
            <v>ZFI_CTR_ZBEL02</v>
          </cell>
          <cell r="B479" t="str">
            <v>Z-Artefakte_ADAC_Schwerpunkt_FI_Stand_18_08_2022</v>
          </cell>
          <cell r="C479" t="str">
            <v>Z_Artefakte_ADAC_Schwerpunkt_FI_Stand_18_08_2022.xlsx</v>
          </cell>
          <cell r="D479" t="str">
            <v>Nein</v>
          </cell>
        </row>
        <row r="480">
          <cell r="A480" t="str">
            <v>ZFI_CUR_REORG</v>
          </cell>
          <cell r="B480" t="str">
            <v>Z-Artefakte_ADAC_Schwerpunkt_FI_Stand_18_08_2022</v>
          </cell>
          <cell r="C480" t="str">
            <v>Z_Artefakte_ADAC_Schwerpunkt_FI_Stand_18_08_2022.xlsx</v>
          </cell>
          <cell r="D480" t="str">
            <v>Nein</v>
          </cell>
        </row>
        <row r="481">
          <cell r="A481" t="str">
            <v>ZFI_EPOK30</v>
          </cell>
          <cell r="B481" t="str">
            <v>Z-Artefakte_ADAC_Schwerpunkt_FI_Stand_18_08_2022</v>
          </cell>
          <cell r="C481" t="str">
            <v>Z_Artefakte_ADAC_Schwerpunkt_FI_Stand_18_08_2022.xlsx</v>
          </cell>
          <cell r="D481" t="str">
            <v>Nein</v>
          </cell>
        </row>
        <row r="482">
          <cell r="A482" t="str">
            <v>ZFI_HEORE1</v>
          </cell>
          <cell r="B482" t="str">
            <v>Z-Artefakte_ADAC_Schwerpunkt_FI_Stand_18_08_2022</v>
          </cell>
          <cell r="C482" t="str">
            <v>Z_Artefakte_ADAC_Schwerpunkt_FI_Stand_18_08_2022.xlsx</v>
          </cell>
          <cell r="D482" t="str">
            <v>tbd</v>
          </cell>
        </row>
        <row r="483">
          <cell r="A483" t="str">
            <v>ZFI_PORTA_01</v>
          </cell>
          <cell r="B483" t="str">
            <v>Z-Artefakte_ADAC_Schwerpunkt_FI_Stand_18_08_2022</v>
          </cell>
          <cell r="C483" t="str">
            <v>Z_Artefakte_ADAC_Schwerpunkt_FI_Stand_18_08_2022.xlsx</v>
          </cell>
          <cell r="D483" t="str">
            <v>Ja</v>
          </cell>
        </row>
        <row r="484">
          <cell r="A484" t="str">
            <v>ZFI_HEPRIS</v>
          </cell>
          <cell r="B484" t="str">
            <v>Z-Artefakte_ADAC_Schwerpunkt_FI_Stand_18_08_2022</v>
          </cell>
          <cell r="C484" t="str">
            <v>Z_Artefakte_ADAC_Schwerpunkt_FI_Stand_18_08_2022.xlsx</v>
          </cell>
          <cell r="D484" t="str">
            <v>tbd</v>
          </cell>
        </row>
        <row r="485">
          <cell r="A485" t="str">
            <v>ZFI_HEPRIS_R3</v>
          </cell>
          <cell r="B485" t="str">
            <v>Z-Artefakte_ADAC_Schwerpunkt_FI_Stand_18_08_2022</v>
          </cell>
          <cell r="C485" t="str">
            <v>Z_Artefakte_ADAC_Schwerpunkt_FI_Stand_18_08_2022.xlsx</v>
          </cell>
          <cell r="D485" t="str">
            <v>tbd</v>
          </cell>
        </row>
        <row r="486">
          <cell r="A486" t="str">
            <v>ZFI_PRISMA_AGW</v>
          </cell>
          <cell r="B486" t="str">
            <v>Z-Artefakte_ADAC_Schwerpunkt_FI_Stand_18_08_2022</v>
          </cell>
          <cell r="C486" t="str">
            <v>Z_Artefakte_ADAC_Schwerpunkt_FI_Stand_18_08_2022.xlsx</v>
          </cell>
          <cell r="D486" t="str">
            <v>tbd</v>
          </cell>
        </row>
        <row r="487">
          <cell r="A487" t="str">
            <v>ZFI_RAPS01</v>
          </cell>
          <cell r="B487" t="str">
            <v>Z-Artefakte_ADAC_Schwerpunkt_FI_Stand_18_08_2022</v>
          </cell>
          <cell r="C487" t="str">
            <v>Z_Artefakte_ADAC_Schwerpunkt_FI_Stand_18_08_2022.xlsx</v>
          </cell>
          <cell r="D487" t="str">
            <v>Ja</v>
          </cell>
        </row>
        <row r="488">
          <cell r="A488" t="str">
            <v>ZFI_VERLAG_THM</v>
          </cell>
          <cell r="B488" t="str">
            <v>Z-Artefakte_ADAC_Schwerpunkt_FI_Stand_18_08_2022</v>
          </cell>
          <cell r="C488" t="str">
            <v>Z_Artefakte_ADAC_Schwerpunkt_FI_Stand_18_08_2022.xlsx</v>
          </cell>
          <cell r="D488" t="str">
            <v>Nein</v>
          </cell>
        </row>
        <row r="489">
          <cell r="A489" t="str">
            <v>ZFI_VTE_SCHLEIFE</v>
          </cell>
          <cell r="B489" t="str">
            <v>Z-Artefakte_ADAC_Schwerpunkt_FI_Stand_18_08_2022</v>
          </cell>
          <cell r="C489" t="str">
            <v>Z_Artefakte_ADAC_Schwerpunkt_FI_Stand_18_08_2022.xlsx</v>
          </cell>
          <cell r="D489" t="str">
            <v>tbd</v>
          </cell>
        </row>
        <row r="490">
          <cell r="A490" t="str">
            <v>ZFI_RAPS_ABSTIMMUNG</v>
          </cell>
          <cell r="B490" t="str">
            <v>Z-Artefakte_ADAC_Schwerpunkt_FI_Stand_18_08_2022</v>
          </cell>
          <cell r="C490" t="str">
            <v>Z_Artefakte_ADAC_Schwerpunkt_FI_Stand_18_08_2022.xlsx</v>
          </cell>
          <cell r="D490" t="str">
            <v>Ja</v>
          </cell>
        </row>
        <row r="491">
          <cell r="A491" t="str">
            <v>ZFI_AUSW_BESTELL_RECH_FI_ACE</v>
          </cell>
          <cell r="B491" t="str">
            <v>Z-Artefakte_ADAC_Schwerpunkt_FI_Stand_18_08_2022</v>
          </cell>
          <cell r="C491" t="str">
            <v>Z_Artefakte_ADAC_Schwerpunkt_FI_Stand_18_08_2022.xlsx</v>
          </cell>
          <cell r="D491" t="str">
            <v>tbd</v>
          </cell>
        </row>
        <row r="492">
          <cell r="A492" t="str">
            <v>ZFI_PRINT_INVOICE</v>
          </cell>
          <cell r="B492" t="str">
            <v>Z-Artefakte_ADAC_Schwerpunkt_FI_Stand_18_08_2022</v>
          </cell>
          <cell r="C492" t="str">
            <v>Z_Artefakte_ADAC_Schwerpunkt_FI_Stand_18_08_2022.xlsx</v>
          </cell>
          <cell r="D492" t="str">
            <v>Zurückgestellt (CO/Vignette)</v>
          </cell>
        </row>
        <row r="493">
          <cell r="A493" t="str">
            <v>ZFI_ARCHLINK_PARTNERBELEG</v>
          </cell>
          <cell r="B493" t="str">
            <v>Z-Artefakte_ADAC_Schwerpunkt_FI_Stand_18_08_2022</v>
          </cell>
          <cell r="C493" t="str">
            <v>Z_Artefakte_ADAC_Schwerpunkt_FI_Stand_18_08_2022.xlsx</v>
          </cell>
          <cell r="D493" t="str">
            <v>Zurückgestellt (CO/Vignette)</v>
          </cell>
        </row>
        <row r="494">
          <cell r="A494" t="str">
            <v>ZFI_REB_CHECK</v>
          </cell>
          <cell r="B494" t="str">
            <v>Z-Artefakte_ADAC_Schwerpunkt_FI_Stand_18_08_2022</v>
          </cell>
          <cell r="C494" t="str">
            <v>Z_Artefakte_ADAC_Schwerpunkt_FI_Stand_18_08_2022.xlsx</v>
          </cell>
          <cell r="D494" t="str">
            <v>Nein</v>
          </cell>
        </row>
        <row r="495">
          <cell r="A495" t="str">
            <v>ZFI_REB_DISPIMAGE</v>
          </cell>
          <cell r="B495" t="str">
            <v>Z-Artefakte_ADAC_Schwerpunkt_FI_Stand_18_08_2022</v>
          </cell>
          <cell r="C495" t="str">
            <v>Z_Artefakte_ADAC_Schwerpunkt_FI_Stand_18_08_2022.xlsx</v>
          </cell>
          <cell r="D495" t="str">
            <v>Nein</v>
          </cell>
        </row>
        <row r="496">
          <cell r="A496" t="str">
            <v>ZFI_REB_P_ARCH_PROC_SHEETS</v>
          </cell>
          <cell r="B496" t="str">
            <v>Z-Artefakte_ADAC_Schwerpunkt_FI_Stand_18_08_2022</v>
          </cell>
          <cell r="C496" t="str">
            <v>Z_Artefakte_ADAC_Schwerpunkt_FI_Stand_18_08_2022.xlsx</v>
          </cell>
          <cell r="D496" t="str">
            <v>Nein</v>
          </cell>
        </row>
        <row r="497">
          <cell r="A497" t="str">
            <v>ZFI_REB_P_ARCHIVE_LEDGER</v>
          </cell>
          <cell r="B497" t="str">
            <v>Z-Artefakte_ADAC_Schwerpunkt_FI_Stand_18_08_2022</v>
          </cell>
          <cell r="C497" t="str">
            <v>Z_Artefakte_ADAC_Schwerpunkt_FI_Stand_18_08_2022.xlsx</v>
          </cell>
          <cell r="D497" t="str">
            <v>Nein</v>
          </cell>
        </row>
        <row r="498">
          <cell r="A498" t="str">
            <v>ZFI_REB_P_ARCHIVE_LEDGER_DEL</v>
          </cell>
          <cell r="B498" t="str">
            <v>Z-Artefakte_ADAC_Schwerpunkt_FI_Stand_18_08_2022</v>
          </cell>
          <cell r="C498" t="str">
            <v>Z_Artefakte_ADAC_Schwerpunkt_FI_Stand_18_08_2022.xlsx</v>
          </cell>
          <cell r="D498" t="str">
            <v>Nein</v>
          </cell>
        </row>
        <row r="499">
          <cell r="A499" t="str">
            <v>ZFI_REB_P_ARCHIVE_SHEETS</v>
          </cell>
          <cell r="B499" t="str">
            <v>Z-Artefakte_ADAC_Schwerpunkt_FI_Stand_18_08_2022</v>
          </cell>
          <cell r="C499" t="str">
            <v>Z_Artefakte_ADAC_Schwerpunkt_FI_Stand_18_08_2022.xlsx</v>
          </cell>
          <cell r="D499" t="str">
            <v>Nein</v>
          </cell>
        </row>
        <row r="500">
          <cell r="A500" t="str">
            <v>ZFI_REB_P_CHANGE_DEVCL</v>
          </cell>
          <cell r="B500" t="str">
            <v>Z-Artefakte_ADAC_Schwerpunkt_FI_Stand_18_08_2022</v>
          </cell>
          <cell r="C500" t="str">
            <v>Z_Artefakte_ADAC_Schwerpunkt_FI_Stand_18_08_2022.xlsx</v>
          </cell>
          <cell r="D500" t="str">
            <v>Nein</v>
          </cell>
        </row>
        <row r="501">
          <cell r="A501" t="str">
            <v>ZFI_REB_P_CONNECTION_REB</v>
          </cell>
          <cell r="B501" t="str">
            <v>Z-Artefakte_ADAC_Schwerpunkt_FI_Stand_18_08_2022</v>
          </cell>
          <cell r="C501" t="str">
            <v>Z_Artefakte_ADAC_Schwerpunkt_FI_Stand_18_08_2022.xlsx</v>
          </cell>
          <cell r="D501" t="str">
            <v>Nein</v>
          </cell>
        </row>
        <row r="502">
          <cell r="A502" t="str">
            <v>ZFI_REB_P_DOC_CHECK</v>
          </cell>
          <cell r="B502" t="str">
            <v>Z-Artefakte_ADAC_Schwerpunkt_FI_Stand_18_08_2022</v>
          </cell>
          <cell r="C502" t="str">
            <v>Z_Artefakte_ADAC_Schwerpunkt_FI_Stand_18_08_2022.xlsx</v>
          </cell>
          <cell r="D502" t="str">
            <v>Nein</v>
          </cell>
        </row>
        <row r="503">
          <cell r="A503" t="str">
            <v>ZFI_REB_P_DOC_CHECK2</v>
          </cell>
          <cell r="B503" t="str">
            <v>Z-Artefakte_ADAC_Schwerpunkt_FI_Stand_18_08_2022</v>
          </cell>
          <cell r="C503" t="str">
            <v>Z_Artefakte_ADAC_Schwerpunkt_FI_Stand_18_08_2022.xlsx</v>
          </cell>
          <cell r="D503" t="str">
            <v>Nein</v>
          </cell>
        </row>
        <row r="504">
          <cell r="A504" t="str">
            <v>ZFI_REB_P_LEDGER</v>
          </cell>
          <cell r="B504" t="str">
            <v>Z-Artefakte_ADAC_Schwerpunkt_FI_Stand_18_08_2022</v>
          </cell>
          <cell r="C504" t="str">
            <v>Z_Artefakte_ADAC_Schwerpunkt_FI_Stand_18_08_2022.xlsx</v>
          </cell>
          <cell r="D504" t="str">
            <v>Nein</v>
          </cell>
        </row>
        <row r="505">
          <cell r="A505" t="str">
            <v>ZFI_REB_P_LEDGER_CALL</v>
          </cell>
          <cell r="B505" t="str">
            <v>Z-Artefakte_ADAC_Schwerpunkt_FI_Stand_18_08_2022</v>
          </cell>
          <cell r="C505" t="str">
            <v>Z_Artefakte_ADAC_Schwerpunkt_FI_Stand_18_08_2022.xlsx</v>
          </cell>
          <cell r="D505" t="str">
            <v>Nein</v>
          </cell>
        </row>
        <row r="506">
          <cell r="A506" t="str">
            <v>ZFI_REB_P_OBJECT</v>
          </cell>
          <cell r="B506" t="str">
            <v>Z-Artefakte_ADAC_Schwerpunkt_FI_Stand_18_08_2022</v>
          </cell>
          <cell r="C506" t="str">
            <v>Z_Artefakte_ADAC_Schwerpunkt_FI_Stand_18_08_2022.xlsx</v>
          </cell>
          <cell r="D506" t="str">
            <v>Nein</v>
          </cell>
        </row>
        <row r="507">
          <cell r="A507" t="str">
            <v>ZFI_REBHIS_ARCHCHECK</v>
          </cell>
          <cell r="B507" t="str">
            <v>Z-Artefakte_ADAC_Schwerpunkt_FI_Stand_18_08_2022</v>
          </cell>
          <cell r="C507" t="str">
            <v>Z_Artefakte_ADAC_Schwerpunkt_FI_Stand_18_08_2022.xlsx</v>
          </cell>
          <cell r="D507" t="str">
            <v>Nein</v>
          </cell>
        </row>
        <row r="508">
          <cell r="A508" t="str">
            <v>ZCL_IM_FI_REB_BA_INVOICE</v>
          </cell>
          <cell r="B508" t="str">
            <v>Z-Artefakte_ADAC_Schwerpunkt_FI_Stand_18_08_2022</v>
          </cell>
          <cell r="C508" t="str">
            <v>Z_Artefakte_ADAC_Schwerpunkt_FI_Stand_18_08_2022.xlsx</v>
          </cell>
          <cell r="D508" t="str">
            <v>Nein</v>
          </cell>
        </row>
        <row r="509">
          <cell r="A509" t="str">
            <v>ZCL_IM_FI_VEND_ADD_DAT_BI</v>
          </cell>
          <cell r="B509" t="str">
            <v>Z-Artefakte_ADAC_Schwerpunkt_FI_Stand_18_08_2022</v>
          </cell>
          <cell r="C509" t="str">
            <v>Z_Artefakte_ADAC_Schwerpunkt_FI_Stand_18_08_2022.xlsx</v>
          </cell>
          <cell r="D509" t="str">
            <v>Nein</v>
          </cell>
        </row>
        <row r="510">
          <cell r="A510" t="str">
            <v>ZCL_IM_FI_VEND_ADD_DAT_CS</v>
          </cell>
          <cell r="B510" t="str">
            <v>Z-Artefakte_ADAC_Schwerpunkt_FI_Stand_18_08_2022</v>
          </cell>
          <cell r="C510" t="str">
            <v>Z_Artefakte_ADAC_Schwerpunkt_FI_Stand_18_08_2022.xlsx</v>
          </cell>
          <cell r="D510" t="str">
            <v>Nein</v>
          </cell>
        </row>
        <row r="511">
          <cell r="A511" t="str">
            <v>ZCL_IM_FI_VENDOR_ADD_DATA</v>
          </cell>
          <cell r="B511" t="str">
            <v>Z-Artefakte_ADAC_Schwerpunkt_FI_Stand_18_08_2022</v>
          </cell>
          <cell r="C511" t="str">
            <v>Z_Artefakte_ADAC_Schwerpunkt_FI_Stand_18_08_2022.xlsx</v>
          </cell>
          <cell r="D511" t="str">
            <v>Nein</v>
          </cell>
        </row>
        <row r="512">
          <cell r="A512" t="str">
            <v>ZCL_IM_VIM_AC_DOC</v>
          </cell>
          <cell r="B512" t="str">
            <v>Z-Artefakte_ADAC_Schwerpunkt_FI_Stand_18_08_2022</v>
          </cell>
          <cell r="C512" t="str">
            <v>Z_Artefakte_ADAC_Schwerpunkt_FI_Stand_18_08_2022.xlsx</v>
          </cell>
          <cell r="D512" t="str">
            <v>Ja</v>
          </cell>
        </row>
        <row r="513">
          <cell r="A513" t="str">
            <v>ZCL_VIM_D_LM_DETERM_BANKDATA</v>
          </cell>
          <cell r="B513" t="str">
            <v>Z-Artefakte_ADAC_Schwerpunkt_FI_Stand_18_08_2022</v>
          </cell>
          <cell r="C513" t="str">
            <v>Z_Artefakte_ADAC_Schwerpunkt_FI_Stand_18_08_2022.xlsx</v>
          </cell>
          <cell r="D513" t="str">
            <v>Ja</v>
          </cell>
        </row>
        <row r="514">
          <cell r="A514" t="str">
            <v>ZCL_VIM_D_LM_DETERM_EXP</v>
          </cell>
          <cell r="B514" t="str">
            <v>Z-Artefakte_ADAC_Schwerpunkt_FI_Stand_18_08_2022</v>
          </cell>
          <cell r="C514" t="str">
            <v>Z_Artefakte_ADAC_Schwerpunkt_FI_Stand_18_08_2022.xlsx</v>
          </cell>
          <cell r="D514" t="str">
            <v>Ja</v>
          </cell>
        </row>
        <row r="515">
          <cell r="A515" t="str">
            <v>ZCL_VIM_D_LM_DETERM_NPO_COD</v>
          </cell>
          <cell r="B515" t="str">
            <v>Z-Artefakte_ADAC_Schwerpunkt_FI_Stand_18_08_2022</v>
          </cell>
          <cell r="C515" t="str">
            <v>Z_Artefakte_ADAC_Schwerpunkt_FI_Stand_18_08_2022.xlsx</v>
          </cell>
          <cell r="D515" t="str">
            <v>Ja</v>
          </cell>
        </row>
        <row r="516">
          <cell r="A516" t="str">
            <v>ZCL_VIM_DOWN_PAYMENT</v>
          </cell>
          <cell r="B516" t="str">
            <v>Z-Artefakte_ADAC_Schwerpunkt_FI_Stand_18_08_2022</v>
          </cell>
          <cell r="C516" t="str">
            <v>Z_Artefakte_ADAC_Schwerpunkt_FI_Stand_18_08_2022.xlsx</v>
          </cell>
          <cell r="D516" t="str">
            <v>Ja</v>
          </cell>
        </row>
        <row r="517">
          <cell r="A517" t="str">
            <v>ZCL_VIM_IAP_USERMAP_BL</v>
          </cell>
          <cell r="B517" t="str">
            <v>Z-Artefakte_ADAC_Schwerpunkt_FI_Stand_18_08_2022</v>
          </cell>
          <cell r="C517" t="str">
            <v>Z_Artefakte_ADAC_Schwerpunkt_FI_Stand_18_08_2022.xlsx</v>
          </cell>
          <cell r="D517" t="str">
            <v>Ja</v>
          </cell>
        </row>
        <row r="518">
          <cell r="A518" t="str">
            <v>ZCL_VIM_ACCRUAL_END</v>
          </cell>
          <cell r="B518" t="str">
            <v>Z-Artefakte_ADAC_Schwerpunkt_FI_Stand_18_08_2022</v>
          </cell>
          <cell r="C518" t="str">
            <v>Z_Artefakte_ADAC_Schwerpunkt_FI_Stand_18_08_2022.xlsx</v>
          </cell>
          <cell r="D518" t="str">
            <v>Ja</v>
          </cell>
        </row>
        <row r="519">
          <cell r="A519" t="str">
            <v>ZCL_VIM_MM_DETERM_REQUESTOR</v>
          </cell>
          <cell r="B519" t="str">
            <v>Z-Artefakte_ADAC_Schwerpunkt_FI_Stand_18_08_2022</v>
          </cell>
          <cell r="C519" t="str">
            <v>Z_Artefakte_ADAC_Schwerpunkt_FI_Stand_18_08_2022.xlsx</v>
          </cell>
          <cell r="D519" t="str">
            <v>Ja</v>
          </cell>
        </row>
        <row r="520">
          <cell r="A520" t="str">
            <v>ZFI_REB_P_UPDATE_ZAHLLAUF</v>
          </cell>
          <cell r="B520" t="str">
            <v>Z-Artefakte_ADAC_Schwerpunkt_FI_Stand_18_08_2022</v>
          </cell>
          <cell r="C520" t="str">
            <v>Z_Artefakte_ADAC_Schwerpunkt_FI_Stand_18_08_2022.xlsx</v>
          </cell>
          <cell r="D520" t="str">
            <v>Nein</v>
          </cell>
        </row>
        <row r="521">
          <cell r="A521" t="str">
            <v>ZFI_EVER_EXPORT_STAMM</v>
          </cell>
          <cell r="B521" t="str">
            <v>Z-Artefakte_ADAC_Schwerpunkt_FI_Stand_18_08_2022</v>
          </cell>
          <cell r="C521" t="str">
            <v>Z_Artefakte_ADAC_Schwerpunkt_FI_Stand_18_08_2022.xlsx</v>
          </cell>
          <cell r="D521" t="str">
            <v>Nein</v>
          </cell>
        </row>
        <row r="522">
          <cell r="A522" t="str">
            <v>ZFI_EVER_IMPORT_VORGANG</v>
          </cell>
          <cell r="B522" t="str">
            <v>Z-Artefakte_ADAC_Schwerpunkt_FI_Stand_18_08_2022</v>
          </cell>
          <cell r="C522" t="str">
            <v>Z_Artefakte_ADAC_Schwerpunkt_FI_Stand_18_08_2022.xlsx</v>
          </cell>
          <cell r="D522" t="str">
            <v>Nein</v>
          </cell>
        </row>
        <row r="523">
          <cell r="A523" t="str">
            <v>ZFI_BARCO_DEL</v>
          </cell>
          <cell r="B523" t="str">
            <v>Z-Artefakte_ADAC_Schwerpunkt_FI_Stand_18_08_2022</v>
          </cell>
          <cell r="C523" t="str">
            <v>Z_Artefakte_ADAC_Schwerpunkt_FI_Stand_18_08_2022.xlsx</v>
          </cell>
          <cell r="D523" t="str">
            <v>Ja</v>
          </cell>
        </row>
        <row r="524">
          <cell r="A524" t="str">
            <v>ZFI_BARCO_DISP</v>
          </cell>
          <cell r="B524" t="str">
            <v>Z-Artefakte_ADAC_Schwerpunkt_FI_Stand_18_08_2022</v>
          </cell>
          <cell r="C524" t="str">
            <v>Z_Artefakte_ADAC_Schwerpunkt_FI_Stand_18_08_2022.xlsx</v>
          </cell>
          <cell r="D524" t="str">
            <v>Ja</v>
          </cell>
        </row>
        <row r="525">
          <cell r="A525" t="str">
            <v>ZFI_BARCO_ERF</v>
          </cell>
          <cell r="B525" t="str">
            <v>Z-Artefakte_ADAC_Schwerpunkt_FI_Stand_18_08_2022</v>
          </cell>
          <cell r="C525" t="str">
            <v>Z_Artefakte_ADAC_Schwerpunkt_FI_Stand_18_08_2022.xlsx</v>
          </cell>
          <cell r="D525" t="str">
            <v>Ja</v>
          </cell>
        </row>
        <row r="526">
          <cell r="A526" t="str">
            <v>ZFI_BARCO_ERFM</v>
          </cell>
          <cell r="B526" t="str">
            <v>Z-Artefakte_ADAC_Schwerpunkt_FI_Stand_18_08_2022</v>
          </cell>
          <cell r="C526" t="str">
            <v>Z_Artefakte_ADAC_Schwerpunkt_FI_Stand_18_08_2022.xlsx</v>
          </cell>
          <cell r="D526" t="str">
            <v>Ja</v>
          </cell>
        </row>
        <row r="527">
          <cell r="A527" t="str">
            <v>ZFI_BARCO_LOE</v>
          </cell>
          <cell r="B527" t="str">
            <v>Z-Artefakte_ADAC_Schwerpunkt_FI_Stand_18_08_2022</v>
          </cell>
          <cell r="C527" t="str">
            <v>Z_Artefakte_ADAC_Schwerpunkt_FI_Stand_18_08_2022.xlsx</v>
          </cell>
          <cell r="D527" t="str">
            <v>Ja</v>
          </cell>
        </row>
        <row r="528">
          <cell r="A528" t="str">
            <v>ZFI_BARCO_RUECK</v>
          </cell>
          <cell r="B528" t="str">
            <v>Z-Artefakte_ADAC_Schwerpunkt_FI_Stand_18_08_2022</v>
          </cell>
          <cell r="C528" t="str">
            <v>Z_Artefakte_ADAC_Schwerpunkt_FI_Stand_18_08_2022.xlsx</v>
          </cell>
          <cell r="D528" t="str">
            <v>Ja</v>
          </cell>
        </row>
        <row r="529">
          <cell r="A529" t="str">
            <v>ZFI_BARCO_ZUO</v>
          </cell>
          <cell r="B529" t="str">
            <v>Z-Artefakte_ADAC_Schwerpunkt_FI_Stand_18_08_2022</v>
          </cell>
          <cell r="C529" t="str">
            <v>Z_Artefakte_ADAC_Schwerpunkt_FI_Stand_18_08_2022.xlsx</v>
          </cell>
          <cell r="D529" t="str">
            <v>Ja</v>
          </cell>
        </row>
        <row r="530">
          <cell r="A530" t="str">
            <v>ZCL_D_LM_DETERM_POST_DATE</v>
          </cell>
          <cell r="B530" t="str">
            <v>Z-Artefakte_ADAC_Schwerpunkt_FI_Stand_18_08_2022</v>
          </cell>
          <cell r="C530" t="str">
            <v>Z_Artefakte_ADAC_Schwerpunkt_FI_Stand_18_08_2022.xlsx</v>
          </cell>
          <cell r="D530" t="str">
            <v>Ja</v>
          </cell>
        </row>
        <row r="531">
          <cell r="A531" t="str">
            <v>ZFI_ELFE03</v>
          </cell>
          <cell r="B531" t="str">
            <v>Z-Artefakte_ADAC_Schwerpunkt_FI_Stand_18_08_2022</v>
          </cell>
          <cell r="C531" t="str">
            <v>Z_Artefakte_ADAC_Schwerpunkt_FI_Stand_18_08_2022.xlsx</v>
          </cell>
          <cell r="D531" t="str">
            <v>Ja</v>
          </cell>
        </row>
        <row r="532">
          <cell r="A532" t="str">
            <v>ZFI_GAUABR</v>
          </cell>
          <cell r="B532" t="str">
            <v>Z-Artefakte_ADAC_Schwerpunkt_FI_Stand_18_08_2022</v>
          </cell>
          <cell r="C532" t="str">
            <v>Z_Artefakte_ADAC_Schwerpunkt_FI_Stand_18_08_2022.xlsx</v>
          </cell>
          <cell r="D532" t="str">
            <v>Zurückgestellt (ADAM 2.0)</v>
          </cell>
        </row>
        <row r="533">
          <cell r="A533" t="str">
            <v>ZFI_DATEV_RK</v>
          </cell>
          <cell r="B533" t="str">
            <v>Z-Artefakte_ADAC_Schwerpunkt_FI_Stand_18_08_2022</v>
          </cell>
          <cell r="C533" t="str">
            <v>Z_Artefakte_ADAC_Schwerpunkt_FI_Stand_18_08_2022.xlsx</v>
          </cell>
          <cell r="D533" t="str">
            <v>Nein</v>
          </cell>
        </row>
        <row r="534">
          <cell r="A534" t="str">
            <v>ZFI_KRED_EPGGKTO</v>
          </cell>
          <cell r="B534" t="str">
            <v>Z-Artefakte_ADAC_Schwerpunkt_FI_Stand_18_08_2022</v>
          </cell>
          <cell r="C534" t="str">
            <v>Z_Artefakte_ADAC_Schwerpunkt_FI_Stand_18_08_2022.xlsx</v>
          </cell>
          <cell r="D534" t="str">
            <v>Ja</v>
          </cell>
        </row>
        <row r="535">
          <cell r="A535" t="str">
            <v>ZFI_LOGA_REISEKOSTEN</v>
          </cell>
          <cell r="B535" t="str">
            <v>Z-Artefakte_ADAC_Schwerpunkt_FI_Stand_18_08_2022</v>
          </cell>
          <cell r="C535" t="str">
            <v>Z_Artefakte_ADAC_Schwerpunkt_FI_Stand_18_08_2022.xlsx</v>
          </cell>
          <cell r="D535" t="str">
            <v>tbd</v>
          </cell>
        </row>
        <row r="536">
          <cell r="A536" t="str">
            <v>ZFI_AIRP01</v>
          </cell>
          <cell r="B536" t="str">
            <v>Z-Artefakte_ADAC_Schwerpunkt_FI_Stand_18_08_2022</v>
          </cell>
          <cell r="C536" t="str">
            <v>Z_Artefakte_ADAC_Schwerpunkt_FI_Stand_18_08_2022.xlsx</v>
          </cell>
          <cell r="D536" t="str">
            <v>Ja</v>
          </cell>
        </row>
        <row r="537">
          <cell r="A537" t="str">
            <v xml:space="preserve">ZFI_ABZUG_KRED </v>
          </cell>
          <cell r="B537" t="str">
            <v>Z-Artefakte_ADAC_Schwerpunkt_FI_Stand_18_08_2022</v>
          </cell>
          <cell r="C537" t="str">
            <v>Z_Artefakte_ADAC_Schwerpunkt_FI_Stand_18_08_2022.xlsx</v>
          </cell>
          <cell r="D537" t="str">
            <v>Nein</v>
          </cell>
        </row>
        <row r="538">
          <cell r="A538" t="str">
            <v>ZFI_SS_BEGRU</v>
          </cell>
          <cell r="B538" t="str">
            <v>Z-Artefakte_ADAC_Schwerpunkt_FI_Stand_18_08_2022</v>
          </cell>
          <cell r="C538" t="str">
            <v>Z_Artefakte_ADAC_Schwerpunkt_FI_Stand_18_08_2022.xlsx</v>
          </cell>
          <cell r="D538" t="str">
            <v>tbd</v>
          </cell>
        </row>
        <row r="539">
          <cell r="A539" t="str">
            <v>ZFI_SS_FB01</v>
          </cell>
          <cell r="B539" t="str">
            <v>Z-Artefakte_ADAC_Schwerpunkt_FI_Stand_18_08_2022</v>
          </cell>
          <cell r="C539" t="str">
            <v>Z_Artefakte_ADAC_Schwerpunkt_FI_Stand_18_08_2022.xlsx</v>
          </cell>
          <cell r="D539" t="str">
            <v>tbd</v>
          </cell>
        </row>
        <row r="540">
          <cell r="A540" t="str">
            <v>ZFI_SS_FB0100</v>
          </cell>
          <cell r="B540" t="str">
            <v>Z-Artefakte_ADAC_Schwerpunkt_FI_Stand_18_08_2022</v>
          </cell>
          <cell r="C540" t="str">
            <v>Z_Artefakte_ADAC_Schwerpunkt_FI_Stand_18_08_2022.xlsx</v>
          </cell>
          <cell r="D540" t="str">
            <v>tbd</v>
          </cell>
        </row>
        <row r="541">
          <cell r="A541" t="str">
            <v>ZFI_SS_FB0101</v>
          </cell>
          <cell r="B541" t="str">
            <v>Z-Artefakte_ADAC_Schwerpunkt_FI_Stand_18_08_2022</v>
          </cell>
          <cell r="C541" t="str">
            <v>Z_Artefakte_ADAC_Schwerpunkt_FI_Stand_18_08_2022.xlsx</v>
          </cell>
          <cell r="D541" t="str">
            <v>tbd</v>
          </cell>
        </row>
        <row r="542">
          <cell r="A542" t="str">
            <v>ZFI_SS_FB01P2</v>
          </cell>
          <cell r="B542" t="str">
            <v>Z-Artefakte_ADAC_Schwerpunkt_FI_Stand_18_08_2022</v>
          </cell>
          <cell r="C542" t="str">
            <v>Z_Artefakte_ADAC_Schwerpunkt_FI_Stand_18_08_2022.xlsx</v>
          </cell>
          <cell r="D542" t="str">
            <v>tbd</v>
          </cell>
        </row>
        <row r="543">
          <cell r="A543" t="str">
            <v>ZFI_SS_FB01P3</v>
          </cell>
          <cell r="B543" t="str">
            <v>Z-Artefakte_ADAC_Schwerpunkt_FI_Stand_18_08_2022</v>
          </cell>
          <cell r="C543" t="str">
            <v>Z_Artefakte_ADAC_Schwerpunkt_FI_Stand_18_08_2022.xlsx</v>
          </cell>
          <cell r="D543" t="str">
            <v>tbd</v>
          </cell>
        </row>
        <row r="544">
          <cell r="A544" t="str">
            <v>ZFI_SS_FB01PT</v>
          </cell>
          <cell r="B544" t="str">
            <v>Z-Artefakte_ADAC_Schwerpunkt_FI_Stand_18_08_2022</v>
          </cell>
          <cell r="C544" t="str">
            <v>Z_Artefakte_ADAC_Schwerpunkt_FI_Stand_18_08_2022.xlsx</v>
          </cell>
          <cell r="D544" t="str">
            <v>tbd</v>
          </cell>
        </row>
        <row r="545">
          <cell r="A545" t="str">
            <v>ZFI_SS_PRINT_PAR</v>
          </cell>
          <cell r="B545" t="str">
            <v>Z-Artefakte_ADAC_Schwerpunkt_FI_Stand_18_08_2022</v>
          </cell>
          <cell r="C545" t="str">
            <v>Z_Artefakte_ADAC_Schwerpunkt_FI_Stand_18_08_2022.xlsx</v>
          </cell>
          <cell r="D545" t="str">
            <v>tbd</v>
          </cell>
        </row>
        <row r="546">
          <cell r="A546" t="str">
            <v>ZFI_SS_SEPAMAND</v>
          </cell>
          <cell r="B546" t="str">
            <v>Z-Artefakte_ADAC_Schwerpunkt_FI_Stand_18_08_2022</v>
          </cell>
          <cell r="C546" t="str">
            <v>Z_Artefakte_ADAC_Schwerpunkt_FI_Stand_18_08_2022.xlsx</v>
          </cell>
          <cell r="D546" t="str">
            <v>tbd</v>
          </cell>
        </row>
        <row r="547">
          <cell r="A547" t="str">
            <v>ZFI_SS_TSXX01</v>
          </cell>
          <cell r="B547" t="str">
            <v>Z-Artefakte_ADAC_Schwerpunkt_FI_Stand_18_08_2022</v>
          </cell>
          <cell r="C547" t="str">
            <v>Z_Artefakte_ADAC_Schwerpunkt_FI_Stand_18_08_2022.xlsx</v>
          </cell>
          <cell r="D547" t="str">
            <v>tbd</v>
          </cell>
        </row>
        <row r="548">
          <cell r="A548" t="str">
            <v>ZFI_SS_TSXX01</v>
          </cell>
          <cell r="B548" t="str">
            <v>Z-Artefakte_ADAC_Schwerpunkt_FI_Stand_18_08_2022</v>
          </cell>
          <cell r="C548" t="str">
            <v>Z_Artefakte_ADAC_Schwerpunkt_FI_Stand_18_08_2022.xlsx</v>
          </cell>
          <cell r="D548" t="str">
            <v>tbd</v>
          </cell>
        </row>
        <row r="549">
          <cell r="A549" t="str">
            <v>ZFI_EXSCH1</v>
          </cell>
          <cell r="B549" t="str">
            <v>Z-Artefakte_ADAC_Schwerpunkt_FI_Stand_18_08_2022</v>
          </cell>
          <cell r="C549" t="str">
            <v>Z_Artefakte_ADAC_Schwerpunkt_FI_Stand_18_08_2022.xlsx</v>
          </cell>
          <cell r="D549" t="str">
            <v>tbd</v>
          </cell>
        </row>
        <row r="550">
          <cell r="A550" t="str">
            <v>ZFI_LIDE_DOP</v>
          </cell>
          <cell r="B550" t="str">
            <v>Z-Artefakte_ADAC_Schwerpunkt_FI_Stand_18_08_2022</v>
          </cell>
          <cell r="C550" t="str">
            <v>Z_Artefakte_ADAC_Schwerpunkt_FI_Stand_18_08_2022.xlsx</v>
          </cell>
          <cell r="D550" t="str">
            <v>tbd</v>
          </cell>
        </row>
        <row r="551">
          <cell r="A551" t="str">
            <v>ZFI_LZBKZ</v>
          </cell>
          <cell r="B551" t="str">
            <v>Z-Artefakte_ADAC_Schwerpunkt_FI_Stand_18_08_2022</v>
          </cell>
          <cell r="C551" t="str">
            <v>Z_Artefakte_ADAC_Schwerpunkt_FI_Stand_18_08_2022.xlsx</v>
          </cell>
          <cell r="D551" t="str">
            <v>tbd</v>
          </cell>
        </row>
        <row r="552">
          <cell r="A552" t="str">
            <v>ZFI_SS_FX01</v>
          </cell>
          <cell r="B552" t="str">
            <v>Z-Artefakte_ADAC_Schwerpunkt_FI_Stand_18_08_2022</v>
          </cell>
          <cell r="C552" t="str">
            <v>Z_Artefakte_ADAC_Schwerpunkt_FI_Stand_18_08_2022.xlsx</v>
          </cell>
          <cell r="D552" t="str">
            <v>Nein</v>
          </cell>
        </row>
        <row r="553">
          <cell r="A553" t="str">
            <v>ZFI_SYNC_STAMMDATEN</v>
          </cell>
          <cell r="B553" t="str">
            <v>Z-Artefakte_ADAC_Schwerpunkt_FI_Stand_18_08_2022</v>
          </cell>
          <cell r="C553" t="str">
            <v>Z_Artefakte_ADAC_Schwerpunkt_FI_Stand_18_08_2022.xlsx</v>
          </cell>
          <cell r="D553" t="str">
            <v>Nein</v>
          </cell>
        </row>
        <row r="554">
          <cell r="A554" t="str">
            <v>ZFI_ABZUG_DEBI</v>
          </cell>
          <cell r="B554" t="str">
            <v>Z-Artefakte_ADAC_Schwerpunkt_FI_Stand_18_08_2022</v>
          </cell>
          <cell r="C554" t="str">
            <v>Z_Artefakte_ADAC_Schwerpunkt_FI_Stand_18_08_2022.xlsx</v>
          </cell>
          <cell r="D554" t="str">
            <v>Nein</v>
          </cell>
        </row>
        <row r="555">
          <cell r="A555" t="str">
            <v>ZFI_ABZUG_DEBREP</v>
          </cell>
          <cell r="B555" t="str">
            <v>Z-Artefakte_ADAC_Schwerpunkt_FI_Stand_18_08_2022</v>
          </cell>
          <cell r="C555" t="str">
            <v>Z_Artefakte_ADAC_Schwerpunkt_FI_Stand_18_08_2022.xlsx</v>
          </cell>
          <cell r="D555" t="str">
            <v>Nein</v>
          </cell>
        </row>
        <row r="556">
          <cell r="A556" t="str">
            <v>ZFI_DEB_REABT</v>
          </cell>
          <cell r="B556" t="str">
            <v>Z-Artefakte_ADAC_Schwerpunkt_FI_Stand_18_08_2022</v>
          </cell>
          <cell r="C556" t="str">
            <v>Z_Artefakte_ADAC_Schwerpunkt_FI_Stand_18_08_2022.xlsx</v>
          </cell>
          <cell r="D556" t="str">
            <v>tbd</v>
          </cell>
        </row>
        <row r="557">
          <cell r="A557" t="str">
            <v>ZFI_RFKABL00</v>
          </cell>
          <cell r="B557" t="str">
            <v>Z-Artefakte_ADAC_Schwerpunkt_FI_Stand_18_08_2022</v>
          </cell>
          <cell r="C557" t="str">
            <v>Z_Artefakte_ADAC_Schwerpunkt_FI_Stand_18_08_2022.xlsx</v>
          </cell>
          <cell r="D557" t="str">
            <v>Ja</v>
          </cell>
        </row>
        <row r="558">
          <cell r="A558" t="str">
            <v>ZFI_VLSALD</v>
          </cell>
          <cell r="B558" t="str">
            <v>Z-Artefakte_ADAC_Schwerpunkt_FI_Stand_18_08_2022</v>
          </cell>
          <cell r="C558" t="str">
            <v>Z_Artefakte_ADAC_Schwerpunkt_FI_Stand_18_08_2022.xlsx</v>
          </cell>
          <cell r="D558" t="str">
            <v>tbd</v>
          </cell>
        </row>
        <row r="559">
          <cell r="A559" t="str">
            <v>ZFI_LSTXWFPD</v>
          </cell>
          <cell r="B559" t="str">
            <v>Z-Artefakte_ADAC_Schwerpunkt_FI_Stand_18_08_2022</v>
          </cell>
          <cell r="C559" t="str">
            <v>Z_Artefakte_ADAC_Schwerpunkt_FI_Stand_18_08_2022.xlsx</v>
          </cell>
          <cell r="D559" t="str">
            <v>Nein</v>
          </cell>
        </row>
        <row r="560">
          <cell r="A560" t="str">
            <v>ZFI_DATEV_EXP</v>
          </cell>
          <cell r="B560" t="str">
            <v>Z-Artefakte_ADAC_Schwerpunkt_FI_Stand_18_08_2022</v>
          </cell>
          <cell r="C560" t="str">
            <v>Z_Artefakte_ADAC_Schwerpunkt_FI_Stand_18_08_2022.xlsx</v>
          </cell>
          <cell r="D560" t="str">
            <v>tbd</v>
          </cell>
        </row>
        <row r="561">
          <cell r="A561" t="str">
            <v>ZFI_DATEV_IMP</v>
          </cell>
          <cell r="B561" t="str">
            <v>Z-Artefakte_ADAC_Schwerpunkt_FI_Stand_18_08_2022</v>
          </cell>
          <cell r="C561" t="str">
            <v>Z_Artefakte_ADAC_Schwerpunkt_FI_Stand_18_08_2022.xlsx</v>
          </cell>
          <cell r="D561" t="str">
            <v>tbd</v>
          </cell>
        </row>
        <row r="562">
          <cell r="A562" t="str">
            <v>ZFI_DATEV01</v>
          </cell>
          <cell r="B562" t="str">
            <v>Z-Artefakte_ADAC_Schwerpunkt_FI_Stand_18_08_2022</v>
          </cell>
          <cell r="C562" t="str">
            <v>Z_Artefakte_ADAC_Schwerpunkt_FI_Stand_18_08_2022.xlsx</v>
          </cell>
          <cell r="D562" t="str">
            <v>tbd</v>
          </cell>
        </row>
        <row r="563">
          <cell r="A563" t="str">
            <v>ZFI_VORST_AW</v>
          </cell>
          <cell r="B563" t="str">
            <v>Z-Artefakte_ADAC_Schwerpunkt_FI_Stand_18_08_2022</v>
          </cell>
          <cell r="C563" t="str">
            <v>Z_Artefakte_ADAC_Schwerpunkt_FI_Stand_18_08_2022.xlsx</v>
          </cell>
          <cell r="D563" t="str">
            <v>tbd</v>
          </cell>
        </row>
        <row r="564">
          <cell r="A564" t="str">
            <v>ZFI_VORST_UPD_ZFI_M_ZZVKV</v>
          </cell>
          <cell r="B564" t="str">
            <v>Z-Artefakte_ADAC_Schwerpunkt_FI_Stand_18_08_2022</v>
          </cell>
          <cell r="C564" t="str">
            <v>Z_Artefakte_ADAC_Schwerpunkt_FI_Stand_18_08_2022.xlsx</v>
          </cell>
          <cell r="D564" t="str">
            <v>tbd</v>
          </cell>
        </row>
        <row r="565">
          <cell r="A565" t="str">
            <v>ZFI_VORST2</v>
          </cell>
          <cell r="B565" t="str">
            <v>Z-Artefakte_ADAC_Schwerpunkt_FI_Stand_18_08_2022</v>
          </cell>
          <cell r="C565" t="str">
            <v>Z_Artefakte_ADAC_Schwerpunkt_FI_Stand_18_08_2022.xlsx</v>
          </cell>
          <cell r="D565" t="str">
            <v>tbd</v>
          </cell>
        </row>
        <row r="566">
          <cell r="A566" t="str">
            <v>ZFI_VORST3</v>
          </cell>
          <cell r="B566" t="str">
            <v>Z-Artefakte_ADAC_Schwerpunkt_FI_Stand_18_08_2022</v>
          </cell>
          <cell r="C566" t="str">
            <v>Z_Artefakte_ADAC_Schwerpunkt_FI_Stand_18_08_2022.xlsx</v>
          </cell>
          <cell r="D566" t="str">
            <v>tbd</v>
          </cell>
        </row>
        <row r="567">
          <cell r="A567" t="str">
            <v>ZFI_VORST4</v>
          </cell>
          <cell r="B567" t="str">
            <v>Z-Artefakte_ADAC_Schwerpunkt_FI_Stand_18_08_2022</v>
          </cell>
          <cell r="C567" t="str">
            <v>Z_Artefakte_ADAC_Schwerpunkt_FI_Stand_18_08_2022.xlsx</v>
          </cell>
          <cell r="D567" t="str">
            <v>tbd</v>
          </cell>
        </row>
        <row r="568">
          <cell r="A568" t="str">
            <v>ZFI_VSTKOR</v>
          </cell>
          <cell r="B568" t="str">
            <v>Z-Artefakte_ADAC_Schwerpunkt_FI_Stand_18_08_2022</v>
          </cell>
          <cell r="C568" t="str">
            <v>Z_Artefakte_ADAC_Schwerpunkt_FI_Stand_18_08_2022.xlsx</v>
          </cell>
          <cell r="D568" t="str">
            <v>tbd</v>
          </cell>
        </row>
        <row r="569">
          <cell r="A569" t="str">
            <v>ZFI_EXPORT_WP</v>
          </cell>
          <cell r="B569" t="str">
            <v>Z-Artefakte_ADAC_Schwerpunkt_FI_Stand_18_08_2022</v>
          </cell>
          <cell r="C569" t="str">
            <v>Z_Artefakte_ADAC_Schwerpunkt_FI_Stand_18_08_2022.xlsx</v>
          </cell>
          <cell r="D569" t="str">
            <v>tbd</v>
          </cell>
        </row>
        <row r="570">
          <cell r="A570" t="str">
            <v>ZFI_ZAHLLAUF_AUSWERT</v>
          </cell>
          <cell r="B570" t="str">
            <v>Z-Artefakte_ADAC_Schwerpunkt_FI_Stand_18_08_2022</v>
          </cell>
          <cell r="C570" t="str">
            <v>Z_Artefakte_ADAC_Schwerpunkt_FI_Stand_18_08_2022.xlsx</v>
          </cell>
          <cell r="D570" t="str">
            <v>tbd</v>
          </cell>
        </row>
        <row r="571">
          <cell r="A571" t="str">
            <v>ZFI_ZAHLLAUF_BETRAG</v>
          </cell>
          <cell r="B571" t="str">
            <v>Z-Artefakte_ADAC_Schwerpunkt_FI_Stand_18_08_2022</v>
          </cell>
          <cell r="C571" t="str">
            <v>Z_Artefakte_ADAC_Schwerpunkt_FI_Stand_18_08_2022.xlsx</v>
          </cell>
          <cell r="D571" t="str">
            <v>tbd</v>
          </cell>
        </row>
        <row r="572">
          <cell r="A572" t="str">
            <v>ZFI_ZAHLLAUF_SICH</v>
          </cell>
          <cell r="B572" t="str">
            <v>Z-Artefakte_ADAC_Schwerpunkt_FI_Stand_18_08_2022</v>
          </cell>
          <cell r="C572" t="str">
            <v>Z_Artefakte_ADAC_Schwerpunkt_FI_Stand_18_08_2022.xlsx</v>
          </cell>
          <cell r="D572" t="str">
            <v>tbd</v>
          </cell>
        </row>
        <row r="573">
          <cell r="A573" t="str">
            <v>ZFI_ZAHLLAUF_VORSYSTEM</v>
          </cell>
          <cell r="B573" t="str">
            <v>Z-Artefakte_ADAC_Schwerpunkt_FI_Stand_18_08_2022</v>
          </cell>
          <cell r="C573" t="str">
            <v>Z_Artefakte_ADAC_Schwerpunkt_FI_Stand_18_08_2022.xlsx</v>
          </cell>
          <cell r="D573" t="str">
            <v>tbd</v>
          </cell>
        </row>
        <row r="574">
          <cell r="A574" t="str">
            <v>ZFI_ZAHLLAUF_ZUFALL</v>
          </cell>
          <cell r="B574" t="str">
            <v>Z-Artefakte_ADAC_Schwerpunkt_FI_Stand_18_08_2022</v>
          </cell>
          <cell r="C574" t="str">
            <v>Z_Artefakte_ADAC_Schwerpunkt_FI_Stand_18_08_2022.xlsx</v>
          </cell>
          <cell r="D574" t="str">
            <v>Ja</v>
          </cell>
        </row>
        <row r="575">
          <cell r="A575" t="str">
            <v>ZFI_FORMAT_SAM</v>
          </cell>
          <cell r="B575" t="str">
            <v>Z-Artefakte_ADAC_Schwerpunkt_FI_Stand_18_08_2022</v>
          </cell>
          <cell r="C575" t="str">
            <v>Z_Artefakte_ADAC_Schwerpunkt_FI_Stand_18_08_2022.xlsx</v>
          </cell>
          <cell r="D575" t="str">
            <v>Ja (ER)</v>
          </cell>
        </row>
        <row r="576">
          <cell r="A576" t="str">
            <v>ZFI_CTR_ZBEL01</v>
          </cell>
          <cell r="B576" t="str">
            <v>Z-Artefakte_ADAC_Schwerpunkt_FI_Stand_18_08_2022</v>
          </cell>
          <cell r="C576" t="str">
            <v>Z_Artefakte_ADAC_Schwerpunkt_FI_Stand_18_08_2022.xlsx</v>
          </cell>
          <cell r="D576" t="str">
            <v>tbd</v>
          </cell>
        </row>
        <row r="577">
          <cell r="A577" t="str">
            <v>ZFI_SAM_VBR_LISTE</v>
          </cell>
          <cell r="B577" t="str">
            <v>Z-Artefakte_ADAC_Schwerpunkt_FI_Stand_18_08_2022</v>
          </cell>
          <cell r="C577" t="str">
            <v>Z_Artefakte_ADAC_Schwerpunkt_FI_Stand_18_08_2022.xlsx</v>
          </cell>
          <cell r="D577" t="str">
            <v>tbd</v>
          </cell>
        </row>
        <row r="578">
          <cell r="A578" t="str">
            <v>ZFI_AVIS_UPLOAD</v>
          </cell>
          <cell r="B578" t="str">
            <v>Z-Artefakte_ADAC_Schwerpunkt_FI_Stand_18_08_2022</v>
          </cell>
          <cell r="C578" t="str">
            <v>Z_Artefakte_ADAC_Schwerpunkt_FI_Stand_18_08_2022.xlsx</v>
          </cell>
          <cell r="D578" t="str">
            <v>Nein</v>
          </cell>
        </row>
        <row r="579">
          <cell r="A579" t="str">
            <v>ZFI_AVIS_WIEDERHOLUNG</v>
          </cell>
          <cell r="B579" t="str">
            <v>Z-Artefakte_ADAC_Schwerpunkt_FI_Stand_18_08_2022</v>
          </cell>
          <cell r="C579" t="str">
            <v>Z_Artefakte_ADAC_Schwerpunkt_FI_Stand_18_08_2022.xlsx</v>
          </cell>
          <cell r="D579" t="str">
            <v>Nein</v>
          </cell>
        </row>
        <row r="580">
          <cell r="A580" t="str">
            <v>ZFI_AVIS01</v>
          </cell>
          <cell r="B580" t="str">
            <v>Z-Artefakte_ADAC_Schwerpunkt_FI_Stand_18_08_2022</v>
          </cell>
          <cell r="C580" t="str">
            <v>Z_Artefakte_ADAC_Schwerpunkt_FI_Stand_18_08_2022.xlsx</v>
          </cell>
          <cell r="D580" t="str">
            <v>Ja (ER)</v>
          </cell>
        </row>
        <row r="581">
          <cell r="A581" t="str">
            <v>ZFI_CHECK_IBAN2</v>
          </cell>
          <cell r="B581" t="str">
            <v>Z-Artefakte_ADAC_Schwerpunkt_FI_Stand_18_08_2022</v>
          </cell>
          <cell r="C581" t="str">
            <v>Z_Artefakte_ADAC_Schwerpunkt_FI_Stand_18_08_2022.xlsx</v>
          </cell>
          <cell r="D581" t="str">
            <v>Ja (ER)</v>
          </cell>
        </row>
        <row r="582">
          <cell r="A582" t="str">
            <v>ZFI_DEB_ZAHLLAUF_ZUFALL</v>
          </cell>
          <cell r="B582" t="str">
            <v>Z-Artefakte_ADAC_Schwerpunkt_FI_Stand_18_08_2022</v>
          </cell>
          <cell r="C582" t="str">
            <v>Z_Artefakte_ADAC_Schwerpunkt_FI_Stand_18_08_2022.xlsx</v>
          </cell>
          <cell r="D582" t="str">
            <v>Nein</v>
          </cell>
        </row>
        <row r="583">
          <cell r="A583" t="str">
            <v>ZFI_F110_DTA</v>
          </cell>
          <cell r="B583" t="str">
            <v>Z-Artefakte_ADAC_Schwerpunkt_FI_Stand_18_08_2022</v>
          </cell>
          <cell r="C583" t="str">
            <v>Z_Artefakte_ADAC_Schwerpunkt_FI_Stand_18_08_2022.xlsx</v>
          </cell>
          <cell r="D583" t="str">
            <v>tbd</v>
          </cell>
        </row>
        <row r="584">
          <cell r="A584" t="str">
            <v>ZFI_LZBKZ_BELEGE_CHECK</v>
          </cell>
          <cell r="B584" t="str">
            <v>Z-Artefakte_ADAC_Schwerpunkt_FI_Stand_18_08_2022</v>
          </cell>
          <cell r="C584" t="str">
            <v>Z_Artefakte_ADAC_Schwerpunkt_FI_Stand_18_08_2022.xlsx</v>
          </cell>
          <cell r="D584" t="str">
            <v>Ja</v>
          </cell>
        </row>
        <row r="585">
          <cell r="A585" t="str">
            <v>ZFI_SEPA_PRENOTE</v>
          </cell>
          <cell r="B585" t="str">
            <v>Z-Artefakte_ADAC_Schwerpunkt_FI_Stand_18_08_2022</v>
          </cell>
          <cell r="C585" t="str">
            <v>Z_Artefakte_ADAC_Schwerpunkt_FI_Stand_18_08_2022.xlsx</v>
          </cell>
          <cell r="D585" t="str">
            <v>Nein</v>
          </cell>
        </row>
        <row r="586">
          <cell r="A586" t="str">
            <v>ZFI_ZML_CHECK</v>
          </cell>
          <cell r="B586" t="str">
            <v>Z-Artefakte_ADAC_Schwerpunkt_FI_Stand_18_08_2022</v>
          </cell>
          <cell r="C586" t="str">
            <v>Z_Artefakte_ADAC_Schwerpunkt_FI_Stand_18_08_2022.xlsx</v>
          </cell>
          <cell r="D586" t="str">
            <v>Ja (ER)</v>
          </cell>
        </row>
        <row r="587">
          <cell r="A587" t="str">
            <v>ZFI_ZML_COCKPIT</v>
          </cell>
          <cell r="B587" t="str">
            <v>Z-Artefakte_ADAC_Schwerpunkt_FI_Stand_18_08_2022</v>
          </cell>
          <cell r="C587" t="str">
            <v>Z_Artefakte_ADAC_Schwerpunkt_FI_Stand_18_08_2022.xlsx</v>
          </cell>
          <cell r="D587" t="str">
            <v>Ja (ER)</v>
          </cell>
        </row>
        <row r="588">
          <cell r="A588" t="str">
            <v>ZFI_ZML_COPGEN</v>
          </cell>
          <cell r="B588" t="str">
            <v>Z-Artefakte_ADAC_Schwerpunkt_FI_Stand_18_08_2022</v>
          </cell>
          <cell r="C588" t="str">
            <v>Z_Artefakte_ADAC_Schwerpunkt_FI_Stand_18_08_2022.xlsx</v>
          </cell>
          <cell r="D588" t="str">
            <v>Ja (ER)</v>
          </cell>
        </row>
        <row r="589">
          <cell r="A589" t="str">
            <v>ZFI_ZML_DEAKT</v>
          </cell>
          <cell r="B589" t="str">
            <v>Z-Artefakte_ADAC_Schwerpunkt_FI_Stand_18_08_2022</v>
          </cell>
          <cell r="C589" t="str">
            <v>Z_Artefakte_ADAC_Schwerpunkt_FI_Stand_18_08_2022.xlsx</v>
          </cell>
          <cell r="D589" t="str">
            <v>Ja (ER)</v>
          </cell>
        </row>
        <row r="590">
          <cell r="A590" t="str">
            <v>ZFI_ZML_DEL</v>
          </cell>
          <cell r="B590" t="str">
            <v>Z-Artefakte_ADAC_Schwerpunkt_FI_Stand_18_08_2022</v>
          </cell>
          <cell r="C590" t="str">
            <v>Z_Artefakte_ADAC_Schwerpunkt_FI_Stand_18_08_2022.xlsx</v>
          </cell>
          <cell r="D590" t="str">
            <v>Ja (ER)</v>
          </cell>
        </row>
        <row r="591">
          <cell r="A591" t="str">
            <v>ZFI_ZML_FILL</v>
          </cell>
          <cell r="B591" t="str">
            <v>Z-Artefakte_ADAC_Schwerpunkt_FI_Stand_18_08_2022</v>
          </cell>
          <cell r="C591" t="str">
            <v>Z_Artefakte_ADAC_Schwerpunkt_FI_Stand_18_08_2022.xlsx</v>
          </cell>
          <cell r="D591" t="str">
            <v>Ja (ER)</v>
          </cell>
        </row>
        <row r="592">
          <cell r="A592" t="str">
            <v>ZFI_ZML_INIT</v>
          </cell>
          <cell r="B592" t="str">
            <v>Z-Artefakte_ADAC_Schwerpunkt_FI_Stand_18_08_2022</v>
          </cell>
          <cell r="C592" t="str">
            <v>Z_Artefakte_ADAC_Schwerpunkt_FI_Stand_18_08_2022.xlsx</v>
          </cell>
          <cell r="D592" t="str">
            <v>Ja (ER)</v>
          </cell>
        </row>
        <row r="593">
          <cell r="A593" t="str">
            <v>ZFI_ZML_SCHED</v>
          </cell>
          <cell r="B593" t="str">
            <v>Z-Artefakte_ADAC_Schwerpunkt_FI_Stand_18_08_2022</v>
          </cell>
          <cell r="C593" t="str">
            <v>Z_Artefakte_ADAC_Schwerpunkt_FI_Stand_18_08_2022.xlsx</v>
          </cell>
          <cell r="D593" t="str">
            <v>Ja (ER)</v>
          </cell>
        </row>
        <row r="594">
          <cell r="A594" t="str">
            <v>ZCL_FI_ZML_REGELN</v>
          </cell>
          <cell r="B594" t="str">
            <v>Z-Artefakte_ADAC_Schwerpunkt_FI_Stand_18_08_2022</v>
          </cell>
          <cell r="C594" t="str">
            <v>Z_Artefakte_ADAC_Schwerpunkt_FI_Stand_18_08_2022.xlsx</v>
          </cell>
          <cell r="D594" t="str">
            <v>Ja (ER)</v>
          </cell>
        </row>
        <row r="595">
          <cell r="A595" t="str">
            <v>ZFI_DRUCK_CONTAINER</v>
          </cell>
          <cell r="B595" t="str">
            <v>Z-Artefakte_ADAC_Schwerpunkt_FI_Stand_18_08_2022</v>
          </cell>
          <cell r="C595" t="str">
            <v>Z_Artefakte_ADAC_Schwerpunkt_FI_Stand_18_08_2022.xlsx</v>
          </cell>
          <cell r="D595" t="str">
            <v>Ja</v>
          </cell>
        </row>
        <row r="596">
          <cell r="A596" t="str">
            <v xml:space="preserve">zbc_orea_coa   </v>
          </cell>
          <cell r="B596" t="str">
            <v>Z-Artefakte_ADAC_Schwerpunkt_FI_Stand_18_08_2022</v>
          </cell>
          <cell r="C596" t="str">
            <v>Z_Artefakte_ADAC_Schwerpunkt_FI_Stand_18_08_2022.xlsx</v>
          </cell>
          <cell r="D596" t="str">
            <v>Ja</v>
          </cell>
        </row>
        <row r="597">
          <cell r="A597" t="str">
            <v>Zbc_zemarep_get</v>
          </cell>
          <cell r="B597" t="str">
            <v>Z-Artefakte_ADAC_Schwerpunkt_FI_Stand_18_08_2022</v>
          </cell>
          <cell r="C597" t="str">
            <v>Z_Artefakte_ADAC_Schwerpunkt_FI_Stand_18_08_2022.xlsx</v>
          </cell>
          <cell r="D597" t="str">
            <v>Ja</v>
          </cell>
        </row>
        <row r="598">
          <cell r="A598" t="str">
            <v xml:space="preserve">Zbc_zemarep_user </v>
          </cell>
          <cell r="B598" t="str">
            <v>Z-Artefakte_ADAC_Schwerpunkt_FI_Stand_18_08_2022</v>
          </cell>
          <cell r="C598" t="str">
            <v>Z_Artefakte_ADAC_Schwerpunkt_FI_Stand_18_08_2022.xlsx</v>
          </cell>
          <cell r="D598" t="str">
            <v>Ja</v>
          </cell>
        </row>
        <row r="599">
          <cell r="A599" t="str">
            <v>Zbc_zemarep_frgreorg</v>
          </cell>
          <cell r="B599" t="str">
            <v>Z-Artefakte_ADAC_Schwerpunkt_FI_Stand_18_08_2022</v>
          </cell>
          <cell r="C599" t="str">
            <v>Z_Artefakte_ADAC_Schwerpunkt_FI_Stand_18_08_2022.xlsx</v>
          </cell>
          <cell r="D599" t="str">
            <v>Ja</v>
          </cell>
        </row>
        <row r="600">
          <cell r="A600" t="str">
            <v>zbc_zemarep_userchg_reo</v>
          </cell>
          <cell r="B600" t="str">
            <v>Z-Artefakte_ADAC_Schwerpunkt_FI_Stand_18_08_2022</v>
          </cell>
          <cell r="C600" t="str">
            <v>Z_Artefakte_ADAC_Schwerpunkt_FI_Stand_18_08_2022.xlsx</v>
          </cell>
          <cell r="D600" t="str">
            <v>Ja</v>
          </cell>
        </row>
        <row r="601">
          <cell r="A601" t="str">
            <v>zbc_zemarep_userguelt</v>
          </cell>
          <cell r="B601" t="str">
            <v>Z-Artefakte_ADAC_Schwerpunkt_FI_Stand_18_08_2022</v>
          </cell>
          <cell r="C601" t="str">
            <v>Z_Artefakte_ADAC_Schwerpunkt_FI_Stand_18_08_2022.xlsx</v>
          </cell>
          <cell r="D601" t="str">
            <v>Ja</v>
          </cell>
        </row>
        <row r="602">
          <cell r="A602" t="str">
            <v xml:space="preserve">Zco_pruefung_stamm_orga </v>
          </cell>
          <cell r="B602" t="str">
            <v>Z-Artefakte_ADAC_Schwerpunkt_FI_Stand_18_08_2022</v>
          </cell>
          <cell r="C602" t="str">
            <v>Z_Artefakte_ADAC_Schwerpunkt_FI_Stand_18_08_2022.xlsx</v>
          </cell>
          <cell r="D602" t="str">
            <v>Ja</v>
          </cell>
        </row>
        <row r="603">
          <cell r="A603" t="str">
            <v xml:space="preserve">Z_bc_orea_freigeber </v>
          </cell>
          <cell r="B603" t="str">
            <v>Z-Artefakte_ADAC_Schwerpunkt_FI_Stand_18_08_2022</v>
          </cell>
          <cell r="C603" t="str">
            <v>Z_Artefakte_ADAC_Schwerpunkt_FI_Stand_18_08_2022.xlsx</v>
          </cell>
          <cell r="D603" t="str">
            <v>Ja</v>
          </cell>
        </row>
        <row r="604">
          <cell r="A604" t="str">
            <v xml:space="preserve">Zbc_userinaktivierung </v>
          </cell>
          <cell r="B604" t="str">
            <v>Z-Artefakte_ADAC_Schwerpunkt_FI_Stand_18_08_2022</v>
          </cell>
          <cell r="C604" t="str">
            <v>Z_Artefakte_ADAC_Schwerpunkt_FI_Stand_18_08_2022.xlsx</v>
          </cell>
          <cell r="D604" t="str">
            <v>Ja</v>
          </cell>
        </row>
        <row r="605">
          <cell r="A605" t="str">
            <v>ZFI_ANLAGENZUGANG_ATTACH</v>
          </cell>
          <cell r="B605" t="str">
            <v>Z-Artefakte_ADAC_Schwerpunkt_FI_Stand_18_08_2022</v>
          </cell>
          <cell r="C605" t="str">
            <v>Z_Artefakte_ADAC_Schwerpunkt_FI_Stand_18_08_2022.xlsx</v>
          </cell>
          <cell r="D605" t="str">
            <v>tbd</v>
          </cell>
        </row>
        <row r="606">
          <cell r="A606" t="str">
            <v>ZAA_ANLDOC</v>
          </cell>
          <cell r="B606" t="str">
            <v>Z-Artefakte_ADAC_Schwerpunkt_FI_Stand_18_08_2022</v>
          </cell>
          <cell r="C606" t="str">
            <v>Z_Artefakte_ADAC_Schwerpunkt_FI_Stand_18_08_2022.xlsx</v>
          </cell>
          <cell r="D606" t="str">
            <v>tbd</v>
          </cell>
        </row>
        <row r="607">
          <cell r="A607" t="str">
            <v>ZAA_ANLMSG</v>
          </cell>
          <cell r="B607" t="str">
            <v>Z-Artefakte_ADAC_Schwerpunkt_FI_Stand_18_08_2022</v>
          </cell>
          <cell r="C607" t="str">
            <v>Z_Artefakte_ADAC_Schwerpunkt_FI_Stand_18_08_2022.xlsx</v>
          </cell>
          <cell r="D607" t="str">
            <v>tbd</v>
          </cell>
        </row>
        <row r="608">
          <cell r="A608" t="str">
            <v>ZAA_ANLPDF</v>
          </cell>
          <cell r="B608" t="str">
            <v>Z-Artefakte_ADAC_Schwerpunkt_FI_Stand_18_08_2022</v>
          </cell>
          <cell r="C608" t="str">
            <v>Z_Artefakte_ADAC_Schwerpunkt_FI_Stand_18_08_2022.xlsx</v>
          </cell>
          <cell r="D608" t="str">
            <v>tbd</v>
          </cell>
        </row>
        <row r="609">
          <cell r="A609" t="str">
            <v>ZAA_ANLTIF</v>
          </cell>
          <cell r="B609" t="str">
            <v>Z-Artefakte_ADAC_Schwerpunkt_FI_Stand_18_08_2022</v>
          </cell>
          <cell r="C609" t="str">
            <v>Z_Artefakte_ADAC_Schwerpunkt_FI_Stand_18_08_2022.xlsx</v>
          </cell>
          <cell r="D609" t="str">
            <v>tbd</v>
          </cell>
        </row>
        <row r="610">
          <cell r="A610" t="str">
            <v>ZAA_ANLXLS</v>
          </cell>
          <cell r="B610" t="str">
            <v>Z-Artefakte_ADAC_Schwerpunkt_FI_Stand_18_08_2022</v>
          </cell>
          <cell r="C610" t="str">
            <v>Z_Artefakte_ADAC_Schwerpunkt_FI_Stand_18_08_2022.xlsx</v>
          </cell>
          <cell r="D610" t="str">
            <v>tbd</v>
          </cell>
        </row>
        <row r="611">
          <cell r="A611" t="str">
            <v xml:space="preserve">ZFI_Monatsabschluss_Upload </v>
          </cell>
          <cell r="B611" t="str">
            <v>Z-Artefakte_ADAC_Schwerpunkt_FI_Stand_18_08_2022</v>
          </cell>
          <cell r="C611" t="str">
            <v>Z_Artefakte_ADAC_Schwerpunkt_FI_Stand_18_08_2022.xlsx</v>
          </cell>
          <cell r="D611" t="str">
            <v>tbd</v>
          </cell>
        </row>
        <row r="612">
          <cell r="A612" t="str">
            <v>ZSD_LOGM</v>
          </cell>
          <cell r="B612" t="str">
            <v>Eigenentwicklungen SD-MM-RE-Programme</v>
          </cell>
          <cell r="C612" t="str">
            <v>Eigenentwicklungen SD-MM-RE-Programme.xlsx</v>
          </cell>
          <cell r="D612" t="str">
            <v>tbd</v>
          </cell>
        </row>
        <row r="613">
          <cell r="A613" t="str">
            <v>ZSD_LAGKOM</v>
          </cell>
          <cell r="B613" t="str">
            <v>Eigenentwicklungen SD-MM-RE-Programme</v>
          </cell>
          <cell r="C613" t="str">
            <v>Eigenentwicklungen SD-MM-RE-Programme.xlsx</v>
          </cell>
          <cell r="D613" t="str">
            <v>Ja</v>
          </cell>
        </row>
        <row r="614">
          <cell r="A614" t="str">
            <v>ZSD_LAGKOM1</v>
          </cell>
          <cell r="B614" t="str">
            <v>Eigenentwicklungen SD-MM-RE-Programme</v>
          </cell>
          <cell r="C614" t="str">
            <v>Eigenentwicklungen SD-MM-RE-Programme.xlsx</v>
          </cell>
          <cell r="D614" t="str">
            <v>Ja</v>
          </cell>
        </row>
        <row r="615">
          <cell r="A615" t="str">
            <v>ZSD_LAGKOM2</v>
          </cell>
          <cell r="B615" t="str">
            <v>Eigenentwicklungen SD-MM-RE-Programme</v>
          </cell>
          <cell r="C615" t="str">
            <v>Eigenentwicklungen SD-MM-RE-Programme.xlsx</v>
          </cell>
          <cell r="D615" t="str">
            <v>Ja</v>
          </cell>
        </row>
        <row r="616">
          <cell r="A616" t="str">
            <v>ZSD_ZEKEAPC</v>
          </cell>
          <cell r="B616" t="str">
            <v>Eigenentwicklungen SD-MM-RE-Programme</v>
          </cell>
          <cell r="C616" t="str">
            <v>Eigenentwicklungen SD-MM-RE-Programme.xlsx</v>
          </cell>
          <cell r="D616" t="str">
            <v>Ja</v>
          </cell>
        </row>
        <row r="617">
          <cell r="A617" t="str">
            <v>ZSD_WAAGELS</v>
          </cell>
          <cell r="B617" t="str">
            <v>Eigenentwicklungen SD-MM-RE-Programme</v>
          </cell>
          <cell r="C617" t="str">
            <v>Eigenentwicklungen SD-MM-RE-Programme.xlsx</v>
          </cell>
          <cell r="D617" t="str">
            <v>Ja</v>
          </cell>
        </row>
        <row r="618">
          <cell r="A618" t="str">
            <v>Z_SD_VERSAND_KOSTL</v>
          </cell>
          <cell r="B618" t="str">
            <v>Eigenentwicklungen SD-MM-RE-Programme</v>
          </cell>
          <cell r="C618" t="str">
            <v>Eigenentwicklungen SD-MM-RE-Programme.xlsx</v>
          </cell>
          <cell r="D618" t="str">
            <v>Ja</v>
          </cell>
        </row>
        <row r="619">
          <cell r="A619" t="str">
            <v>ZSD_LIEF_EDI_NOERPEL
(vorher: zsd_lief_edi)</v>
          </cell>
          <cell r="B619" t="str">
            <v>Eigenentwicklungen SD-MM-RE-Programme</v>
          </cell>
          <cell r="C619" t="str">
            <v>Eigenentwicklungen SD-MM-RE-Programme.xlsx</v>
          </cell>
          <cell r="D619" t="str">
            <v>Ja</v>
          </cell>
        </row>
        <row r="620">
          <cell r="A620" t="str">
            <v>ZSD_KUNVZ_ZLS</v>
          </cell>
          <cell r="B620" t="str">
            <v>Eigenentwicklungen SD-MM-RE-Programme</v>
          </cell>
          <cell r="C620" t="str">
            <v>Eigenentwicklungen SD-MM-RE-Programme.xlsx</v>
          </cell>
          <cell r="D620" t="str">
            <v>Ja</v>
          </cell>
        </row>
        <row r="621">
          <cell r="A621" t="str">
            <v>ZSD_KUNVZ_DEB</v>
          </cell>
          <cell r="B621" t="str">
            <v>Eigenentwicklungen SD-MM-RE-Programme</v>
          </cell>
          <cell r="C621" t="str">
            <v>Eigenentwicklungen SD-MM-RE-Programme.xlsx</v>
          </cell>
          <cell r="D621" t="str">
            <v>Ja</v>
          </cell>
        </row>
        <row r="622">
          <cell r="A622" t="str">
            <v>ZSD_VD01</v>
          </cell>
          <cell r="B622" t="str">
            <v>Eigenentwicklungen SD-MM-RE-Programme</v>
          </cell>
          <cell r="C622" t="str">
            <v>Eigenentwicklungen SD-MM-RE-Programme.xlsx</v>
          </cell>
          <cell r="D622" t="str">
            <v>Nein</v>
          </cell>
        </row>
        <row r="623">
          <cell r="A623" t="str">
            <v>ZSD_LIEF_WOCHTAG</v>
          </cell>
          <cell r="B623" t="str">
            <v>Eigenentwicklungen SD-MM-RE-Programme</v>
          </cell>
          <cell r="C623" t="str">
            <v>Eigenentwicklungen SD-MM-RE-Programme.xlsx</v>
          </cell>
          <cell r="D623" t="str">
            <v>Ja</v>
          </cell>
        </row>
        <row r="624">
          <cell r="A624" t="str">
            <v>ZSD_NAST</v>
          </cell>
          <cell r="B624" t="str">
            <v>Eigenentwicklungen SD-MM-RE-Programme</v>
          </cell>
          <cell r="C624" t="str">
            <v>Eigenentwicklungen SD-MM-RE-Programme.xlsx</v>
          </cell>
          <cell r="D624" t="str">
            <v>Ja</v>
          </cell>
        </row>
        <row r="625">
          <cell r="A625" t="str">
            <v>ZSD_NAST_MAR</v>
          </cell>
          <cell r="B625" t="str">
            <v>Eigenentwicklungen SD-MM-RE-Programme</v>
          </cell>
          <cell r="C625" t="str">
            <v>Eigenentwicklungen SD-MM-RE-Programme.xlsx</v>
          </cell>
          <cell r="D625" t="str">
            <v>Ja</v>
          </cell>
        </row>
        <row r="626">
          <cell r="A626" t="str">
            <v>ZSD_SPOOL</v>
          </cell>
          <cell r="B626" t="str">
            <v>Eigenentwicklungen SD-MM-RE-Programme</v>
          </cell>
          <cell r="C626" t="str">
            <v>Eigenentwicklungen SD-MM-RE-Programme.xlsx</v>
          </cell>
          <cell r="D626" t="str">
            <v>Ja</v>
          </cell>
        </row>
        <row r="627">
          <cell r="A627" t="str">
            <v>ZSD_NMGKUN</v>
          </cell>
          <cell r="B627" t="str">
            <v>Eigenentwicklungen SD-MM-RE-Programme</v>
          </cell>
          <cell r="C627" t="str">
            <v>Eigenentwicklungen SD-MM-RE-Programme.xlsx</v>
          </cell>
          <cell r="D627" t="str">
            <v>Ja</v>
          </cell>
        </row>
        <row r="628">
          <cell r="A628" t="str">
            <v>ZSD_SHOKAT</v>
          </cell>
          <cell r="B628" t="str">
            <v>Eigenentwicklungen SD-MM-RE-Programme</v>
          </cell>
          <cell r="C628" t="str">
            <v>Eigenentwicklungen SD-MM-RE-Programme.xlsx</v>
          </cell>
          <cell r="D628" t="str">
            <v>Nein</v>
          </cell>
        </row>
        <row r="629">
          <cell r="A629" t="str">
            <v>ZSD_SHOEXP</v>
          </cell>
          <cell r="B629" t="str">
            <v>Eigenentwicklungen SD-MM-RE-Programme</v>
          </cell>
          <cell r="C629" t="str">
            <v>Eigenentwicklungen SD-MM-RE-Programme.xlsx</v>
          </cell>
          <cell r="D629" t="str">
            <v>Ja</v>
          </cell>
        </row>
        <row r="630">
          <cell r="A630" t="str">
            <v>ZSD_SHOEXPSTA</v>
          </cell>
          <cell r="B630" t="str">
            <v>Eigenentwicklungen SD-MM-RE-Programme</v>
          </cell>
          <cell r="C630" t="str">
            <v>Eigenentwicklungen SD-MM-RE-Programme.xlsx</v>
          </cell>
          <cell r="D630" t="str">
            <v>Ja</v>
          </cell>
        </row>
        <row r="631">
          <cell r="A631" t="str">
            <v>ZSD_SHOIMP</v>
          </cell>
          <cell r="B631" t="str">
            <v>Eigenentwicklungen SD-MM-RE-Programme</v>
          </cell>
          <cell r="C631" t="str">
            <v>Eigenentwicklungen SD-MM-RE-Programme.xlsx</v>
          </cell>
          <cell r="D631" t="str">
            <v>Ja</v>
          </cell>
        </row>
        <row r="632">
          <cell r="A632" t="str">
            <v>ZSD_AUFRUE</v>
          </cell>
          <cell r="B632" t="str">
            <v>Eigenentwicklungen SD-MM-RE-Programme</v>
          </cell>
          <cell r="C632" t="str">
            <v>Eigenentwicklungen SD-MM-RE-Programme.xlsx</v>
          </cell>
          <cell r="D632" t="str">
            <v>Ja</v>
          </cell>
        </row>
        <row r="633">
          <cell r="A633" t="str">
            <v>ZSD_BESTAND_COPY</v>
          </cell>
          <cell r="B633" t="str">
            <v>Eigenentwicklungen SD-MM-RE-Programme</v>
          </cell>
          <cell r="C633" t="str">
            <v>Eigenentwicklungen SD-MM-RE-Programme.xlsx</v>
          </cell>
          <cell r="D633" t="str">
            <v>Nein</v>
          </cell>
        </row>
        <row r="634">
          <cell r="A634" t="str">
            <v>ZSD_KONDITION_COPY</v>
          </cell>
          <cell r="B634" t="str">
            <v>Eigenentwicklungen SD-MM-RE-Programme</v>
          </cell>
          <cell r="C634" t="str">
            <v>Eigenentwicklungen SD-MM-RE-Programme.xlsx</v>
          </cell>
          <cell r="D634" t="str">
            <v>Nein</v>
          </cell>
        </row>
        <row r="635">
          <cell r="A635" t="str">
            <v>ZSD_VSTM</v>
          </cell>
          <cell r="B635" t="str">
            <v>Eigenentwicklungen SD-MM-RE-Programme</v>
          </cell>
          <cell r="C635" t="str">
            <v>Eigenentwicklungen SD-MM-RE-Programme.xlsx</v>
          </cell>
          <cell r="D635" t="str">
            <v>tbd</v>
          </cell>
        </row>
        <row r="636">
          <cell r="A636" t="str">
            <v>ZSD_VST_MENUE_ALV</v>
          </cell>
          <cell r="B636" t="str">
            <v>Eigenentwicklungen SD-MM-RE-Programme</v>
          </cell>
          <cell r="C636" t="str">
            <v>Eigenentwicklungen SD-MM-RE-Programme.xlsx</v>
          </cell>
          <cell r="D636" t="str">
            <v>tbd</v>
          </cell>
        </row>
        <row r="637">
          <cell r="A637" t="str">
            <v>ZMM_VST_WE</v>
          </cell>
          <cell r="B637" t="str">
            <v>Eigenentwicklungen SD-MM-RE-Programme</v>
          </cell>
          <cell r="C637" t="str">
            <v>Eigenentwicklungen SD-MM-RE-Programme.xlsx</v>
          </cell>
          <cell r="D637" t="str">
            <v>tbd</v>
          </cell>
        </row>
        <row r="638">
          <cell r="A638" t="str">
            <v>ZSD_VSTEA</v>
          </cell>
          <cell r="B638" t="str">
            <v>Eigenentwicklungen SD-MM-RE-Programme</v>
          </cell>
          <cell r="C638" t="str">
            <v>Eigenentwicklungen SD-MM-RE-Programme.xlsx</v>
          </cell>
          <cell r="D638" t="str">
            <v>Ja</v>
          </cell>
        </row>
        <row r="639">
          <cell r="A639" t="str">
            <v>ZSD_VSTABR</v>
          </cell>
          <cell r="B639" t="str">
            <v>Eigenentwicklungen SD-MM-RE-Programme</v>
          </cell>
          <cell r="C639" t="str">
            <v>Eigenentwicklungen SD-MM-RE-Programme.xlsx</v>
          </cell>
          <cell r="D639" t="str">
            <v>Ja</v>
          </cell>
        </row>
        <row r="640">
          <cell r="A640" t="str">
            <v>ZSD_SHOP_STAT</v>
          </cell>
          <cell r="B640" t="str">
            <v>Eigenentwicklungen SD-MM-RE-Programme</v>
          </cell>
          <cell r="C640" t="str">
            <v>Eigenentwicklungen SD-MM-RE-Programme.xlsx</v>
          </cell>
          <cell r="D640" t="str">
            <v>Ja</v>
          </cell>
        </row>
        <row r="641">
          <cell r="A641" t="str">
            <v>ZSD_TOURSET_REICHW</v>
          </cell>
          <cell r="B641" t="str">
            <v>Eigenentwicklungen SD-MM-RE-Programme</v>
          </cell>
          <cell r="C641" t="str">
            <v>Eigenentwicklungen SD-MM-RE-Programme.xlsx</v>
          </cell>
          <cell r="D641" t="str">
            <v>Ja</v>
          </cell>
        </row>
        <row r="642">
          <cell r="A642" t="str">
            <v>ZSD_TOURSET_BI</v>
          </cell>
          <cell r="B642" t="str">
            <v>Eigenentwicklungen SD-MM-RE-Programme</v>
          </cell>
          <cell r="C642" t="str">
            <v>Eigenentwicklungen SD-MM-RE-Programme.xlsx</v>
          </cell>
          <cell r="D642" t="str">
            <v>tbd</v>
          </cell>
        </row>
        <row r="643">
          <cell r="A643" t="str">
            <v>ZMM_BESTA_RTL</v>
          </cell>
          <cell r="B643" t="str">
            <v>Eigenentwicklungen SD-MM-RE-Programme</v>
          </cell>
          <cell r="C643" t="str">
            <v>Eigenentwicklungen SD-MM-RE-Programme.xlsx</v>
          </cell>
          <cell r="D643" t="str">
            <v>Ja</v>
          </cell>
        </row>
        <row r="644">
          <cell r="A644" t="str">
            <v>ZSD_TOL0</v>
          </cell>
          <cell r="B644" t="str">
            <v>Eigenentwicklungen SD-MM-RE-Programme</v>
          </cell>
          <cell r="C644" t="str">
            <v>Eigenentwicklungen SD-MM-RE-Programme.xlsx</v>
          </cell>
          <cell r="D644" t="str">
            <v>Ja</v>
          </cell>
        </row>
        <row r="645">
          <cell r="A645" t="str">
            <v>ZSD_TOLA00</v>
          </cell>
          <cell r="B645" t="str">
            <v>Eigenentwicklungen SD-MM-RE-Programme</v>
          </cell>
          <cell r="C645" t="str">
            <v>Eigenentwicklungen SD-MM-RE-Programme.xlsx</v>
          </cell>
          <cell r="D645" t="str">
            <v>Ja</v>
          </cell>
        </row>
        <row r="646">
          <cell r="A646" t="str">
            <v>ZSD_TOLA05</v>
          </cell>
          <cell r="B646" t="str">
            <v>Eigenentwicklungen SD-MM-RE-Programme</v>
          </cell>
          <cell r="C646" t="str">
            <v>Eigenentwicklungen SD-MM-RE-Programme.xlsx</v>
          </cell>
          <cell r="D646" t="str">
            <v>Ja</v>
          </cell>
        </row>
        <row r="647">
          <cell r="A647" t="str">
            <v>ZSD_TOLA20</v>
          </cell>
          <cell r="B647" t="str">
            <v>Eigenentwicklungen SD-MM-RE-Programme</v>
          </cell>
          <cell r="C647" t="str">
            <v>Eigenentwicklungen SD-MM-RE-Programme.xlsx</v>
          </cell>
          <cell r="D647" t="str">
            <v>Ja</v>
          </cell>
        </row>
        <row r="648">
          <cell r="A648" t="str">
            <v>ZSD_TOLA25</v>
          </cell>
          <cell r="B648" t="str">
            <v>Eigenentwicklungen SD-MM-RE-Programme</v>
          </cell>
          <cell r="C648" t="str">
            <v>Eigenentwicklungen SD-MM-RE-Programme.xlsx</v>
          </cell>
          <cell r="D648" t="str">
            <v>Ja</v>
          </cell>
        </row>
        <row r="649">
          <cell r="A649" t="str">
            <v>ZSD_TOLA30</v>
          </cell>
          <cell r="B649" t="str">
            <v>Eigenentwicklungen SD-MM-RE-Programme</v>
          </cell>
          <cell r="C649" t="str">
            <v>Eigenentwicklungen SD-MM-RE-Programme.xlsx</v>
          </cell>
          <cell r="D649" t="str">
            <v>Ja</v>
          </cell>
        </row>
        <row r="650">
          <cell r="A650" t="str">
            <v>ZSD_TOLA35</v>
          </cell>
          <cell r="B650" t="str">
            <v>Eigenentwicklungen SD-MM-RE-Programme</v>
          </cell>
          <cell r="C650" t="str">
            <v>Eigenentwicklungen SD-MM-RE-Programme.xlsx</v>
          </cell>
          <cell r="D650" t="str">
            <v>Ja</v>
          </cell>
        </row>
        <row r="651">
          <cell r="A651" t="str">
            <v>ZSD_TOLA40</v>
          </cell>
          <cell r="B651" t="str">
            <v>Eigenentwicklungen SD-MM-RE-Programme</v>
          </cell>
          <cell r="C651" t="str">
            <v>Eigenentwicklungen SD-MM-RE-Programme.xlsx</v>
          </cell>
          <cell r="D651" t="str">
            <v>Ja</v>
          </cell>
        </row>
        <row r="652">
          <cell r="A652" t="str">
            <v>ZSD_TOLA41</v>
          </cell>
          <cell r="B652" t="str">
            <v>Eigenentwicklungen SD-MM-RE-Programme</v>
          </cell>
          <cell r="C652" t="str">
            <v>Eigenentwicklungen SD-MM-RE-Programme.xlsx</v>
          </cell>
          <cell r="D652" t="str">
            <v>Ja</v>
          </cell>
        </row>
        <row r="653">
          <cell r="A653" t="str">
            <v>ZSD_TOLA42</v>
          </cell>
          <cell r="B653" t="str">
            <v>Eigenentwicklungen SD-MM-RE-Programme</v>
          </cell>
          <cell r="C653" t="str">
            <v>Eigenentwicklungen SD-MM-RE-Programme.xlsx</v>
          </cell>
          <cell r="D653" t="str">
            <v>Ja</v>
          </cell>
        </row>
        <row r="654">
          <cell r="A654" t="str">
            <v>ZSD_TOLA43</v>
          </cell>
          <cell r="B654" t="str">
            <v>Eigenentwicklungen SD-MM-RE-Programme</v>
          </cell>
          <cell r="C654" t="str">
            <v>Eigenentwicklungen SD-MM-RE-Programme.xlsx</v>
          </cell>
          <cell r="D654" t="str">
            <v>Ja</v>
          </cell>
        </row>
        <row r="655">
          <cell r="A655" t="str">
            <v>ZSD_TOLA44</v>
          </cell>
          <cell r="B655" t="str">
            <v>Eigenentwicklungen SD-MM-RE-Programme</v>
          </cell>
          <cell r="C655" t="str">
            <v>Eigenentwicklungen SD-MM-RE-Programme.xlsx</v>
          </cell>
          <cell r="D655" t="str">
            <v>Ja</v>
          </cell>
        </row>
        <row r="656">
          <cell r="A656" t="str">
            <v>ZSD_TOLA45</v>
          </cell>
          <cell r="B656" t="str">
            <v>Eigenentwicklungen SD-MM-RE-Programme</v>
          </cell>
          <cell r="C656" t="str">
            <v>Eigenentwicklungen SD-MM-RE-Programme.xlsx</v>
          </cell>
          <cell r="D656" t="str">
            <v>Ja</v>
          </cell>
        </row>
        <row r="657">
          <cell r="A657" t="str">
            <v>ZSD_TOLA46</v>
          </cell>
          <cell r="B657" t="str">
            <v>Eigenentwicklungen SD-MM-RE-Programme</v>
          </cell>
          <cell r="C657" t="str">
            <v>Eigenentwicklungen SD-MM-RE-Programme.xlsx</v>
          </cell>
          <cell r="D657" t="str">
            <v>tbd</v>
          </cell>
        </row>
        <row r="658">
          <cell r="A658" t="str">
            <v>ZSD_TOLA48</v>
          </cell>
          <cell r="B658" t="str">
            <v>Eigenentwicklungen SD-MM-RE-Programme</v>
          </cell>
          <cell r="C658" t="str">
            <v>Eigenentwicklungen SD-MM-RE-Programme.xlsx</v>
          </cell>
          <cell r="D658" t="str">
            <v>Ja</v>
          </cell>
        </row>
        <row r="659">
          <cell r="A659" t="str">
            <v>ZSD_TOLA50</v>
          </cell>
          <cell r="B659" t="str">
            <v>Eigenentwicklungen SD-MM-RE-Programme</v>
          </cell>
          <cell r="C659" t="str">
            <v>Eigenentwicklungen SD-MM-RE-Programme.xlsx</v>
          </cell>
          <cell r="D659" t="str">
            <v>tbd</v>
          </cell>
        </row>
        <row r="660">
          <cell r="A660" t="str">
            <v>ZSD_TOLA60</v>
          </cell>
          <cell r="B660" t="str">
            <v>Eigenentwicklungen SD-MM-RE-Programme</v>
          </cell>
          <cell r="C660" t="str">
            <v>Eigenentwicklungen SD-MM-RE-Programme.xlsx</v>
          </cell>
          <cell r="D660" t="str">
            <v>Ja</v>
          </cell>
        </row>
        <row r="661">
          <cell r="A661" t="str">
            <v>ZSD_TOLA65</v>
          </cell>
          <cell r="B661" t="str">
            <v>Eigenentwicklungen SD-MM-RE-Programme</v>
          </cell>
          <cell r="C661" t="str">
            <v>Eigenentwicklungen SD-MM-RE-Programme.xlsx</v>
          </cell>
          <cell r="D661" t="str">
            <v>Ja</v>
          </cell>
        </row>
        <row r="662">
          <cell r="A662" t="str">
            <v>ZSD_TOLA70</v>
          </cell>
          <cell r="B662" t="str">
            <v>Eigenentwicklungen SD-MM-RE-Programme</v>
          </cell>
          <cell r="C662" t="str">
            <v>Eigenentwicklungen SD-MM-RE-Programme.xlsx</v>
          </cell>
          <cell r="D662" t="str">
            <v>Ja</v>
          </cell>
        </row>
        <row r="663">
          <cell r="A663" t="str">
            <v>ZSD_TOLA71</v>
          </cell>
          <cell r="B663" t="str">
            <v>Eigenentwicklungen SD-MM-RE-Programme</v>
          </cell>
          <cell r="C663" t="str">
            <v>Eigenentwicklungen SD-MM-RE-Programme.xlsx</v>
          </cell>
          <cell r="D663" t="str">
            <v>tbd</v>
          </cell>
        </row>
        <row r="664">
          <cell r="A664" t="str">
            <v>ZSD_TOLA77</v>
          </cell>
          <cell r="B664" t="str">
            <v>Eigenentwicklungen SD-MM-RE-Programme</v>
          </cell>
          <cell r="C664" t="str">
            <v>Eigenentwicklungen SD-MM-RE-Programme.xlsx</v>
          </cell>
          <cell r="D664" t="str">
            <v>Ja</v>
          </cell>
        </row>
        <row r="665">
          <cell r="A665" t="str">
            <v>ZSD_TOL_PROV_LIF_SYNC</v>
          </cell>
          <cell r="B665" t="str">
            <v>Eigenentwicklungen SD-MM-RE-Programme</v>
          </cell>
          <cell r="C665" t="str">
            <v>Eigenentwicklungen SD-MM-RE-Programme.xlsx</v>
          </cell>
          <cell r="D665" t="str">
            <v>tbd</v>
          </cell>
        </row>
        <row r="666">
          <cell r="A666" t="str">
            <v>ZSD_TOL4</v>
          </cell>
          <cell r="B666" t="str">
            <v>Eigenentwicklungen SD-MM-RE-Programme</v>
          </cell>
          <cell r="C666" t="str">
            <v>Eigenentwicklungen SD-MM-RE-Programme.xlsx</v>
          </cell>
          <cell r="D666" t="str">
            <v>tbd</v>
          </cell>
        </row>
        <row r="667">
          <cell r="A667" t="str">
            <v>ZSD_TOLA90</v>
          </cell>
          <cell r="B667" t="str">
            <v>Eigenentwicklungen SD-MM-RE-Programme</v>
          </cell>
          <cell r="C667" t="str">
            <v>Eigenentwicklungen SD-MM-RE-Programme.xlsx</v>
          </cell>
          <cell r="D667" t="str">
            <v>tbd</v>
          </cell>
        </row>
        <row r="668">
          <cell r="A668" t="str">
            <v>ZSD_TOLA95</v>
          </cell>
          <cell r="B668" t="str">
            <v>Eigenentwicklungen SD-MM-RE-Programme</v>
          </cell>
          <cell r="C668" t="str">
            <v>Eigenentwicklungen SD-MM-RE-Programme.xlsx</v>
          </cell>
          <cell r="D668" t="str">
            <v>Ja</v>
          </cell>
        </row>
        <row r="669">
          <cell r="A669" t="str">
            <v>ZSD_TOLA_BI</v>
          </cell>
          <cell r="B669" t="str">
            <v>Eigenentwicklungen SD-MM-RE-Programme</v>
          </cell>
          <cell r="C669" t="str">
            <v>Eigenentwicklungen SD-MM-RE-Programme.xlsx</v>
          </cell>
          <cell r="D669" t="str">
            <v>tbd</v>
          </cell>
        </row>
        <row r="670">
          <cell r="A670" t="str">
            <v>ZSD_SN0</v>
          </cell>
          <cell r="B670" t="str">
            <v>Eigenentwicklungen SD-MM-RE-Programme</v>
          </cell>
          <cell r="C670" t="str">
            <v>Eigenentwicklungen SD-MM-RE-Programme.xlsx</v>
          </cell>
          <cell r="D670" t="str">
            <v>tbd</v>
          </cell>
        </row>
        <row r="671">
          <cell r="A671" t="str">
            <v>ZSD_SNLF</v>
          </cell>
          <cell r="B671" t="str">
            <v>Eigenentwicklungen SD-MM-RE-Programme</v>
          </cell>
          <cell r="C671" t="str">
            <v>Eigenentwicklungen SD-MM-RE-Programme.xlsx</v>
          </cell>
          <cell r="D671" t="str">
            <v>Ja</v>
          </cell>
        </row>
        <row r="672">
          <cell r="A672" t="str">
            <v>ZSD_SNRA</v>
          </cell>
          <cell r="B672" t="str">
            <v>Eigenentwicklungen SD-MM-RE-Programme</v>
          </cell>
          <cell r="C672" t="str">
            <v>Eigenentwicklungen SD-MM-RE-Programme.xlsx</v>
          </cell>
          <cell r="D672" t="str">
            <v>Ja</v>
          </cell>
        </row>
        <row r="673">
          <cell r="A673" t="str">
            <v>ZSD_SNRE</v>
          </cell>
          <cell r="B673" t="str">
            <v>Eigenentwicklungen SD-MM-RE-Programme</v>
          </cell>
          <cell r="C673" t="str">
            <v>Eigenentwicklungen SD-MM-RE-Programme.xlsx</v>
          </cell>
          <cell r="D673" t="str">
            <v>Ja</v>
          </cell>
        </row>
        <row r="674">
          <cell r="A674" t="str">
            <v>ZSD_SNUM</v>
          </cell>
          <cell r="B674" t="str">
            <v>Eigenentwicklungen SD-MM-RE-Programme</v>
          </cell>
          <cell r="C674" t="str">
            <v>Eigenentwicklungen SD-MM-RE-Programme.xlsx</v>
          </cell>
          <cell r="D674" t="str">
            <v>tbd</v>
          </cell>
        </row>
        <row r="675">
          <cell r="A675" t="str">
            <v>ZSD_SNWA</v>
          </cell>
          <cell r="B675" t="str">
            <v>Eigenentwicklungen SD-MM-RE-Programme</v>
          </cell>
          <cell r="C675" t="str">
            <v>Eigenentwicklungen SD-MM-RE-Programme.xlsx</v>
          </cell>
          <cell r="D675" t="str">
            <v>Ja</v>
          </cell>
        </row>
        <row r="676">
          <cell r="A676" t="str">
            <v>ZSD_SNWE</v>
          </cell>
          <cell r="B676" t="str">
            <v>Eigenentwicklungen SD-MM-RE-Programme</v>
          </cell>
          <cell r="C676" t="str">
            <v>Eigenentwicklungen SD-MM-RE-Programme.xlsx</v>
          </cell>
          <cell r="D676" t="str">
            <v>Ja</v>
          </cell>
        </row>
        <row r="677">
          <cell r="A677" t="str">
            <v>ZSD_SERN</v>
          </cell>
          <cell r="B677" t="str">
            <v>Eigenentwicklungen SD-MM-RE-Programme</v>
          </cell>
          <cell r="C677" t="str">
            <v>Eigenentwicklungen SD-MM-RE-Programme.xlsx</v>
          </cell>
          <cell r="D677" t="str">
            <v>Ja</v>
          </cell>
        </row>
        <row r="678">
          <cell r="A678" t="str">
            <v>ZSD_SNRG</v>
          </cell>
          <cell r="B678" t="str">
            <v>Eigenentwicklungen SD-MM-RE-Programme</v>
          </cell>
          <cell r="C678" t="str">
            <v>Eigenentwicklungen SD-MM-RE-Programme.xlsx</v>
          </cell>
          <cell r="D678" t="str">
            <v>tbd</v>
          </cell>
        </row>
        <row r="679">
          <cell r="A679" t="str">
            <v>ZSD_SNVS</v>
          </cell>
          <cell r="B679" t="str">
            <v>Eigenentwicklungen SD-MM-RE-Programme</v>
          </cell>
          <cell r="C679" t="str">
            <v>Eigenentwicklungen SD-MM-RE-Programme.xlsx</v>
          </cell>
          <cell r="D679" t="str">
            <v>Ja</v>
          </cell>
        </row>
        <row r="680">
          <cell r="A680" t="str">
            <v>ZSD_SERNBU</v>
          </cell>
          <cell r="B680" t="str">
            <v>Eigenentwicklungen SD-MM-RE-Programme</v>
          </cell>
          <cell r="C680" t="str">
            <v>Eigenentwicklungen SD-MM-RE-Programme.xlsx</v>
          </cell>
          <cell r="D680" t="str">
            <v>Ja</v>
          </cell>
        </row>
        <row r="681">
          <cell r="A681" t="str">
            <v>ZSD_SNBU</v>
          </cell>
          <cell r="B681" t="str">
            <v>Eigenentwicklungen SD-MM-RE-Programme</v>
          </cell>
          <cell r="C681" t="str">
            <v>Eigenentwicklungen SD-MM-RE-Programme.xlsx</v>
          </cell>
          <cell r="D681" t="str">
            <v>Ja</v>
          </cell>
        </row>
        <row r="682">
          <cell r="A682" t="str">
            <v>ZSD_SERN_IMPORT</v>
          </cell>
          <cell r="B682" t="str">
            <v>Eigenentwicklungen SD-MM-RE-Programme</v>
          </cell>
          <cell r="C682" t="str">
            <v>Eigenentwicklungen SD-MM-RE-Programme.xlsx</v>
          </cell>
          <cell r="D682" t="str">
            <v>tbd</v>
          </cell>
        </row>
        <row r="683">
          <cell r="A683" t="str">
            <v>ZSD_LRG0</v>
          </cell>
          <cell r="B683" t="str">
            <v>Eigenentwicklungen SD-MM-RE-Programme</v>
          </cell>
          <cell r="C683" t="str">
            <v>Eigenentwicklungen SD-MM-RE-Programme.xlsx</v>
          </cell>
          <cell r="D683" t="str">
            <v>tbd</v>
          </cell>
        </row>
        <row r="684">
          <cell r="A684" t="str">
            <v>ZSD_LRG_DF01</v>
          </cell>
          <cell r="B684" t="str">
            <v>Eigenentwicklungen SD-MM-RE-Programme</v>
          </cell>
          <cell r="C684" t="str">
            <v>Eigenentwicklungen SD-MM-RE-Programme.xlsx</v>
          </cell>
          <cell r="D684" t="str">
            <v>Ja</v>
          </cell>
        </row>
        <row r="685">
          <cell r="A685" t="str">
            <v>ZSD_LRG_DFUE_CK</v>
          </cell>
          <cell r="B685" t="str">
            <v>Eigenentwicklungen SD-MM-RE-Programme</v>
          </cell>
          <cell r="C685" t="str">
            <v>Eigenentwicklungen SD-MM-RE-Programme.xlsx</v>
          </cell>
          <cell r="D685" t="str">
            <v>tbd</v>
          </cell>
        </row>
        <row r="686">
          <cell r="A686" t="str">
            <v>ZSD_LRGA</v>
          </cell>
          <cell r="B686" t="str">
            <v>Eigenentwicklungen SD-MM-RE-Programme</v>
          </cell>
          <cell r="C686" t="str">
            <v>Eigenentwicklungen SD-MM-RE-Programme.xlsx</v>
          </cell>
          <cell r="D686" t="str">
            <v>Ja</v>
          </cell>
        </row>
        <row r="687">
          <cell r="A687" t="str">
            <v>ZSD_LRGR</v>
          </cell>
          <cell r="B687" t="str">
            <v>Eigenentwicklungen SD-MM-RE-Programme</v>
          </cell>
          <cell r="C687" t="str">
            <v>Eigenentwicklungen SD-MM-RE-Programme.xlsx</v>
          </cell>
          <cell r="D687" t="str">
            <v>Ja</v>
          </cell>
        </row>
        <row r="688">
          <cell r="A688" t="str">
            <v>ZSD_LRG</v>
          </cell>
          <cell r="B688" t="str">
            <v>Eigenentwicklungen SD-MM-RE-Programme</v>
          </cell>
          <cell r="C688" t="str">
            <v>Eigenentwicklungen SD-MM-RE-Programme.xlsx</v>
          </cell>
          <cell r="D688" t="str">
            <v>Ja</v>
          </cell>
        </row>
        <row r="689">
          <cell r="A689" t="str">
            <v>ZSD_LRGE</v>
          </cell>
          <cell r="B689" t="str">
            <v>Eigenentwicklungen SD-MM-RE-Programme</v>
          </cell>
          <cell r="C689" t="str">
            <v>Eigenentwicklungen SD-MM-RE-Programme.xlsx</v>
          </cell>
          <cell r="D689" t="str">
            <v>Ja</v>
          </cell>
        </row>
        <row r="690">
          <cell r="A690" t="str">
            <v>ZSD_LRGF</v>
          </cell>
          <cell r="B690" t="str">
            <v>Eigenentwicklungen SD-MM-RE-Programme</v>
          </cell>
          <cell r="C690" t="str">
            <v>Eigenentwicklungen SD-MM-RE-Programme.xlsx</v>
          </cell>
          <cell r="D690" t="str">
            <v>Ja</v>
          </cell>
        </row>
        <row r="691">
          <cell r="A691" t="str">
            <v>ZSD_LRGK</v>
          </cell>
          <cell r="B691" t="str">
            <v>Eigenentwicklungen SD-MM-RE-Programme</v>
          </cell>
          <cell r="C691" t="str">
            <v>Eigenentwicklungen SD-MM-RE-Programme.xlsx</v>
          </cell>
          <cell r="D691" t="str">
            <v>Ja</v>
          </cell>
        </row>
        <row r="692">
          <cell r="A692" t="str">
            <v>ZSD_LRGL</v>
          </cell>
          <cell r="B692" t="str">
            <v>Eigenentwicklungen SD-MM-RE-Programme</v>
          </cell>
          <cell r="C692" t="str">
            <v>Eigenentwicklungen SD-MM-RE-Programme.xlsx</v>
          </cell>
          <cell r="D692" t="str">
            <v>Ja</v>
          </cell>
        </row>
        <row r="693">
          <cell r="A693" t="str">
            <v>ZSD_LRGN</v>
          </cell>
          <cell r="B693" t="str">
            <v>Eigenentwicklungen SD-MM-RE-Programme</v>
          </cell>
          <cell r="C693" t="str">
            <v>Eigenentwicklungen SD-MM-RE-Programme.xlsx</v>
          </cell>
          <cell r="D693" t="str">
            <v>Ja</v>
          </cell>
        </row>
        <row r="694">
          <cell r="A694" t="str">
            <v>ZSD_LRGP</v>
          </cell>
          <cell r="B694" t="str">
            <v>Eigenentwicklungen SD-MM-RE-Programme</v>
          </cell>
          <cell r="C694" t="str">
            <v>Eigenentwicklungen SD-MM-RE-Programme.xlsx</v>
          </cell>
          <cell r="D694" t="str">
            <v>Ja</v>
          </cell>
        </row>
        <row r="695">
          <cell r="A695" t="str">
            <v>ZSD_LRGS</v>
          </cell>
          <cell r="B695" t="str">
            <v>Eigenentwicklungen SD-MM-RE-Programme</v>
          </cell>
          <cell r="C695" t="str">
            <v>Eigenentwicklungen SD-MM-RE-Programme.xlsx</v>
          </cell>
          <cell r="D695" t="str">
            <v>Ja</v>
          </cell>
        </row>
        <row r="696">
          <cell r="A696" t="str">
            <v>ZSD_LRG_OP</v>
          </cell>
          <cell r="B696" t="str">
            <v>Eigenentwicklungen SD-MM-RE-Programme</v>
          </cell>
          <cell r="C696" t="str">
            <v>Eigenentwicklungen SD-MM-RE-Programme.xlsx</v>
          </cell>
          <cell r="D696" t="str">
            <v>tbd</v>
          </cell>
        </row>
        <row r="697">
          <cell r="A697" t="str">
            <v>ZSD_LRG_KORR_VBELN2</v>
          </cell>
          <cell r="B697" t="str">
            <v>Eigenentwicklungen SD-MM-RE-Programme</v>
          </cell>
          <cell r="C697" t="str">
            <v>Eigenentwicklungen SD-MM-RE-Programme.xlsx</v>
          </cell>
          <cell r="D697" t="str">
            <v>tbd</v>
          </cell>
        </row>
        <row r="698">
          <cell r="A698" t="str">
            <v>ZSD_LRG_KASSEN_DAV_AUSWERTUNG</v>
          </cell>
          <cell r="B698" t="str">
            <v>Eigenentwicklungen SD-MM-RE-Programme</v>
          </cell>
          <cell r="C698" t="str">
            <v>Eigenentwicklungen SD-MM-RE-Programme.xlsx</v>
          </cell>
          <cell r="D698" t="str">
            <v>Ja</v>
          </cell>
        </row>
        <row r="699">
          <cell r="A699" t="str">
            <v>ZSD_LRG_CHECK_EINSAETZE_EXT</v>
          </cell>
          <cell r="B699" t="str">
            <v>Eigenentwicklungen SD-MM-RE-Programme</v>
          </cell>
          <cell r="C699" t="str">
            <v>Eigenentwicklungen SD-MM-RE-Programme.xlsx</v>
          </cell>
          <cell r="D699" t="str">
            <v>Ja</v>
          </cell>
        </row>
        <row r="700">
          <cell r="A700" t="str">
            <v>ZSD_LRG_CHECK_EINSAETZE_INT</v>
          </cell>
          <cell r="B700" t="str">
            <v>Eigenentwicklungen SD-MM-RE-Programme</v>
          </cell>
          <cell r="C700" t="str">
            <v>Eigenentwicklungen SD-MM-RE-Programme.xlsx</v>
          </cell>
          <cell r="D700" t="str">
            <v>Ja</v>
          </cell>
        </row>
        <row r="701">
          <cell r="A701" t="str">
            <v>ZSD_SWA_AUSG_LISTE</v>
          </cell>
          <cell r="B701" t="str">
            <v>Eigenentwicklungen SD-MM-RE-Programme</v>
          </cell>
          <cell r="C701" t="str">
            <v>Eigenentwicklungen SD-MM-RE-Programme.xlsx</v>
          </cell>
          <cell r="D701" t="str">
            <v>ETM Bewertung bis 2027</v>
          </cell>
        </row>
        <row r="702">
          <cell r="A702" t="str">
            <v>ZSD_SWA_AUSWMEMO</v>
          </cell>
          <cell r="B702" t="str">
            <v>Eigenentwicklungen SD-MM-RE-Programme</v>
          </cell>
          <cell r="C702" t="str">
            <v>Eigenentwicklungen SD-MM-RE-Programme.xlsx</v>
          </cell>
          <cell r="D702" t="str">
            <v>ETM Bewertung bis 2027</v>
          </cell>
        </row>
        <row r="703">
          <cell r="A703" t="str">
            <v>ZSD_SWA_BESTAND</v>
          </cell>
          <cell r="B703" t="str">
            <v>Eigenentwicklungen SD-MM-RE-Programme</v>
          </cell>
          <cell r="C703" t="str">
            <v>Eigenentwicklungen SD-MM-RE-Programme.xlsx</v>
          </cell>
          <cell r="D703" t="str">
            <v>ETM Bewertung bis 2027</v>
          </cell>
        </row>
        <row r="704">
          <cell r="A704" t="str">
            <v>ZSD_SWA_BEST_ANZ</v>
          </cell>
          <cell r="B704" t="str">
            <v>Eigenentwicklungen SD-MM-RE-Programme</v>
          </cell>
          <cell r="C704" t="str">
            <v>Eigenentwicklungen SD-MM-RE-Programme.xlsx</v>
          </cell>
          <cell r="D704" t="str">
            <v>ETM Bewertung bis 2027</v>
          </cell>
        </row>
        <row r="705">
          <cell r="A705" t="str">
            <v>ZSD_SWA_BEWEGUNGEN</v>
          </cell>
          <cell r="B705" t="str">
            <v>Eigenentwicklungen SD-MM-RE-Programme</v>
          </cell>
          <cell r="C705" t="str">
            <v>Eigenentwicklungen SD-MM-RE-Programme.xlsx</v>
          </cell>
          <cell r="D705" t="str">
            <v>ETM Bewertung bis 2027</v>
          </cell>
        </row>
        <row r="706">
          <cell r="A706" t="str">
            <v>ZSD_SWA_EINKAUF</v>
          </cell>
          <cell r="B706" t="str">
            <v>Eigenentwicklungen SD-MM-RE-Programme</v>
          </cell>
          <cell r="C706" t="str">
            <v>Eigenentwicklungen SD-MM-RE-Programme.xlsx</v>
          </cell>
          <cell r="D706" t="str">
            <v>ETM Bewertung bis 2027</v>
          </cell>
        </row>
        <row r="707">
          <cell r="A707" t="str">
            <v>ZSD_SWA_ETAUS</v>
          </cell>
          <cell r="B707" t="str">
            <v>Eigenentwicklungen SD-MM-RE-Programme</v>
          </cell>
          <cell r="C707" t="str">
            <v>Eigenentwicklungen SD-MM-RE-Programme.xlsx</v>
          </cell>
          <cell r="D707" t="str">
            <v>ETM Bewertung bis 2027</v>
          </cell>
        </row>
        <row r="708">
          <cell r="A708" t="str">
            <v>ZSD_SWA_ETNACH</v>
          </cell>
          <cell r="B708" t="str">
            <v>Eigenentwicklungen SD-MM-RE-Programme</v>
          </cell>
          <cell r="C708" t="str">
            <v>Eigenentwicklungen SD-MM-RE-Programme.xlsx</v>
          </cell>
          <cell r="D708" t="str">
            <v>ETM Bewertung bis 2027</v>
          </cell>
        </row>
        <row r="709">
          <cell r="A709" t="str">
            <v>ZSD_SWA_ENTSORGUNG</v>
          </cell>
          <cell r="B709" t="str">
            <v>Eigenentwicklungen SD-MM-RE-Programme</v>
          </cell>
          <cell r="C709" t="str">
            <v>Eigenentwicklungen SD-MM-RE-Programme.xlsx</v>
          </cell>
          <cell r="D709" t="str">
            <v>ETM Bewertung bis 2027</v>
          </cell>
        </row>
        <row r="710">
          <cell r="A710" t="str">
            <v>ZSD_SWA_FAHRERSUCHE</v>
          </cell>
          <cell r="B710" t="str">
            <v>Eigenentwicklungen SD-MM-RE-Programme</v>
          </cell>
          <cell r="C710" t="str">
            <v>Eigenentwicklungen SD-MM-RE-Programme.xlsx</v>
          </cell>
          <cell r="D710" t="str">
            <v>ETM Bewertung bis 2027</v>
          </cell>
        </row>
        <row r="711">
          <cell r="A711" t="str">
            <v>ZSD_SWA_INV</v>
          </cell>
          <cell r="B711" t="str">
            <v>Eigenentwicklungen SD-MM-RE-Programme</v>
          </cell>
          <cell r="C711" t="str">
            <v>Eigenentwicklungen SD-MM-RE-Programme.xlsx</v>
          </cell>
          <cell r="D711" t="str">
            <v>ETM Bewertung bis 2027</v>
          </cell>
        </row>
        <row r="712">
          <cell r="A712" t="str">
            <v>ZSD_SWA_INV_KORR</v>
          </cell>
          <cell r="B712" t="str">
            <v>Eigenentwicklungen SD-MM-RE-Programme</v>
          </cell>
          <cell r="C712" t="str">
            <v>Eigenentwicklungen SD-MM-RE-Programme.xlsx</v>
          </cell>
          <cell r="D712" t="str">
            <v>ETM Bewertung bis 2027</v>
          </cell>
        </row>
        <row r="713">
          <cell r="A713" t="str">
            <v>ZSD_SWA_INV_LIST</v>
          </cell>
          <cell r="B713" t="str">
            <v>Eigenentwicklungen SD-MM-RE-Programme</v>
          </cell>
          <cell r="C713" t="str">
            <v>Eigenentwicklungen SD-MM-RE-Programme.xlsx</v>
          </cell>
          <cell r="D713" t="str">
            <v>ETM Bewertung bis 2027</v>
          </cell>
        </row>
        <row r="714">
          <cell r="A714" t="str">
            <v>ZSD_SWA_INV_MEMO</v>
          </cell>
          <cell r="B714" t="str">
            <v>Eigenentwicklungen SD-MM-RE-Programme</v>
          </cell>
          <cell r="C714" t="str">
            <v>Eigenentwicklungen SD-MM-RE-Programme.xlsx</v>
          </cell>
          <cell r="D714" t="str">
            <v>ETM Bewertung bis 2027</v>
          </cell>
        </row>
        <row r="715">
          <cell r="A715" t="str">
            <v>ZSD_SWA_LABG_ANZ</v>
          </cell>
          <cell r="B715" t="str">
            <v>Eigenentwicklungen SD-MM-RE-Programme</v>
          </cell>
          <cell r="C715" t="str">
            <v>Eigenentwicklungen SD-MM-RE-Programme.xlsx</v>
          </cell>
          <cell r="D715" t="str">
            <v>ETM Bewertung bis 2027</v>
          </cell>
        </row>
        <row r="716">
          <cell r="A716" t="str">
            <v>ZSD_SWA_LAGERABGANG</v>
          </cell>
          <cell r="B716" t="str">
            <v>Eigenentwicklungen SD-MM-RE-Programme</v>
          </cell>
          <cell r="C716" t="str">
            <v>Eigenentwicklungen SD-MM-RE-Programme.xlsx</v>
          </cell>
          <cell r="D716" t="str">
            <v>ETM Bewertung bis 2027</v>
          </cell>
        </row>
        <row r="717">
          <cell r="A717" t="str">
            <v>ZSD_SWA_LETZT_VERK</v>
          </cell>
          <cell r="B717" t="str">
            <v>Eigenentwicklungen SD-MM-RE-Programme</v>
          </cell>
          <cell r="C717" t="str">
            <v>Eigenentwicklungen SD-MM-RE-Programme.xlsx</v>
          </cell>
          <cell r="D717" t="str">
            <v>ETM Bewertung bis 2027</v>
          </cell>
        </row>
        <row r="718">
          <cell r="A718" t="str">
            <v>ZSD_SWA_LIEF_ANZ</v>
          </cell>
          <cell r="B718" t="str">
            <v>Eigenentwicklungen SD-MM-RE-Programme</v>
          </cell>
          <cell r="C718" t="str">
            <v>Eigenentwicklungen SD-MM-RE-Programme.xlsx</v>
          </cell>
          <cell r="D718" t="str">
            <v>ETM Bewertung bis 2027</v>
          </cell>
        </row>
        <row r="719">
          <cell r="A719" t="str">
            <v>ZSD_SWA_MEMONYM</v>
          </cell>
          <cell r="B719" t="str">
            <v>Eigenentwicklungen SD-MM-RE-Programme</v>
          </cell>
          <cell r="C719" t="str">
            <v>Eigenentwicklungen SD-MM-RE-Programme.xlsx</v>
          </cell>
          <cell r="D719" t="str">
            <v>ETM Bewertung bis 2027</v>
          </cell>
        </row>
        <row r="720">
          <cell r="A720" t="str">
            <v>ZSD_SWA_PROV</v>
          </cell>
          <cell r="B720" t="str">
            <v>Eigenentwicklungen SD-MM-RE-Programme</v>
          </cell>
          <cell r="C720" t="str">
            <v>Eigenentwicklungen SD-MM-RE-Programme.xlsx</v>
          </cell>
          <cell r="D720" t="str">
            <v>ETM Bewertung bis 2027</v>
          </cell>
        </row>
        <row r="721">
          <cell r="A721" t="str">
            <v>ZSD_SWA_UM</v>
          </cell>
          <cell r="B721" t="str">
            <v>Eigenentwicklungen SD-MM-RE-Programme</v>
          </cell>
          <cell r="C721" t="str">
            <v>Eigenentwicklungen SD-MM-RE-Programme.xlsx</v>
          </cell>
          <cell r="D721" t="str">
            <v>ETM Bewertung bis 2027</v>
          </cell>
        </row>
        <row r="722">
          <cell r="A722" t="str">
            <v>ZSD_SWA_VERK</v>
          </cell>
          <cell r="B722" t="str">
            <v>Eigenentwicklungen SD-MM-RE-Programme</v>
          </cell>
          <cell r="C722" t="str">
            <v>Eigenentwicklungen SD-MM-RE-Programme.xlsx</v>
          </cell>
          <cell r="D722" t="str">
            <v>ETM Bewertung bis 2027</v>
          </cell>
        </row>
        <row r="723">
          <cell r="A723" t="str">
            <v>ZSD_SWA_VERK_ANZ</v>
          </cell>
          <cell r="B723" t="str">
            <v>Eigenentwicklungen SD-MM-RE-Programme</v>
          </cell>
          <cell r="C723" t="str">
            <v>Eigenentwicklungen SD-MM-RE-Programme.xlsx</v>
          </cell>
          <cell r="D723" t="str">
            <v>ETM Bewertung bis 2027</v>
          </cell>
        </row>
        <row r="724">
          <cell r="A724" t="str">
            <v>ZSD_SWA_VERK_KORR</v>
          </cell>
          <cell r="B724" t="str">
            <v>Eigenentwicklungen SD-MM-RE-Programme</v>
          </cell>
          <cell r="C724" t="str">
            <v>Eigenentwicklungen SD-MM-RE-Programme.xlsx</v>
          </cell>
          <cell r="D724" t="str">
            <v>ETM Bewertung bis 2027</v>
          </cell>
        </row>
        <row r="725">
          <cell r="A725" t="str">
            <v>ZSD_SWA_VERK_NABU</v>
          </cell>
          <cell r="B725" t="str">
            <v>Eigenentwicklungen SD-MM-RE-Programme</v>
          </cell>
          <cell r="C725" t="str">
            <v>Eigenentwicklungen SD-MM-RE-Programme.xlsx</v>
          </cell>
          <cell r="D725" t="str">
            <v>ETM Bewertung bis 2027</v>
          </cell>
        </row>
        <row r="726">
          <cell r="A726" t="str">
            <v>ZSD_SWA_WARENBEW</v>
          </cell>
          <cell r="B726" t="str">
            <v>Eigenentwicklungen SD-MM-RE-Programme</v>
          </cell>
          <cell r="C726" t="str">
            <v>Eigenentwicklungen SD-MM-RE-Programme.xlsx</v>
          </cell>
          <cell r="D726" t="str">
            <v>ETM Bewertung bis 2027</v>
          </cell>
        </row>
        <row r="727">
          <cell r="A727" t="str">
            <v>ZSD_SWA_WARENEINGANG</v>
          </cell>
          <cell r="B727" t="str">
            <v>Eigenentwicklungen SD-MM-RE-Programme</v>
          </cell>
          <cell r="C727" t="str">
            <v>Eigenentwicklungen SD-MM-RE-Programme.xlsx</v>
          </cell>
          <cell r="D727" t="str">
            <v>ETM Bewertung bis 2027</v>
          </cell>
        </row>
        <row r="728">
          <cell r="A728" t="str">
            <v>ZSD_SWA_BEST_EDI</v>
          </cell>
          <cell r="B728" t="str">
            <v>Eigenentwicklungen SD-MM-RE-Programme</v>
          </cell>
          <cell r="C728" t="str">
            <v>Eigenentwicklungen SD-MM-RE-Programme.xlsx</v>
          </cell>
          <cell r="D728" t="str">
            <v>ETM Bewertung bis 2027</v>
          </cell>
        </row>
        <row r="729">
          <cell r="A729" t="str">
            <v>ZSD_SWA_DOWNLOAD_LAG</v>
          </cell>
          <cell r="B729" t="str">
            <v>Eigenentwicklungen SD-MM-RE-Programme</v>
          </cell>
          <cell r="C729" t="str">
            <v>Eigenentwicklungen SD-MM-RE-Programme.xlsx</v>
          </cell>
          <cell r="D729" t="str">
            <v>ETM Bewertung bis 2027</v>
          </cell>
        </row>
        <row r="730">
          <cell r="A730" t="str">
            <v>ZSD_WAWI_ABZUG</v>
          </cell>
          <cell r="B730" t="str">
            <v>Eigenentwicklungen SD-MM-RE-Programme</v>
          </cell>
          <cell r="C730" t="str">
            <v>Eigenentwicklungen SD-MM-RE-Programme.xlsx</v>
          </cell>
          <cell r="D730" t="str">
            <v>ETM Bewertung bis 2027</v>
          </cell>
        </row>
        <row r="731">
          <cell r="A731" t="str">
            <v>ZSD_WAWI_FAHRER_TRANSCODE</v>
          </cell>
          <cell r="B731" t="str">
            <v>Eigenentwicklungen SD-MM-RE-Programme</v>
          </cell>
          <cell r="C731" t="str">
            <v>Eigenentwicklungen SD-MM-RE-Programme.xlsx</v>
          </cell>
          <cell r="D731" t="str">
            <v>ETM Bewertung bis 2027</v>
          </cell>
        </row>
        <row r="732">
          <cell r="A732" t="str">
            <v>ZCA_NUMM</v>
          </cell>
          <cell r="B732" t="str">
            <v>Eigenentwicklungen SD-MM-RE-Programme</v>
          </cell>
          <cell r="C732" t="str">
            <v>Eigenentwicklungen SD-MM-RE-Programme.xlsx</v>
          </cell>
          <cell r="D732" t="str">
            <v>ETM Bewertung bis 2027</v>
          </cell>
        </row>
        <row r="733">
          <cell r="A733" t="str">
            <v>ZSD_SWAT_ABGLEICH</v>
          </cell>
          <cell r="B733" t="str">
            <v>Eigenentwicklungen SD-MM-RE-Programme</v>
          </cell>
          <cell r="C733" t="str">
            <v>Eigenentwicklungen SD-MM-RE-Programme.xlsx</v>
          </cell>
          <cell r="D733" t="str">
            <v>ETM Bewertung bis 2027</v>
          </cell>
        </row>
        <row r="734">
          <cell r="A734" t="str">
            <v>ZSD_SWAT_TABCHECK</v>
          </cell>
          <cell r="B734" t="str">
            <v>Eigenentwicklungen SD-MM-RE-Programme</v>
          </cell>
          <cell r="C734" t="str">
            <v>Eigenentwicklungen SD-MM-RE-Programme.xlsx</v>
          </cell>
          <cell r="D734" t="str">
            <v>ETM Bewertung bis 2027</v>
          </cell>
        </row>
        <row r="735">
          <cell r="A735" t="str">
            <v>ZSD_SWAT01</v>
          </cell>
          <cell r="B735" t="str">
            <v>Eigenentwicklungen SD-MM-RE-Programme</v>
          </cell>
          <cell r="C735" t="str">
            <v>Eigenentwicklungen SD-MM-RE-Programme.xlsx</v>
          </cell>
          <cell r="D735" t="str">
            <v>ETM Bewertung bis 2027</v>
          </cell>
        </row>
        <row r="736">
          <cell r="A736" t="str">
            <v>ZSD_SWAT_REPAIR</v>
          </cell>
          <cell r="B736" t="str">
            <v>Eigenentwicklungen SD-MM-RE-Programme</v>
          </cell>
          <cell r="C736" t="str">
            <v>Eigenentwicklungen SD-MM-RE-Programme.xlsx</v>
          </cell>
          <cell r="D736" t="str">
            <v>ETM Bewertung bis 2027</v>
          </cell>
        </row>
        <row r="737">
          <cell r="A737" t="str">
            <v>ZSD_SWAT_TERMINALBELEG</v>
          </cell>
          <cell r="B737" t="str">
            <v>Eigenentwicklungen SD-MM-RE-Programme</v>
          </cell>
          <cell r="C737" t="str">
            <v>Eigenentwicklungen SD-MM-RE-Programme.xlsx</v>
          </cell>
          <cell r="D737" t="str">
            <v>ETM Bewertung bis 2027</v>
          </cell>
        </row>
        <row r="738">
          <cell r="A738" t="str">
            <v>ZSD_STAMMSATZANLAGE_SWA_FAHRER</v>
          </cell>
          <cell r="B738" t="str">
            <v>Eigenentwicklungen SD-MM-RE-Programme</v>
          </cell>
          <cell r="C738" t="str">
            <v>Eigenentwicklungen SD-MM-RE-Programme.xlsx</v>
          </cell>
          <cell r="D738" t="str">
            <v>ETM Bewertung bis 2027</v>
          </cell>
        </row>
        <row r="739">
          <cell r="A739" t="str">
            <v>ZSD_SWA_PARTNER_COPY</v>
          </cell>
          <cell r="B739" t="str">
            <v>Eigenentwicklungen SD-MM-RE-Programme</v>
          </cell>
          <cell r="C739" t="str">
            <v>Eigenentwicklungen SD-MM-RE-Programme.xlsx</v>
          </cell>
          <cell r="D739" t="str">
            <v>ETM Bewertung bis 2027</v>
          </cell>
        </row>
        <row r="740">
          <cell r="A740" t="str">
            <v>ZSD_SWA_PREIS_COPY</v>
          </cell>
          <cell r="B740" t="str">
            <v>Eigenentwicklungen SD-MM-RE-Programme</v>
          </cell>
          <cell r="C740" t="str">
            <v>Eigenentwicklungen SD-MM-RE-Programme.xlsx</v>
          </cell>
          <cell r="D740" t="str">
            <v>ETM Bewertung bis 2027</v>
          </cell>
        </row>
        <row r="741">
          <cell r="A741" t="str">
            <v>ZFI_VARTA_GUT</v>
          </cell>
          <cell r="B741" t="str">
            <v>Eigenentwicklungen SD-MM-RE-Programme</v>
          </cell>
          <cell r="C741" t="str">
            <v>Eigenentwicklungen SD-MM-RE-Programme.xlsx</v>
          </cell>
          <cell r="D741" t="str">
            <v>ETM Bewertung bis 2027</v>
          </cell>
        </row>
        <row r="742">
          <cell r="A742" t="str">
            <v>ZFI_SWA_LIEF_RUECK</v>
          </cell>
          <cell r="B742" t="str">
            <v>Eigenentwicklungen SD-MM-RE-Programme</v>
          </cell>
          <cell r="C742" t="str">
            <v>Eigenentwicklungen SD-MM-RE-Programme.xlsx</v>
          </cell>
          <cell r="D742" t="str">
            <v>ETM Bewertung bis 2027</v>
          </cell>
        </row>
        <row r="743">
          <cell r="A743" t="str">
            <v>ZSD_KASSENID_UPLOAD</v>
          </cell>
          <cell r="B743" t="str">
            <v>Eigenentwicklungen SD-MM-RE-Programme</v>
          </cell>
          <cell r="C743" t="str">
            <v>Eigenentwicklungen SD-MM-RE-Programme.xlsx</v>
          </cell>
          <cell r="D743" t="str">
            <v>ETM Bewertung bis 2027</v>
          </cell>
        </row>
        <row r="744">
          <cell r="A744" t="str">
            <v>ZSD_MARMF</v>
          </cell>
          <cell r="B744" t="str">
            <v>Eigenentwicklungen SD-MM-RE-Programme</v>
          </cell>
          <cell r="C744" t="str">
            <v>Eigenentwicklungen SD-MM-RE-Programme.xlsx</v>
          </cell>
          <cell r="D744" t="str">
            <v>Ja</v>
          </cell>
        </row>
        <row r="745">
          <cell r="A745" t="str">
            <v>ZSD_MARMB</v>
          </cell>
          <cell r="B745" t="str">
            <v>Eigenentwicklungen SD-MM-RE-Programme</v>
          </cell>
          <cell r="C745" t="str">
            <v>Eigenentwicklungen SD-MM-RE-Programme.xlsx</v>
          </cell>
          <cell r="D745" t="str">
            <v>Ja</v>
          </cell>
        </row>
        <row r="746">
          <cell r="A746" t="str">
            <v>ZSD_MARH</v>
          </cell>
          <cell r="B746" t="str">
            <v>Eigenentwicklungen SD-MM-RE-Programme</v>
          </cell>
          <cell r="C746" t="str">
            <v>Eigenentwicklungen SD-MM-RE-Programme.xlsx</v>
          </cell>
          <cell r="D746" t="str">
            <v>Ja</v>
          </cell>
        </row>
        <row r="747">
          <cell r="A747" t="str">
            <v>ZSD_MARA</v>
          </cell>
          <cell r="B747" t="str">
            <v>Eigenentwicklungen SD-MM-RE-Programme</v>
          </cell>
          <cell r="C747" t="str">
            <v>Eigenentwicklungen SD-MM-RE-Programme.xlsx</v>
          </cell>
          <cell r="D747" t="str">
            <v>Ja</v>
          </cell>
        </row>
        <row r="748">
          <cell r="A748" t="str">
            <v>ZSD_MAR1</v>
          </cell>
          <cell r="B748" t="str">
            <v>Eigenentwicklungen SD-MM-RE-Programme</v>
          </cell>
          <cell r="C748" t="str">
            <v>Eigenentwicklungen SD-MM-RE-Programme.xlsx</v>
          </cell>
          <cell r="D748" t="str">
            <v>Ja</v>
          </cell>
        </row>
        <row r="749">
          <cell r="A749" t="str">
            <v>ZSD_MAR2F</v>
          </cell>
          <cell r="B749" t="str">
            <v>Eigenentwicklungen SD-MM-RE-Programme</v>
          </cell>
          <cell r="C749" t="str">
            <v>Eigenentwicklungen SD-MM-RE-Programme.xlsx</v>
          </cell>
          <cell r="D749" t="str">
            <v>Ja</v>
          </cell>
        </row>
        <row r="750">
          <cell r="A750" t="str">
            <v>ZSD_MAR2B</v>
          </cell>
          <cell r="B750" t="str">
            <v>Eigenentwicklungen SD-MM-RE-Programme</v>
          </cell>
          <cell r="C750" t="str">
            <v>Eigenentwicklungen SD-MM-RE-Programme.xlsx</v>
          </cell>
          <cell r="D750" t="str">
            <v>Ja</v>
          </cell>
        </row>
        <row r="751">
          <cell r="A751" t="str">
            <v>ZSD_MAR3F</v>
          </cell>
          <cell r="B751" t="str">
            <v>Eigenentwicklungen SD-MM-RE-Programme</v>
          </cell>
          <cell r="C751" t="str">
            <v>Eigenentwicklungen SD-MM-RE-Programme.xlsx</v>
          </cell>
          <cell r="D751" t="str">
            <v>Ja</v>
          </cell>
        </row>
        <row r="752">
          <cell r="A752" t="str">
            <v>ZSD_MAR3B</v>
          </cell>
          <cell r="B752" t="str">
            <v>Eigenentwicklungen SD-MM-RE-Programme</v>
          </cell>
          <cell r="C752" t="str">
            <v>Eigenentwicklungen SD-MM-RE-Programme.xlsx</v>
          </cell>
          <cell r="D752" t="str">
            <v>Ja</v>
          </cell>
        </row>
        <row r="753">
          <cell r="A753" t="str">
            <v>ZSD_MARVF</v>
          </cell>
          <cell r="B753" t="str">
            <v>Eigenentwicklungen SD-MM-RE-Programme</v>
          </cell>
          <cell r="C753" t="str">
            <v>Eigenentwicklungen SD-MM-RE-Programme.xlsx</v>
          </cell>
          <cell r="D753" t="str">
            <v>Ja</v>
          </cell>
        </row>
        <row r="754">
          <cell r="A754" t="str">
            <v>ZSD_MARVB</v>
          </cell>
          <cell r="B754" t="str">
            <v>Eigenentwicklungen SD-MM-RE-Programme</v>
          </cell>
          <cell r="C754" t="str">
            <v>Eigenentwicklungen SD-MM-RE-Programme.xlsx</v>
          </cell>
          <cell r="D754" t="str">
            <v>Ja</v>
          </cell>
        </row>
        <row r="755">
          <cell r="A755" t="str">
            <v>ZSD_MARBB</v>
          </cell>
          <cell r="B755" t="str">
            <v>Eigenentwicklungen SD-MM-RE-Programme</v>
          </cell>
          <cell r="C755" t="str">
            <v>Eigenentwicklungen SD-MM-RE-Programme.xlsx</v>
          </cell>
          <cell r="D755" t="str">
            <v>Ja</v>
          </cell>
        </row>
        <row r="756">
          <cell r="A756" t="str">
            <v>ZSD_MARBF</v>
          </cell>
          <cell r="B756" t="str">
            <v>Eigenentwicklungen SD-MM-RE-Programme</v>
          </cell>
          <cell r="C756" t="str">
            <v>Eigenentwicklungen SD-MM-RE-Programme.xlsx</v>
          </cell>
          <cell r="D756" t="str">
            <v>Ja</v>
          </cell>
        </row>
        <row r="757">
          <cell r="A757" t="str">
            <v>ZSD_MARG</v>
          </cell>
          <cell r="B757" t="str">
            <v>Eigenentwicklungen SD-MM-RE-Programme</v>
          </cell>
          <cell r="C757" t="str">
            <v>Eigenentwicklungen SD-MM-RE-Programme.xlsx</v>
          </cell>
          <cell r="D757" t="str">
            <v>Ja</v>
          </cell>
        </row>
        <row r="758">
          <cell r="A758" t="str">
            <v>ZSD_MAR_BELEGHIS</v>
          </cell>
          <cell r="B758" t="str">
            <v>Eigenentwicklungen SD-MM-RE-Programme</v>
          </cell>
          <cell r="C758" t="str">
            <v>Eigenentwicklungen SD-MM-RE-Programme.xlsx</v>
          </cell>
          <cell r="D758" t="str">
            <v>Ja</v>
          </cell>
        </row>
        <row r="759">
          <cell r="A759" t="str">
            <v>ZSD_MAR_FI</v>
          </cell>
          <cell r="B759" t="str">
            <v>Eigenentwicklungen SD-MM-RE-Programme</v>
          </cell>
          <cell r="C759" t="str">
            <v>Eigenentwicklungen SD-MM-RE-Programme.xlsx</v>
          </cell>
          <cell r="D759" t="str">
            <v>Ja</v>
          </cell>
        </row>
        <row r="760">
          <cell r="A760" t="str">
            <v>ZSD_MAR_IMPORT</v>
          </cell>
          <cell r="B760" t="str">
            <v>Eigenentwicklungen SD-MM-RE-Programme</v>
          </cell>
          <cell r="C760" t="str">
            <v>Eigenentwicklungen SD-MM-RE-Programme.xlsx</v>
          </cell>
          <cell r="D760" t="str">
            <v>Ja</v>
          </cell>
        </row>
        <row r="761">
          <cell r="A761" t="str">
            <v>ZSD_MAR_BASIS</v>
          </cell>
          <cell r="B761" t="str">
            <v>Eigenentwicklungen SD-MM-RE-Programme</v>
          </cell>
          <cell r="C761" t="str">
            <v>Eigenentwicklungen SD-MM-RE-Programme.xlsx</v>
          </cell>
          <cell r="D761" t="str">
            <v>Ja</v>
          </cell>
        </row>
        <row r="762">
          <cell r="A762" t="str">
            <v>ZSD_MAR_USR_STAT</v>
          </cell>
          <cell r="B762" t="str">
            <v>Eigenentwicklungen SD-MM-RE-Programme</v>
          </cell>
          <cell r="C762" t="str">
            <v>Eigenentwicklungen SD-MM-RE-Programme.xlsx</v>
          </cell>
          <cell r="D762" t="str">
            <v>Ja</v>
          </cell>
        </row>
        <row r="763">
          <cell r="A763" t="str">
            <v>ZSD_MAR_RECH_EMAIL_SEND</v>
          </cell>
          <cell r="B763" t="str">
            <v>Eigenentwicklungen SD-MM-RE-Programme</v>
          </cell>
          <cell r="C763" t="str">
            <v>Eigenentwicklungen SD-MM-RE-Programme.xlsx</v>
          </cell>
          <cell r="D763" t="str">
            <v>Ja</v>
          </cell>
        </row>
        <row r="764">
          <cell r="A764" t="str">
            <v>SAPLZ_MAR_TAB</v>
          </cell>
          <cell r="B764" t="str">
            <v>Eigenentwicklungen SD-MM-RE-Programme</v>
          </cell>
          <cell r="C764" t="str">
            <v>Eigenentwicklungen SD-MM-RE-Programme.xlsx</v>
          </cell>
          <cell r="D764" t="str">
            <v>Ja</v>
          </cell>
        </row>
        <row r="765">
          <cell r="A765" t="str">
            <v>LZ_MAR_TABF01</v>
          </cell>
          <cell r="B765" t="str">
            <v>Eigenentwicklungen SD-MM-RE-Programme</v>
          </cell>
          <cell r="C765" t="str">
            <v>Eigenentwicklungen SD-MM-RE-Programme.xlsx</v>
          </cell>
          <cell r="D765" t="str">
            <v>Ja</v>
          </cell>
        </row>
        <row r="766">
          <cell r="A766" t="str">
            <v>LZ_MAR_TABO01</v>
          </cell>
          <cell r="B766" t="str">
            <v>Eigenentwicklungen SD-MM-RE-Programme</v>
          </cell>
          <cell r="C766" t="str">
            <v>Eigenentwicklungen SD-MM-RE-Programme.xlsx</v>
          </cell>
          <cell r="D766" t="str">
            <v>Ja</v>
          </cell>
        </row>
        <row r="767">
          <cell r="A767" t="str">
            <v>LZ_MAR_TABI01</v>
          </cell>
          <cell r="B767" t="str">
            <v>Eigenentwicklungen SD-MM-RE-Programme</v>
          </cell>
          <cell r="C767" t="str">
            <v>Eigenentwicklungen SD-MM-RE-Programme.xlsx</v>
          </cell>
          <cell r="D767" t="str">
            <v>Ja</v>
          </cell>
        </row>
        <row r="768">
          <cell r="A768" t="str">
            <v>ZSD_LRG1_DEL</v>
          </cell>
          <cell r="B768" t="str">
            <v>Eigenentwicklungen SD-MM-RE-Programme</v>
          </cell>
          <cell r="C768" t="str">
            <v>Eigenentwicklungen SD-MM-RE-Programme.xlsx</v>
          </cell>
          <cell r="D768" t="str">
            <v>tbd</v>
          </cell>
        </row>
        <row r="769">
          <cell r="A769" t="str">
            <v>ZSD_LRG1_FILE</v>
          </cell>
          <cell r="B769" t="str">
            <v>Eigenentwicklungen SD-MM-RE-Programme</v>
          </cell>
          <cell r="C769" t="str">
            <v>Eigenentwicklungen SD-MM-RE-Programme.xlsx</v>
          </cell>
          <cell r="D769" t="str">
            <v>tbd</v>
          </cell>
        </row>
        <row r="770">
          <cell r="A770" t="str">
            <v>ZSD_LRG1_FILE1</v>
          </cell>
          <cell r="B770" t="str">
            <v>Eigenentwicklungen SD-MM-RE-Programme</v>
          </cell>
          <cell r="C770" t="str">
            <v>Eigenentwicklungen SD-MM-RE-Programme.xlsx</v>
          </cell>
          <cell r="D770" t="str">
            <v>tbd</v>
          </cell>
        </row>
        <row r="771">
          <cell r="A771" t="str">
            <v>ZSD_LRG1_FILE2</v>
          </cell>
          <cell r="B771" t="str">
            <v>Eigenentwicklungen SD-MM-RE-Programme</v>
          </cell>
          <cell r="C771" t="str">
            <v>Eigenentwicklungen SD-MM-RE-Programme.xlsx</v>
          </cell>
          <cell r="D771" t="str">
            <v>tbd</v>
          </cell>
        </row>
        <row r="772">
          <cell r="A772" t="str">
            <v>ZSD_LRG1_LOAD</v>
          </cell>
          <cell r="B772" t="str">
            <v>Eigenentwicklungen SD-MM-RE-Programme</v>
          </cell>
          <cell r="C772" t="str">
            <v>Eigenentwicklungen SD-MM-RE-Programme.xlsx</v>
          </cell>
          <cell r="D772" t="str">
            <v>tbd</v>
          </cell>
        </row>
        <row r="773">
          <cell r="A773" t="str">
            <v>ZSD_LRG1_READ</v>
          </cell>
          <cell r="B773" t="str">
            <v>Eigenentwicklungen SD-MM-RE-Programme</v>
          </cell>
          <cell r="C773" t="str">
            <v>Eigenentwicklungen SD-MM-RE-Programme.xlsx</v>
          </cell>
          <cell r="D773" t="str">
            <v>tbd</v>
          </cell>
        </row>
        <row r="774">
          <cell r="A774" t="str">
            <v>ZSD_LRG1_SCAN</v>
          </cell>
          <cell r="B774" t="str">
            <v>Eigenentwicklungen SD-MM-RE-Programme</v>
          </cell>
          <cell r="C774" t="str">
            <v>Eigenentwicklungen SD-MM-RE-Programme.xlsx</v>
          </cell>
          <cell r="D774" t="str">
            <v>tbd</v>
          </cell>
        </row>
        <row r="775">
          <cell r="A775" t="str">
            <v>ZSD_LRG_AOBJD</v>
          </cell>
          <cell r="B775" t="str">
            <v>Eigenentwicklungen SD-MM-RE-Programme</v>
          </cell>
          <cell r="C775" t="str">
            <v>Eigenentwicklungen SD-MM-RE-Programme.xlsx</v>
          </cell>
          <cell r="D775" t="str">
            <v>tbd</v>
          </cell>
        </row>
        <row r="776">
          <cell r="A776" t="str">
            <v>ZSD_LRG_AOBJR</v>
          </cell>
          <cell r="B776" t="str">
            <v>Eigenentwicklungen SD-MM-RE-Programme</v>
          </cell>
          <cell r="C776" t="str">
            <v>Eigenentwicklungen SD-MM-RE-Programme.xlsx</v>
          </cell>
          <cell r="D776" t="str">
            <v>tbd</v>
          </cell>
        </row>
        <row r="777">
          <cell r="A777" t="str">
            <v>ZSD_LRG_AOBJW</v>
          </cell>
          <cell r="B777" t="str">
            <v>Eigenentwicklungen SD-MM-RE-Programme</v>
          </cell>
          <cell r="C777" t="str">
            <v>Eigenentwicklungen SD-MM-RE-Programme.xlsx</v>
          </cell>
          <cell r="D777" t="str">
            <v>tbd</v>
          </cell>
        </row>
        <row r="778">
          <cell r="A778" t="str">
            <v>ZSD_COND_LOEKZ</v>
          </cell>
          <cell r="B778" t="str">
            <v>Eigenentwicklungen SD-MM-RE-Programme</v>
          </cell>
          <cell r="C778" t="str">
            <v>Eigenentwicklungen SD-MM-RE-Programme.xlsx</v>
          </cell>
          <cell r="D778" t="str">
            <v>Nein</v>
          </cell>
        </row>
        <row r="779">
          <cell r="A779" t="str">
            <v>ZSD_NAST_ARCHIV</v>
          </cell>
          <cell r="B779" t="str">
            <v>Eigenentwicklungen SD-MM-RE-Programme</v>
          </cell>
          <cell r="C779" t="str">
            <v>Eigenentwicklungen SD-MM-RE-Programme.xlsx</v>
          </cell>
          <cell r="D779" t="str">
            <v>Ja</v>
          </cell>
        </row>
        <row r="780">
          <cell r="A780" t="str">
            <v>ZSD_TAB_REORG</v>
          </cell>
          <cell r="B780" t="str">
            <v>Eigenentwicklungen SD-MM-RE-Programme</v>
          </cell>
          <cell r="C780" t="str">
            <v>Eigenentwicklungen SD-MM-RE-Programme.xlsx</v>
          </cell>
          <cell r="D780" t="str">
            <v>Ja</v>
          </cell>
        </row>
        <row r="781">
          <cell r="A781" t="str">
            <v>ZRKSAP001_SD_VBRK_999</v>
          </cell>
          <cell r="B781" t="str">
            <v>Eigenentwicklungen SD-MM-RE-Programme</v>
          </cell>
          <cell r="C781" t="str">
            <v>Eigenentwicklungen SD-MM-RE-Programme.xlsx</v>
          </cell>
          <cell r="D781" t="str">
            <v>tbd</v>
          </cell>
        </row>
        <row r="782">
          <cell r="A782" t="str">
            <v>ZMM_EINA_OHNE_LIEFERANT_LOEKZ</v>
          </cell>
          <cell r="B782" t="str">
            <v>Eigenentwicklungen SD-MM-RE-Programme</v>
          </cell>
          <cell r="C782" t="str">
            <v>Eigenentwicklungen SD-MM-RE-Programme.xlsx</v>
          </cell>
          <cell r="D782" t="str">
            <v>tbd</v>
          </cell>
        </row>
        <row r="783">
          <cell r="A783" t="str">
            <v>ZMM_MM60</v>
          </cell>
          <cell r="B783" t="str">
            <v>Eigenentwicklungen SD-MM-RE-Programme</v>
          </cell>
          <cell r="C783" t="str">
            <v>Eigenentwicklungen SD-MM-RE-Programme.xlsx</v>
          </cell>
          <cell r="D783" t="str">
            <v>Ja</v>
          </cell>
        </row>
        <row r="784">
          <cell r="A784" t="str">
            <v>ZMM_MM00</v>
          </cell>
          <cell r="B784" t="str">
            <v>Eigenentwicklungen SD-MM-RE-Programme</v>
          </cell>
          <cell r="C784" t="str">
            <v>Eigenentwicklungen SD-MM-RE-Programme.xlsx</v>
          </cell>
          <cell r="D784" t="str">
            <v>Ja</v>
          </cell>
        </row>
        <row r="785">
          <cell r="A785" t="str">
            <v>ZMM_MM01</v>
          </cell>
          <cell r="B785" t="str">
            <v>Eigenentwicklungen SD-MM-RE-Programme</v>
          </cell>
          <cell r="C785" t="str">
            <v>Eigenentwicklungen SD-MM-RE-Programme.xlsx</v>
          </cell>
          <cell r="D785" t="str">
            <v>Ja</v>
          </cell>
        </row>
        <row r="786">
          <cell r="A786" t="str">
            <v>ZMM_MM02</v>
          </cell>
          <cell r="B786" t="str">
            <v>Eigenentwicklungen SD-MM-RE-Programme</v>
          </cell>
          <cell r="C786" t="str">
            <v>Eigenentwicklungen SD-MM-RE-Programme.xlsx</v>
          </cell>
          <cell r="D786" t="str">
            <v>Ja</v>
          </cell>
        </row>
        <row r="787">
          <cell r="A787" t="str">
            <v>ZMM_MM03</v>
          </cell>
          <cell r="B787" t="str">
            <v>Eigenentwicklungen SD-MM-RE-Programme</v>
          </cell>
          <cell r="C787" t="str">
            <v>Eigenentwicklungen SD-MM-RE-Programme.xlsx</v>
          </cell>
          <cell r="D787" t="str">
            <v>Ja</v>
          </cell>
        </row>
        <row r="788">
          <cell r="A788" t="str">
            <v>ZMM_MAR1_AENDBELG</v>
          </cell>
          <cell r="B788" t="str">
            <v>Eigenentwicklungen SD-MM-RE-Programme</v>
          </cell>
          <cell r="C788" t="str">
            <v>Eigenentwicklungen SD-MM-RE-Programme.xlsx</v>
          </cell>
          <cell r="D788" t="str">
            <v>Ja</v>
          </cell>
        </row>
        <row r="789">
          <cell r="A789" t="str">
            <v>ZMM_MAT_AENDERUNGEN</v>
          </cell>
          <cell r="B789" t="str">
            <v>Eigenentwicklungen SD-MM-RE-Programme</v>
          </cell>
          <cell r="C789" t="str">
            <v>Eigenentwicklungen SD-MM-RE-Programme.xlsx</v>
          </cell>
          <cell r="D789" t="str">
            <v>Ja</v>
          </cell>
        </row>
        <row r="790">
          <cell r="A790" t="str">
            <v>ZMM_ARTNUM</v>
          </cell>
          <cell r="B790" t="str">
            <v>Eigenentwicklungen SD-MM-RE-Programme</v>
          </cell>
          <cell r="C790" t="str">
            <v>Eigenentwicklungen SD-MM-RE-Programme.xlsx</v>
          </cell>
          <cell r="D790" t="str">
            <v>tbd</v>
          </cell>
        </row>
        <row r="791">
          <cell r="A791" t="str">
            <v>ZMM_MM60_NOERPEL
(vorher: zmm_mm60_logwin)</v>
          </cell>
          <cell r="B791" t="str">
            <v>Eigenentwicklungen SD-MM-RE-Programme</v>
          </cell>
          <cell r="C791" t="str">
            <v>Eigenentwicklungen SD-MM-RE-Programme.xlsx</v>
          </cell>
          <cell r="D791" t="str">
            <v>Nein</v>
          </cell>
        </row>
        <row r="792">
          <cell r="A792" t="str">
            <v>ZMM_BESTAND_NOERPEL
(vorher: zmm_mm60_logwin)</v>
          </cell>
          <cell r="B792" t="str">
            <v>Eigenentwicklungen SD-MM-RE-Programme</v>
          </cell>
          <cell r="C792" t="str">
            <v>Eigenentwicklungen SD-MM-RE-Programme.xlsx</v>
          </cell>
          <cell r="D792" t="str">
            <v>Nein</v>
          </cell>
        </row>
        <row r="793">
          <cell r="A793" t="str">
            <v>ZMM_STBWCHECK</v>
          </cell>
          <cell r="B793" t="str">
            <v>Eigenentwicklungen SD-MM-RE-Programme</v>
          </cell>
          <cell r="C793" t="str">
            <v>Eigenentwicklungen SD-MM-RE-Programme.xlsx</v>
          </cell>
          <cell r="D793" t="str">
            <v>tbd</v>
          </cell>
        </row>
        <row r="794">
          <cell r="A794" t="str">
            <v>ZMM_MATREORG</v>
          </cell>
          <cell r="B794" t="str">
            <v>Eigenentwicklungen SD-MM-RE-Programme</v>
          </cell>
          <cell r="C794" t="str">
            <v>Eigenentwicklungen SD-MM-RE-Programme.xlsx</v>
          </cell>
          <cell r="D794" t="str">
            <v>Ja</v>
          </cell>
        </row>
        <row r="795">
          <cell r="A795" t="str">
            <v>ZMM_LAG</v>
          </cell>
          <cell r="B795" t="str">
            <v>Eigenentwicklungen SD-MM-RE-Programme</v>
          </cell>
          <cell r="C795" t="str">
            <v>Eigenentwicklungen SD-MM-RE-Programme.xlsx</v>
          </cell>
          <cell r="D795" t="str">
            <v>Ja</v>
          </cell>
        </row>
        <row r="796">
          <cell r="A796" t="str">
            <v>ZMM_LAGV</v>
          </cell>
          <cell r="B796" t="str">
            <v>Eigenentwicklungen SD-MM-RE-Programme</v>
          </cell>
          <cell r="C796" t="str">
            <v>Eigenentwicklungen SD-MM-RE-Programme.xlsx</v>
          </cell>
          <cell r="D796" t="str">
            <v>Ja</v>
          </cell>
        </row>
        <row r="797">
          <cell r="A797" t="str">
            <v>ZMM_INV</v>
          </cell>
          <cell r="B797" t="str">
            <v>Eigenentwicklungen SD-MM-RE-Programme</v>
          </cell>
          <cell r="C797" t="str">
            <v>Eigenentwicklungen SD-MM-RE-Programme.xlsx</v>
          </cell>
          <cell r="D797" t="str">
            <v>Ja</v>
          </cell>
        </row>
        <row r="798">
          <cell r="A798" t="str">
            <v>ZMM_MI31</v>
          </cell>
          <cell r="B798" t="str">
            <v>Eigenentwicklungen SD-MM-RE-Programme</v>
          </cell>
          <cell r="C798" t="str">
            <v>Eigenentwicklungen SD-MM-RE-Programme.xlsx</v>
          </cell>
          <cell r="D798" t="str">
            <v>Ja</v>
          </cell>
        </row>
        <row r="799">
          <cell r="A799" t="str">
            <v>ZMM_MI03</v>
          </cell>
          <cell r="B799" t="str">
            <v>Eigenentwicklungen SD-MM-RE-Programme</v>
          </cell>
          <cell r="C799" t="str">
            <v>Eigenentwicklungen SD-MM-RE-Programme.xlsx</v>
          </cell>
          <cell r="D799" t="str">
            <v>Ja</v>
          </cell>
        </row>
        <row r="800">
          <cell r="A800" t="str">
            <v>ZMM_MI04</v>
          </cell>
          <cell r="B800" t="str">
            <v>Eigenentwicklungen SD-MM-RE-Programme</v>
          </cell>
          <cell r="C800" t="str">
            <v>Eigenentwicklungen SD-MM-RE-Programme.xlsx</v>
          </cell>
          <cell r="D800" t="str">
            <v>Ja</v>
          </cell>
        </row>
        <row r="801">
          <cell r="A801" t="str">
            <v>ZMM_MI06</v>
          </cell>
          <cell r="B801" t="str">
            <v>Eigenentwicklungen SD-MM-RE-Programme</v>
          </cell>
          <cell r="C801" t="str">
            <v>Eigenentwicklungen SD-MM-RE-Programme.xlsx</v>
          </cell>
          <cell r="D801" t="str">
            <v>Ja</v>
          </cell>
        </row>
        <row r="802">
          <cell r="A802" t="str">
            <v>ZMM_INVDIF</v>
          </cell>
          <cell r="B802" t="str">
            <v>Eigenentwicklungen SD-MM-RE-Programme</v>
          </cell>
          <cell r="C802" t="str">
            <v>Eigenentwicklungen SD-MM-RE-Programme.xlsx</v>
          </cell>
          <cell r="D802" t="str">
            <v>Ja</v>
          </cell>
        </row>
        <row r="803">
          <cell r="A803" t="str">
            <v>ZMM_INVBEW</v>
          </cell>
          <cell r="B803" t="str">
            <v>Eigenentwicklungen SD-MM-RE-Programme</v>
          </cell>
          <cell r="C803" t="str">
            <v>Eigenentwicklungen SD-MM-RE-Programme.xlsx</v>
          </cell>
          <cell r="D803" t="str">
            <v>Ja</v>
          </cell>
        </row>
        <row r="804">
          <cell r="A804" t="str">
            <v>ZMM_INVBEWBIP</v>
          </cell>
          <cell r="B804" t="str">
            <v>Eigenentwicklungen SD-MM-RE-Programme</v>
          </cell>
          <cell r="C804" t="str">
            <v>Eigenentwicklungen SD-MM-RE-Programme.xlsx</v>
          </cell>
          <cell r="D804" t="str">
            <v>Ja</v>
          </cell>
        </row>
        <row r="805">
          <cell r="A805" t="str">
            <v>ZMM_INVDIFF_NOERPEL
(vorher: zmm_logwin_invdiff)</v>
          </cell>
          <cell r="B805" t="str">
            <v>Eigenentwicklungen SD-MM-RE-Programme</v>
          </cell>
          <cell r="C805" t="str">
            <v>Eigenentwicklungen SD-MM-RE-Programme.xlsx</v>
          </cell>
          <cell r="D805" t="str">
            <v>Nein</v>
          </cell>
        </row>
        <row r="806">
          <cell r="A806" t="str">
            <v>ZSD_WPV_PRISMA</v>
          </cell>
          <cell r="B806" t="str">
            <v>Eigenentwicklungen SD-MM-RE-Programme</v>
          </cell>
          <cell r="C806" t="str">
            <v>Eigenentwicklungen SD-MM-RE-Programme.xlsx</v>
          </cell>
          <cell r="D806" t="str">
            <v>tbd</v>
          </cell>
        </row>
        <row r="807">
          <cell r="A807" t="str">
            <v>ZMM_WPVOB</v>
          </cell>
          <cell r="B807" t="str">
            <v>Eigenentwicklungen SD-MM-RE-Programme</v>
          </cell>
          <cell r="C807" t="str">
            <v>Eigenentwicklungen SD-MM-RE-Programme.xlsx</v>
          </cell>
          <cell r="D807" t="str">
            <v>tbd</v>
          </cell>
        </row>
        <row r="808">
          <cell r="A808" t="str">
            <v>ZSD_WPVLIEF</v>
          </cell>
          <cell r="B808" t="str">
            <v>Eigenentwicklungen SD-MM-RE-Programme</v>
          </cell>
          <cell r="C808" t="str">
            <v>Eigenentwicklungen SD-MM-RE-Programme.xlsx</v>
          </cell>
          <cell r="D808" t="str">
            <v>tbd</v>
          </cell>
        </row>
        <row r="809">
          <cell r="A809" t="str">
            <v>ZSD_WPV_RUECK</v>
          </cell>
          <cell r="B809" t="str">
            <v>Eigenentwicklungen SD-MM-RE-Programme</v>
          </cell>
          <cell r="C809" t="str">
            <v>Eigenentwicklungen SD-MM-RE-Programme.xlsx</v>
          </cell>
          <cell r="D809" t="str">
            <v>tbd</v>
          </cell>
        </row>
        <row r="810">
          <cell r="A810" t="str">
            <v>ZSD_PACKLIST</v>
          </cell>
          <cell r="B810" t="str">
            <v>Eigenentwicklungen SD-MM-RE-Programme</v>
          </cell>
          <cell r="C810" t="str">
            <v>Eigenentwicklungen SD-MM-RE-Programme.xlsx</v>
          </cell>
          <cell r="D810" t="str">
            <v>tbd</v>
          </cell>
        </row>
        <row r="811">
          <cell r="A811" t="str">
            <v>ZMM_BEST_ANLEGEN</v>
          </cell>
          <cell r="B811" t="str">
            <v>Eigenentwicklungen SD-MM-RE-Programme</v>
          </cell>
          <cell r="C811" t="str">
            <v>Eigenentwicklungen SD-MM-RE-Programme.xlsx</v>
          </cell>
          <cell r="D811" t="str">
            <v>Nein</v>
          </cell>
        </row>
        <row r="812">
          <cell r="A812" t="str">
            <v>ZMM_BEST_ERGAENZEN</v>
          </cell>
          <cell r="B812" t="str">
            <v>Eigenentwicklungen SD-MM-RE-Programme</v>
          </cell>
          <cell r="C812" t="str">
            <v>Eigenentwicklungen SD-MM-RE-Programme.xlsx</v>
          </cell>
          <cell r="D812" t="str">
            <v>Nein</v>
          </cell>
        </row>
        <row r="813">
          <cell r="A813" t="str">
            <v>ZMM_BEST_FRGFBCHK</v>
          </cell>
          <cell r="B813" t="str">
            <v>Eigenentwicklungen SD-MM-RE-Programme</v>
          </cell>
          <cell r="C813" t="str">
            <v>Eigenentwicklungen SD-MM-RE-Programme.xlsx</v>
          </cell>
          <cell r="D813" t="str">
            <v>Nein</v>
          </cell>
        </row>
        <row r="814">
          <cell r="A814" t="str">
            <v>ZMM_BEST_EXPORT_KOSTL</v>
          </cell>
          <cell r="B814" t="str">
            <v>Eigenentwicklungen SD-MM-RE-Programme</v>
          </cell>
          <cell r="C814" t="str">
            <v>Eigenentwicklungen SD-MM-RE-Programme.xlsx</v>
          </cell>
          <cell r="D814" t="str">
            <v>Nein</v>
          </cell>
        </row>
        <row r="815">
          <cell r="A815" t="str">
            <v>ZMM_BEST_EXPORT_KTGRP2</v>
          </cell>
          <cell r="B815" t="str">
            <v>Eigenentwicklungen SD-MM-RE-Programme</v>
          </cell>
          <cell r="C815" t="str">
            <v>Eigenentwicklungen SD-MM-RE-Programme.xlsx</v>
          </cell>
          <cell r="D815" t="str">
            <v>Nein</v>
          </cell>
        </row>
        <row r="816">
          <cell r="A816" t="str">
            <v>ZMM_BEST_KTOFIND</v>
          </cell>
          <cell r="B816" t="str">
            <v>Eigenentwicklungen SD-MM-RE-Programme</v>
          </cell>
          <cell r="C816" t="str">
            <v>Eigenentwicklungen SD-MM-RE-Programme.xlsx</v>
          </cell>
          <cell r="D816" t="str">
            <v>Nein</v>
          </cell>
        </row>
        <row r="817">
          <cell r="A817" t="str">
            <v>ZMM_BEST_LISTE</v>
          </cell>
          <cell r="B817" t="str">
            <v>Eigenentwicklungen SD-MM-RE-Programme</v>
          </cell>
          <cell r="C817" t="str">
            <v>Eigenentwicklungen SD-MM-RE-Programme.xlsx</v>
          </cell>
          <cell r="D817" t="str">
            <v>Nein</v>
          </cell>
        </row>
        <row r="818">
          <cell r="A818" t="str">
            <v>ZMM_BEST_MENUE_ADMIN</v>
          </cell>
          <cell r="B818" t="str">
            <v>Eigenentwicklungen SD-MM-RE-Programme</v>
          </cell>
          <cell r="C818" t="str">
            <v>Eigenentwicklungen SD-MM-RE-Programme.xlsx</v>
          </cell>
          <cell r="D818" t="str">
            <v>Nein</v>
          </cell>
        </row>
        <row r="819">
          <cell r="A819" t="str">
            <v>ZMM_BEST_MENUE_FIB</v>
          </cell>
          <cell r="B819" t="str">
            <v>Eigenentwicklungen SD-MM-RE-Programme</v>
          </cell>
          <cell r="C819" t="str">
            <v>Eigenentwicklungen SD-MM-RE-Programme.xlsx</v>
          </cell>
          <cell r="D819" t="str">
            <v>Nein</v>
          </cell>
        </row>
        <row r="820">
          <cell r="A820" t="str">
            <v>ZMM_BEST_MENUE_ZEK</v>
          </cell>
          <cell r="B820" t="str">
            <v>Eigenentwicklungen SD-MM-RE-Programme</v>
          </cell>
          <cell r="C820" t="str">
            <v>Eigenentwicklungen SD-MM-RE-Programme.xlsx</v>
          </cell>
          <cell r="D820" t="str">
            <v>Nein</v>
          </cell>
        </row>
        <row r="821">
          <cell r="A821" t="str">
            <v>ZMM_BEST_PRUEFEN</v>
          </cell>
          <cell r="B821" t="str">
            <v>Eigenentwicklungen SD-MM-RE-Programme</v>
          </cell>
          <cell r="C821" t="str">
            <v>Eigenentwicklungen SD-MM-RE-Programme.xlsx</v>
          </cell>
          <cell r="D821" t="str">
            <v>Nein</v>
          </cell>
        </row>
        <row r="822">
          <cell r="A822" t="str">
            <v>ZMM_BEST_XML_IMPORT</v>
          </cell>
          <cell r="B822" t="str">
            <v>Eigenentwicklungen SD-MM-RE-Programme</v>
          </cell>
          <cell r="C822" t="str">
            <v>Eigenentwicklungen SD-MM-RE-Programme.xlsx</v>
          </cell>
          <cell r="D822" t="str">
            <v>Nein</v>
          </cell>
        </row>
        <row r="823">
          <cell r="A823" t="str">
            <v>ZMM_RG_MENUE_ADMIN</v>
          </cell>
          <cell r="B823" t="str">
            <v>Eigenentwicklungen SD-MM-RE-Programme</v>
          </cell>
          <cell r="C823" t="str">
            <v>Eigenentwicklungen SD-MM-RE-Programme.xlsx</v>
          </cell>
          <cell r="D823" t="str">
            <v>tbd</v>
          </cell>
        </row>
        <row r="824">
          <cell r="A824" t="str">
            <v>ZMM_RG_MENUE_FIB</v>
          </cell>
          <cell r="B824" t="str">
            <v>Eigenentwicklungen SD-MM-RE-Programme</v>
          </cell>
          <cell r="C824" t="str">
            <v>Eigenentwicklungen SD-MM-RE-Programme.xlsx</v>
          </cell>
          <cell r="D824" t="str">
            <v>tbd</v>
          </cell>
        </row>
        <row r="825">
          <cell r="A825" t="str">
            <v>ZMM_RG_MENUE_ZEK</v>
          </cell>
          <cell r="B825" t="str">
            <v>Eigenentwicklungen SD-MM-RE-Programme</v>
          </cell>
          <cell r="C825" t="str">
            <v>Eigenentwicklungen SD-MM-RE-Programme.xlsx</v>
          </cell>
          <cell r="D825" t="str">
            <v>tbd</v>
          </cell>
        </row>
        <row r="826">
          <cell r="A826" t="str">
            <v>ZMM_RG_IMPORT</v>
          </cell>
          <cell r="B826" t="str">
            <v>Eigenentwicklungen SD-MM-RE-Programme</v>
          </cell>
          <cell r="C826" t="str">
            <v>Eigenentwicklungen SD-MM-RE-Programme.xlsx</v>
          </cell>
          <cell r="D826" t="str">
            <v>tbd</v>
          </cell>
        </row>
        <row r="827">
          <cell r="A827" t="str">
            <v>ZMM_RG_LISTE</v>
          </cell>
          <cell r="B827" t="str">
            <v>Eigenentwicklungen SD-MM-RE-Programme</v>
          </cell>
          <cell r="C827" t="str">
            <v>Eigenentwicklungen SD-MM-RE-Programme.xlsx</v>
          </cell>
          <cell r="D827" t="str">
            <v>tbd</v>
          </cell>
        </row>
        <row r="828">
          <cell r="A828" t="str">
            <v>ZMM_RG_AENDBELG</v>
          </cell>
          <cell r="B828" t="str">
            <v>Eigenentwicklungen SD-MM-RE-Programme</v>
          </cell>
          <cell r="C828" t="str">
            <v>Eigenentwicklungen SD-MM-RE-Programme.xlsx</v>
          </cell>
          <cell r="D828" t="str">
            <v>tbd</v>
          </cell>
        </row>
        <row r="829">
          <cell r="A829" t="str">
            <v>ZMM_RG_PRUEFEN</v>
          </cell>
          <cell r="B829" t="str">
            <v>Eigenentwicklungen SD-MM-RE-Programme</v>
          </cell>
          <cell r="C829" t="str">
            <v>Eigenentwicklungen SD-MM-RE-Programme.xlsx</v>
          </cell>
          <cell r="D829" t="str">
            <v>tbd</v>
          </cell>
        </row>
        <row r="830">
          <cell r="A830" t="str">
            <v>ZMM_RG_BTCI</v>
          </cell>
          <cell r="B830" t="str">
            <v>Eigenentwicklungen SD-MM-RE-Programme</v>
          </cell>
          <cell r="C830" t="str">
            <v>Eigenentwicklungen SD-MM-RE-Programme.xlsx</v>
          </cell>
          <cell r="D830" t="str">
            <v>tbd</v>
          </cell>
        </row>
        <row r="831">
          <cell r="A831" t="str">
            <v>ZMM_RG_MAIL</v>
          </cell>
          <cell r="B831" t="str">
            <v>Eigenentwicklungen SD-MM-RE-Programme</v>
          </cell>
          <cell r="C831" t="str">
            <v>Eigenentwicklungen SD-MM-RE-Programme.xlsx</v>
          </cell>
          <cell r="D831" t="str">
            <v>tbd</v>
          </cell>
        </row>
        <row r="832">
          <cell r="A832" t="str">
            <v>ZMM_PARTNER_COPY</v>
          </cell>
          <cell r="B832" t="str">
            <v>Eigenentwicklungen SD-MM-RE-Programme</v>
          </cell>
          <cell r="C832" t="str">
            <v>Eigenentwicklungen SD-MM-RE-Programme.xlsx</v>
          </cell>
          <cell r="D832" t="str">
            <v>Nein</v>
          </cell>
        </row>
        <row r="833">
          <cell r="A833" t="str">
            <v>ZMM_INFORECORD_COPY</v>
          </cell>
          <cell r="B833" t="str">
            <v>Eigenentwicklungen SD-MM-RE-Programme</v>
          </cell>
          <cell r="C833" t="str">
            <v>Eigenentwicklungen SD-MM-RE-Programme.xlsx</v>
          </cell>
          <cell r="D833" t="str">
            <v>Nein</v>
          </cell>
        </row>
        <row r="834">
          <cell r="A834" t="str">
            <v>ZFI_LAGSTA &lt;- Maria ?</v>
          </cell>
          <cell r="B834" t="str">
            <v>Eigenentwicklungen SD-MM-RE-Programme</v>
          </cell>
          <cell r="C834" t="str">
            <v>Eigenentwicklungen SD-MM-RE-Programme.xlsx</v>
          </cell>
          <cell r="D834" t="str">
            <v>Nein</v>
          </cell>
        </row>
        <row r="835">
          <cell r="A835" t="str">
            <v>ZMM_AIS_OFFBEST</v>
          </cell>
          <cell r="B835" t="str">
            <v>Eigenentwicklungen SD-MM-RE-Programme</v>
          </cell>
          <cell r="C835" t="str">
            <v>Eigenentwicklungen SD-MM-RE-Programme.xlsx</v>
          </cell>
          <cell r="D835" t="str">
            <v>tbd</v>
          </cell>
        </row>
        <row r="836">
          <cell r="A836" t="str">
            <v>ZMM_BESTA</v>
          </cell>
          <cell r="B836" t="str">
            <v>Eigenentwicklungen SD-MM-RE-Programme</v>
          </cell>
          <cell r="C836" t="str">
            <v>Eigenentwicklungen SD-MM-RE-Programme.xlsx</v>
          </cell>
          <cell r="D836" t="str">
            <v>tbd</v>
          </cell>
        </row>
        <row r="837">
          <cell r="A837" t="str">
            <v>ZSD_MIROSP_INFO</v>
          </cell>
          <cell r="B837" t="str">
            <v>Eigenentwicklungen SD-MM-RE-Programme</v>
          </cell>
          <cell r="C837" t="str">
            <v>Eigenentwicklungen SD-MM-RE-Programme.xlsx</v>
          </cell>
          <cell r="D837" t="str">
            <v>Nein</v>
          </cell>
        </row>
        <row r="838">
          <cell r="A838" t="str">
            <v>ZMM_RM08RELEASE</v>
          </cell>
          <cell r="B838" t="str">
            <v>Eigenentwicklungen SD-MM-RE-Programme</v>
          </cell>
          <cell r="C838" t="str">
            <v>Eigenentwicklungen SD-MM-RE-Programme.xlsx</v>
          </cell>
          <cell r="D838" t="str">
            <v>tbd</v>
          </cell>
        </row>
        <row r="839">
          <cell r="A839" t="str">
            <v>ZMM_LAPS10</v>
          </cell>
          <cell r="B839" t="str">
            <v>Eigenentwicklungen SD-MM-RE-Programme</v>
          </cell>
          <cell r="C839" t="str">
            <v>Eigenentwicklungen SD-MM-RE-Programme.xlsx</v>
          </cell>
          <cell r="D839" t="str">
            <v>Ja</v>
          </cell>
        </row>
        <row r="840">
          <cell r="A840" t="str">
            <v>ZMM_LAPS20</v>
          </cell>
          <cell r="B840" t="str">
            <v>Eigenentwicklungen SD-MM-RE-Programme</v>
          </cell>
          <cell r="C840" t="str">
            <v>Eigenentwicklungen SD-MM-RE-Programme.xlsx</v>
          </cell>
          <cell r="D840" t="str">
            <v>Ja</v>
          </cell>
        </row>
        <row r="841">
          <cell r="A841" t="str">
            <v>ZMM_LAPS30</v>
          </cell>
          <cell r="B841" t="str">
            <v>Eigenentwicklungen SD-MM-RE-Programme</v>
          </cell>
          <cell r="C841" t="str">
            <v>Eigenentwicklungen SD-MM-RE-Programme.xlsx</v>
          </cell>
          <cell r="D841" t="str">
            <v>Ja</v>
          </cell>
        </row>
        <row r="842">
          <cell r="A842" t="str">
            <v>ZMM_LAPS40</v>
          </cell>
          <cell r="B842" t="str">
            <v>Eigenentwicklungen SD-MM-RE-Programme</v>
          </cell>
          <cell r="C842" t="str">
            <v>Eigenentwicklungen SD-MM-RE-Programme.xlsx</v>
          </cell>
          <cell r="D842" t="str">
            <v>Ja</v>
          </cell>
        </row>
        <row r="843">
          <cell r="A843" t="str">
            <v>ZMM_LAPS45</v>
          </cell>
          <cell r="B843" t="str">
            <v>Eigenentwicklungen SD-MM-RE-Programme</v>
          </cell>
          <cell r="C843" t="str">
            <v>Eigenentwicklungen SD-MM-RE-Programme.xlsx</v>
          </cell>
          <cell r="D843" t="str">
            <v>Ja</v>
          </cell>
        </row>
        <row r="844">
          <cell r="A844" t="str">
            <v>ZMM_LAPS52</v>
          </cell>
          <cell r="B844" t="str">
            <v>Eigenentwicklungen SD-MM-RE-Programme</v>
          </cell>
          <cell r="C844" t="str">
            <v>Eigenentwicklungen SD-MM-RE-Programme.xlsx</v>
          </cell>
          <cell r="D844" t="str">
            <v>Ja</v>
          </cell>
        </row>
        <row r="845">
          <cell r="A845" t="str">
            <v>ZMM_LAPS60</v>
          </cell>
          <cell r="B845" t="str">
            <v>Eigenentwicklungen SD-MM-RE-Programme</v>
          </cell>
          <cell r="C845" t="str">
            <v>Eigenentwicklungen SD-MM-RE-Programme.xlsx</v>
          </cell>
          <cell r="D845" t="str">
            <v>Ja</v>
          </cell>
        </row>
        <row r="846">
          <cell r="A846" t="str">
            <v>ZMM_LAPS70</v>
          </cell>
          <cell r="B846" t="str">
            <v>Eigenentwicklungen SD-MM-RE-Programme</v>
          </cell>
          <cell r="C846" t="str">
            <v>Eigenentwicklungen SD-MM-RE-Programme.xlsx</v>
          </cell>
          <cell r="D846" t="str">
            <v>Ja</v>
          </cell>
        </row>
        <row r="847">
          <cell r="A847" t="str">
            <v>ZMM_LAPS73</v>
          </cell>
          <cell r="B847" t="str">
            <v>Eigenentwicklungen SD-MM-RE-Programme</v>
          </cell>
          <cell r="C847" t="str">
            <v>Eigenentwicklungen SD-MM-RE-Programme.xlsx</v>
          </cell>
          <cell r="D847" t="str">
            <v>Ja</v>
          </cell>
        </row>
        <row r="848">
          <cell r="A848" t="str">
            <v>ZMM_LAPS75</v>
          </cell>
          <cell r="B848" t="str">
            <v>Eigenentwicklungen SD-MM-RE-Programme</v>
          </cell>
          <cell r="C848" t="str">
            <v>Eigenentwicklungen SD-MM-RE-Programme.xlsx</v>
          </cell>
          <cell r="D848" t="str">
            <v>Ja</v>
          </cell>
        </row>
        <row r="849">
          <cell r="A849" t="str">
            <v>ZMM_LAPSDR</v>
          </cell>
          <cell r="B849" t="str">
            <v>Eigenentwicklungen SD-MM-RE-Programme</v>
          </cell>
          <cell r="C849" t="str">
            <v>Eigenentwicklungen SD-MM-RE-Programme.xlsx</v>
          </cell>
          <cell r="D849" t="str">
            <v>Ja</v>
          </cell>
        </row>
        <row r="850">
          <cell r="A850" t="str">
            <v>ZMM_LPS</v>
          </cell>
          <cell r="B850" t="str">
            <v>Eigenentwicklungen SD-MM-RE-Programme</v>
          </cell>
          <cell r="C850" t="str">
            <v>Eigenentwicklungen SD-MM-RE-Programme.xlsx</v>
          </cell>
          <cell r="D850" t="str">
            <v>Ja</v>
          </cell>
        </row>
        <row r="851">
          <cell r="A851" t="str">
            <v>ZFI_FB03</v>
          </cell>
          <cell r="B851" t="str">
            <v>Eigenentwicklungen SD-MM-RE-Programme</v>
          </cell>
          <cell r="C851" t="str">
            <v>Eigenentwicklungen SD-MM-RE-Programme.xlsx</v>
          </cell>
          <cell r="D851" t="str">
            <v>tbd</v>
          </cell>
        </row>
        <row r="852">
          <cell r="A852" t="str">
            <v>ZFI_AUSL_MENUE</v>
          </cell>
          <cell r="B852" t="str">
            <v>Eigenentwicklungen SD-MM-RE-Programme</v>
          </cell>
          <cell r="C852" t="str">
            <v>Eigenentwicklungen SD-MM-RE-Programme.xlsx</v>
          </cell>
          <cell r="D852" t="str">
            <v>tbd</v>
          </cell>
        </row>
        <row r="853">
          <cell r="A853" t="str">
            <v>ZFI_AUSL_MENUE_ADMIN</v>
          </cell>
          <cell r="B853" t="str">
            <v>Eigenentwicklungen SD-MM-RE-Programme</v>
          </cell>
          <cell r="C853" t="str">
            <v>Eigenentwicklungen SD-MM-RE-Programme.xlsx</v>
          </cell>
          <cell r="D853" t="str">
            <v>tbd</v>
          </cell>
        </row>
        <row r="854">
          <cell r="A854" t="str">
            <v>ZFI_AUSL_MENUE_ANZ</v>
          </cell>
          <cell r="B854" t="str">
            <v>Eigenentwicklungen SD-MM-RE-Programme</v>
          </cell>
          <cell r="C854" t="str">
            <v>Eigenentwicklungen SD-MM-RE-Programme.xlsx</v>
          </cell>
          <cell r="D854" t="str">
            <v>tbd</v>
          </cell>
        </row>
        <row r="855">
          <cell r="A855" t="str">
            <v>ZFI_AUSL_BEL</v>
          </cell>
          <cell r="B855" t="str">
            <v>Eigenentwicklungen SD-MM-RE-Programme</v>
          </cell>
          <cell r="C855" t="str">
            <v>Eigenentwicklungen SD-MM-RE-Programme.xlsx</v>
          </cell>
          <cell r="D855" t="str">
            <v>tbd</v>
          </cell>
        </row>
        <row r="856">
          <cell r="A856" t="str">
            <v>ZFI_AUSL_BEL_HIST</v>
          </cell>
          <cell r="B856" t="str">
            <v>Eigenentwicklungen SD-MM-RE-Programme</v>
          </cell>
          <cell r="C856" t="str">
            <v>Eigenentwicklungen SD-MM-RE-Programme.xlsx</v>
          </cell>
          <cell r="D856" t="str">
            <v>tbd</v>
          </cell>
        </row>
        <row r="857">
          <cell r="A857" t="str">
            <v>ZFI_AUSL_LISTE</v>
          </cell>
          <cell r="B857" t="str">
            <v>Eigenentwicklungen SD-MM-RE-Programme</v>
          </cell>
          <cell r="C857" t="str">
            <v>Eigenentwicklungen SD-MM-RE-Programme.xlsx</v>
          </cell>
          <cell r="D857" t="str">
            <v>tbd</v>
          </cell>
        </row>
        <row r="858">
          <cell r="A858" t="str">
            <v>ZRE_HDVM</v>
          </cell>
          <cell r="B858" t="str">
            <v>Eigenentwicklungen SD-MM-RE-Programme</v>
          </cell>
          <cell r="C858" t="str">
            <v>Eigenentwicklungen SD-MM-RE-Programme.xlsx</v>
          </cell>
          <cell r="D858" t="str">
            <v>tbd</v>
          </cell>
        </row>
        <row r="859">
          <cell r="A859" t="str">
            <v>ZRE_MIETBLATT</v>
          </cell>
          <cell r="B859" t="str">
            <v>Eigenentwicklungen SD-MM-RE-Programme</v>
          </cell>
          <cell r="C859" t="str">
            <v>Eigenentwicklungen SD-MM-RE-Programme.xlsx</v>
          </cell>
          <cell r="D859" t="str">
            <v>tbd</v>
          </cell>
        </row>
        <row r="860">
          <cell r="A860" t="str">
            <v>ZRE_OBJEKTBLATT</v>
          </cell>
          <cell r="B860" t="str">
            <v>Eigenentwicklungen SD-MM-RE-Programme</v>
          </cell>
          <cell r="C860" t="str">
            <v>Eigenentwicklungen SD-MM-RE-Programme.xlsx</v>
          </cell>
          <cell r="D860" t="str">
            <v>tbd</v>
          </cell>
        </row>
        <row r="861">
          <cell r="A861" t="str">
            <v>ZRE_STVARV_UPDATE</v>
          </cell>
          <cell r="B861" t="str">
            <v>Eigenentwicklungen SD-MM-RE-Programme</v>
          </cell>
          <cell r="C861" t="str">
            <v>Eigenentwicklungen SD-MM-RE-Programme.xlsx</v>
          </cell>
          <cell r="D861" t="str">
            <v>tbd</v>
          </cell>
        </row>
        <row r="862">
          <cell r="A862" t="str">
            <v>ZFI_SAKO_IMMO</v>
          </cell>
          <cell r="B862" t="str">
            <v>Eigenentwicklungen SD-MM-RE-Programme</v>
          </cell>
          <cell r="C862" t="str">
            <v>Eigenentwicklungen SD-MM-RE-Programme.xlsx</v>
          </cell>
          <cell r="D862" t="str">
            <v>tbd</v>
          </cell>
        </row>
        <row r="863">
          <cell r="A863" t="str">
            <v>ZSD_MM_RE_STATISTIK</v>
          </cell>
          <cell r="B863" t="str">
            <v>Eigenentwicklungen SD-MM-RE-Programme</v>
          </cell>
          <cell r="C863" t="str">
            <v>Eigenentwicklungen SD-MM-RE-Programme.xlsx</v>
          </cell>
          <cell r="D863" t="str">
            <v>tbd</v>
          </cell>
        </row>
        <row r="864">
          <cell r="A864" t="str">
            <v>ZBC_JOBCONTROL_vcl</v>
          </cell>
          <cell r="B864" t="str">
            <v>Eigenentwicklungen SD-MM-RE-Programme</v>
          </cell>
          <cell r="C864" t="str">
            <v>Eigenentwicklungen SD-MM-RE-Programme.xlsx</v>
          </cell>
          <cell r="D864" t="str">
            <v>tbd</v>
          </cell>
        </row>
        <row r="865">
          <cell r="A865" t="str">
            <v>ZBC_JOBCONTROL</v>
          </cell>
          <cell r="B865" t="str">
            <v>Eigenentwicklungen SD-MM-RE-Programme</v>
          </cell>
          <cell r="C865" t="str">
            <v>Eigenentwicklungen SD-MM-RE-Programme.xlsx</v>
          </cell>
          <cell r="D865" t="str">
            <v>tbd</v>
          </cell>
        </row>
        <row r="866">
          <cell r="A866" t="str">
            <v>ZSD_SHOKUN_MM</v>
          </cell>
          <cell r="B866" t="str">
            <v>Eigenentwicklungen SD-MM-RE-Programme</v>
          </cell>
          <cell r="C866" t="str">
            <v>Eigenentwicklungen SD-MM-RE-Programme.xlsx</v>
          </cell>
          <cell r="D866" t="str">
            <v>tbd</v>
          </cell>
        </row>
        <row r="867">
          <cell r="A867" t="str">
            <v>ZMM_BESTELLDRUCK</v>
          </cell>
          <cell r="B867" t="str">
            <v>Eigenentwicklungen SD-MM-RE-Programme</v>
          </cell>
          <cell r="C867" t="str">
            <v>Eigenentwicklungen SD-MM-RE-Programme.xlsx</v>
          </cell>
          <cell r="D867" t="str">
            <v>tbd</v>
          </cell>
        </row>
        <row r="868">
          <cell r="A868" t="str">
            <v>ZSD_MAR_DRUCK</v>
          </cell>
          <cell r="B868" t="str">
            <v>Eigenentwicklungen SD-MM-RE-Programme</v>
          </cell>
          <cell r="C868" t="str">
            <v>Eigenentwicklungen SD-MM-RE-Programme.xlsx</v>
          </cell>
          <cell r="D868" t="str">
            <v>tbd</v>
          </cell>
        </row>
        <row r="869">
          <cell r="A869" t="str">
            <v>ZSD_PRINT_CRATE</v>
          </cell>
          <cell r="B869" t="str">
            <v>Eigenentwicklungen SD-MM-RE-Programme</v>
          </cell>
          <cell r="C869" t="str">
            <v>Eigenentwicklungen SD-MM-RE-Programme.xlsx</v>
          </cell>
          <cell r="D869" t="str">
            <v>tbd</v>
          </cell>
        </row>
        <row r="870">
          <cell r="A870" t="str">
            <v>ZSD_ADDN01_EXIT</v>
          </cell>
          <cell r="B870" t="str">
            <v>Eigenentwicklungen SD-MM-RE-Programme</v>
          </cell>
          <cell r="C870" t="str">
            <v>Eigenentwicklungen SD-MM-RE-Programme.xlsx</v>
          </cell>
          <cell r="D870" t="str">
            <v>tbd</v>
          </cell>
        </row>
        <row r="871">
          <cell r="A871" t="str">
            <v>ZSD_ADIN01_EXIT</v>
          </cell>
          <cell r="B871" t="str">
            <v>Eigenentwicklungen SD-MM-RE-Programme</v>
          </cell>
          <cell r="C871" t="str">
            <v>Eigenentwicklungen SD-MM-RE-Programme.xlsx</v>
          </cell>
          <cell r="D871" t="str">
            <v>tbd</v>
          </cell>
        </row>
        <row r="872">
          <cell r="A872" t="str">
            <v>ZFI_SEPA_PRENOTE</v>
          </cell>
          <cell r="B872" t="str">
            <v>Eigenentwicklungen SD-MM-RE-Programme</v>
          </cell>
          <cell r="C872" t="str">
            <v>Eigenentwicklungen SD-MM-RE-Programme.xlsx</v>
          </cell>
          <cell r="D872" t="str">
            <v>tbd</v>
          </cell>
        </row>
        <row r="873">
          <cell r="A873" t="str">
            <v>ZFI_SPOOL_PDF</v>
          </cell>
          <cell r="B873" t="str">
            <v>Eigenentwicklungen SD-MM-RE-Programme</v>
          </cell>
          <cell r="C873" t="str">
            <v>Eigenentwicklungen SD-MM-RE-Programme.xlsx</v>
          </cell>
          <cell r="D873" t="str">
            <v>tbd</v>
          </cell>
        </row>
        <row r="874">
          <cell r="A874" t="str">
            <v>ZRE_DRUCK_CONTAINER</v>
          </cell>
          <cell r="B874" t="str">
            <v>Eigenentwicklungen SD-MM-RE-Programme</v>
          </cell>
          <cell r="C874" t="str">
            <v>Eigenentwicklungen SD-MM-RE-Programme.xlsx</v>
          </cell>
          <cell r="D874" t="str">
            <v>tbd</v>
          </cell>
        </row>
        <row r="875">
          <cell r="A875" t="str">
            <v>RFVIGM02</v>
          </cell>
          <cell r="B875" t="str">
            <v>Eigenentwicklungen SD-MM-RE-Programme</v>
          </cell>
          <cell r="C875" t="str">
            <v>Eigenentwicklungen SD-MM-RE-Programme.xlsx</v>
          </cell>
          <cell r="D875" t="str">
            <v>Nein</v>
          </cell>
        </row>
        <row r="876">
          <cell r="A876" t="str">
            <v>ZFVVI_MIETANP_CK</v>
          </cell>
          <cell r="B876" t="str">
            <v>Eigenentwicklungen SD-MM-RE-Programme</v>
          </cell>
          <cell r="C876" t="str">
            <v>Eigenentwicklungen SD-MM-RE-Programme.xlsx</v>
          </cell>
          <cell r="D876" t="str">
            <v>tbd</v>
          </cell>
        </row>
        <row r="877">
          <cell r="A877" t="str">
            <v>ZFVVI_NKABR</v>
          </cell>
          <cell r="B877" t="str">
            <v>Eigenentwicklungen SD-MM-RE-Programme</v>
          </cell>
          <cell r="C877" t="str">
            <v>Eigenentwicklungen SD-MM-RE-Programme.xlsx</v>
          </cell>
          <cell r="D877" t="str">
            <v>tbd</v>
          </cell>
        </row>
        <row r="878">
          <cell r="A878" t="str">
            <v>ZFVVI_NKABR_ANL</v>
          </cell>
          <cell r="B878" t="str">
            <v>Eigenentwicklungen SD-MM-RE-Programme</v>
          </cell>
          <cell r="C878" t="str">
            <v>Eigenentwicklungen SD-MM-RE-Programme.xlsx</v>
          </cell>
          <cell r="D878" t="str">
            <v>tbd</v>
          </cell>
        </row>
        <row r="879">
          <cell r="A879" t="str">
            <v>ZMM_MR_PRINT</v>
          </cell>
          <cell r="B879" t="str">
            <v>Eigenentwicklungen SD-MM-RE-Programme</v>
          </cell>
          <cell r="C879" t="str">
            <v>Eigenentwicklungen SD-MM-RE-Programme.xlsx</v>
          </cell>
          <cell r="D879" t="str">
            <v>tbd</v>
          </cell>
        </row>
        <row r="880">
          <cell r="A880" t="str">
            <v>ZSD_INV_LRG01</v>
          </cell>
          <cell r="B880" t="str">
            <v>Eigenentwicklungen SD-MM-RE-Programme</v>
          </cell>
          <cell r="C880" t="str">
            <v>Eigenentwicklungen SD-MM-RE-Programme.xlsx</v>
          </cell>
          <cell r="D880" t="str">
            <v>tbd</v>
          </cell>
        </row>
        <row r="881">
          <cell r="A881" t="str">
            <v>ZLRG_BEGLEIT01</v>
          </cell>
          <cell r="B881" t="str">
            <v>Eigenentwicklungen SD-MM-RE-Programme</v>
          </cell>
          <cell r="C881" t="str">
            <v>Eigenentwicklungen SD-MM-RE-Programme.xlsx</v>
          </cell>
          <cell r="D881" t="str">
            <v>tbd</v>
          </cell>
        </row>
        <row r="882">
          <cell r="A882" t="str">
            <v>ZSD_ORDER01_LAS</v>
          </cell>
          <cell r="B882" t="str">
            <v>Eigenentwicklungen SD-MM-RE-Programme</v>
          </cell>
          <cell r="C882" t="str">
            <v>Eigenentwicklungen SD-MM-RE-Programme.xlsx</v>
          </cell>
          <cell r="D882" t="str">
            <v>tbd</v>
          </cell>
        </row>
        <row r="883">
          <cell r="A883" t="str">
            <v>ZSD_PROVISION</v>
          </cell>
          <cell r="B883" t="str">
            <v>Eigenentwicklungen SD-MM-RE-Programme</v>
          </cell>
          <cell r="C883" t="str">
            <v>Eigenentwicklungen SD-MM-RE-Programme.xlsx</v>
          </cell>
          <cell r="D883" t="str">
            <v>tbd</v>
          </cell>
        </row>
        <row r="884">
          <cell r="A884" t="str">
            <v>ZSD_INVOICE_BAT</v>
          </cell>
          <cell r="B884" t="str">
            <v>Eigenentwicklungen SD-MM-RE-Programme</v>
          </cell>
          <cell r="C884" t="str">
            <v>Eigenentwicklungen SD-MM-RE-Programme.xlsx</v>
          </cell>
          <cell r="D884" t="str">
            <v>tbd</v>
          </cell>
        </row>
        <row r="885">
          <cell r="A885" t="str">
            <v>ZWASCHEIN</v>
          </cell>
          <cell r="B885" t="str">
            <v>Eigenentwicklungen SD-MM-RE-Programme</v>
          </cell>
          <cell r="C885" t="str">
            <v>Eigenentwicklungen SD-MM-RE-Programme.xlsx</v>
          </cell>
          <cell r="D885" t="str">
            <v>tbd</v>
          </cell>
        </row>
        <row r="886">
          <cell r="A886" t="str">
            <v>ZSD_INV_MAR01</v>
          </cell>
          <cell r="B886" t="str">
            <v>Eigenentwicklungen SD-MM-RE-Programme</v>
          </cell>
          <cell r="C886" t="str">
            <v>Eigenentwicklungen SD-MM-RE-Programme.xlsx</v>
          </cell>
          <cell r="D886" t="str">
            <v>tbd</v>
          </cell>
        </row>
        <row r="887">
          <cell r="A887" t="str">
            <v xml:space="preserve">ZSD_INVOICE01_SMART            </v>
          </cell>
          <cell r="B887" t="str">
            <v>Eigenentwicklungen SD-MM-RE-Programme</v>
          </cell>
          <cell r="C887" t="str">
            <v>Eigenentwicklungen SD-MM-RE-Programme.xlsx</v>
          </cell>
          <cell r="D887" t="str">
            <v>tbd</v>
          </cell>
        </row>
        <row r="888">
          <cell r="A888" t="str">
            <v xml:space="preserve">ZSD_INVOICE01_SMART_E         </v>
          </cell>
          <cell r="B888" t="str">
            <v>Eigenentwicklungen SD-MM-RE-Programme</v>
          </cell>
          <cell r="C888" t="str">
            <v>Eigenentwicklungen SD-MM-RE-Programme.xlsx</v>
          </cell>
          <cell r="D888" t="str">
            <v>tbd</v>
          </cell>
        </row>
        <row r="889">
          <cell r="A889" t="str">
            <v>ZSD_DELNOTE_LAS_SF</v>
          </cell>
          <cell r="B889" t="str">
            <v>Eigenentwicklungen SD-MM-RE-Programme</v>
          </cell>
          <cell r="C889" t="str">
            <v>Eigenentwicklungen SD-MM-RE-Programme.xlsx</v>
          </cell>
          <cell r="D889" t="str">
            <v>tbd</v>
          </cell>
        </row>
        <row r="890">
          <cell r="A890" t="str">
            <v>ZMEDRUCK</v>
          </cell>
          <cell r="B890" t="str">
            <v>Eigenentwicklungen SD-MM-RE-Programme</v>
          </cell>
          <cell r="C890" t="str">
            <v>Eigenentwicklungen SD-MM-RE-Programme.xlsx</v>
          </cell>
          <cell r="D890" t="str">
            <v>tbd</v>
          </cell>
        </row>
        <row r="891">
          <cell r="A891" t="str">
            <v>ZCA_MAPPCHECK</v>
          </cell>
          <cell r="B891" t="str">
            <v>Eigenentwicklungen SD-MM-RE-Programme</v>
          </cell>
          <cell r="C891" t="str">
            <v>Eigenentwicklungen SD-MM-RE-Programme.xlsx</v>
          </cell>
          <cell r="D891" t="str">
            <v>tbd</v>
          </cell>
        </row>
        <row r="892">
          <cell r="A892" t="str">
            <v>ZCA_WARTEN</v>
          </cell>
          <cell r="B892" t="str">
            <v>Eigenentwicklungen SD-MM-RE-Programme</v>
          </cell>
          <cell r="C892" t="str">
            <v>Eigenentwicklungen SD-MM-RE-Programme.xlsx</v>
          </cell>
          <cell r="D892" t="str">
            <v>tbd</v>
          </cell>
        </row>
        <row r="893">
          <cell r="A893" t="str">
            <v>ZBC_NACH_UPDATE_TESTSYSTEM</v>
          </cell>
          <cell r="B893" t="str">
            <v>Eigenentwicklungen SD-MM-RE-Programme</v>
          </cell>
          <cell r="C893" t="str">
            <v>Eigenentwicklungen SD-MM-RE-Programme.xlsx</v>
          </cell>
          <cell r="D893" t="str">
            <v>tbd</v>
          </cell>
        </row>
        <row r="894">
          <cell r="A894" t="str">
            <v>ZXM06U43</v>
          </cell>
          <cell r="B894" t="str">
            <v>Eigenentwicklungen SD-MM-RE-Programme</v>
          </cell>
          <cell r="C894" t="str">
            <v>Eigenentwicklungen SD-MM-RE-Programme.xlsx</v>
          </cell>
          <cell r="D894" t="str">
            <v>tbd</v>
          </cell>
        </row>
        <row r="895">
          <cell r="A895" t="str">
            <v>ZMV45AFZZ_MOVE_FIELD_TO_VBEP</v>
          </cell>
          <cell r="B895" t="str">
            <v>Eigenentwicklungen SD-MM-RE-Programme</v>
          </cell>
          <cell r="C895" t="str">
            <v>Eigenentwicklungen SD-MM-RE-Programme.xlsx</v>
          </cell>
          <cell r="D895" t="str">
            <v>tbd</v>
          </cell>
        </row>
        <row r="896">
          <cell r="A896" t="str">
            <v>ZMV45AFZZ_SAVE_DOCUMENT_PREPAR</v>
          </cell>
          <cell r="B896" t="str">
            <v>Eigenentwicklungen SD-MM-RE-Programme</v>
          </cell>
          <cell r="C896" t="str">
            <v>Eigenentwicklungen SD-MM-RE-Programme.xlsx</v>
          </cell>
          <cell r="D896" t="str">
            <v>Ja</v>
          </cell>
        </row>
        <row r="897">
          <cell r="A897" t="str">
            <v>ZXVEDU04</v>
          </cell>
          <cell r="B897" t="str">
            <v>Eigenentwicklungen SD-MM-RE-Programme</v>
          </cell>
          <cell r="C897" t="str">
            <v>Eigenentwicklungen SD-MM-RE-Programme.xlsx</v>
          </cell>
          <cell r="D897" t="str">
            <v>tbd</v>
          </cell>
        </row>
        <row r="898">
          <cell r="A898" t="str">
            <v>ZMV50AFZ1_MOVE_FIELD_TO_LIPS</v>
          </cell>
          <cell r="B898" t="str">
            <v>Eigenentwicklungen SD-MM-RE-Programme</v>
          </cell>
          <cell r="C898" t="str">
            <v>Eigenentwicklungen SD-MM-RE-Programme.xlsx</v>
          </cell>
          <cell r="D898" t="str">
            <v>tbd</v>
          </cell>
        </row>
        <row r="899">
          <cell r="A899" t="str">
            <v>ZMV50AFZ1_SAVE_DOCUMENT_PREPAR</v>
          </cell>
          <cell r="B899" t="str">
            <v>Eigenentwicklungen SD-MM-RE-Programme</v>
          </cell>
          <cell r="C899" t="str">
            <v>Eigenentwicklungen SD-MM-RE-Programme.xlsx</v>
          </cell>
          <cell r="D899" t="str">
            <v>tbd</v>
          </cell>
        </row>
        <row r="900">
          <cell r="A900" t="str">
            <v>ZXVVFTOP</v>
          </cell>
          <cell r="B900" t="str">
            <v>Eigenentwicklungen SD-MM-RE-Programme</v>
          </cell>
          <cell r="C900" t="str">
            <v>Eigenentwicklungen SD-MM-RE-Programme.xlsx</v>
          </cell>
          <cell r="D900" t="str">
            <v>tbd</v>
          </cell>
        </row>
        <row r="901">
          <cell r="A901" t="str">
            <v>ZXVVFZZZ</v>
          </cell>
          <cell r="B901" t="str">
            <v>Eigenentwicklungen SD-MM-RE-Programme</v>
          </cell>
          <cell r="C901" t="str">
            <v>Eigenentwicklungen SD-MM-RE-Programme.xlsx</v>
          </cell>
          <cell r="D901" t="str">
            <v>tbd</v>
          </cell>
        </row>
        <row r="902">
          <cell r="A902" t="str">
            <v>ZXVVFU01</v>
          </cell>
          <cell r="B902" t="str">
            <v>Eigenentwicklungen SD-MM-RE-Programme</v>
          </cell>
          <cell r="C902" t="str">
            <v>Eigenentwicklungen SD-MM-RE-Programme.xlsx</v>
          </cell>
          <cell r="D902" t="str">
            <v>tbd</v>
          </cell>
        </row>
        <row r="903">
          <cell r="A903" t="str">
            <v>ZXVVFU04</v>
          </cell>
          <cell r="B903" t="str">
            <v>Eigenentwicklungen SD-MM-RE-Programme</v>
          </cell>
          <cell r="C903" t="str">
            <v>Eigenentwicklungen SD-MM-RE-Programme.xlsx</v>
          </cell>
          <cell r="D903" t="str">
            <v>tbd</v>
          </cell>
        </row>
        <row r="904">
          <cell r="A904" t="str">
            <v>ZXVVFU06</v>
          </cell>
          <cell r="B904" t="str">
            <v>Eigenentwicklungen SD-MM-RE-Programme</v>
          </cell>
          <cell r="C904" t="str">
            <v>Eigenentwicklungen SD-MM-RE-Programme.xlsx</v>
          </cell>
          <cell r="D904" t="str">
            <v>tbd</v>
          </cell>
        </row>
        <row r="905">
          <cell r="A905" t="str">
            <v>ZXVVFU02</v>
          </cell>
          <cell r="B905" t="str">
            <v>Eigenentwicklungen SD-MM-RE-Programme</v>
          </cell>
          <cell r="C905" t="str">
            <v>Eigenentwicklungen SD-MM-RE-Programme.xlsx</v>
          </cell>
          <cell r="D905" t="str">
            <v>tbd</v>
          </cell>
        </row>
        <row r="906">
          <cell r="A906" t="str">
            <v>ZXVVFU03</v>
          </cell>
          <cell r="B906" t="str">
            <v>Eigenentwicklungen SD-MM-RE-Programme</v>
          </cell>
          <cell r="C906" t="str">
            <v>Eigenentwicklungen SD-MM-RE-Programme.xlsx</v>
          </cell>
          <cell r="D906" t="str">
            <v>tbd</v>
          </cell>
        </row>
        <row r="907">
          <cell r="A907" t="str">
            <v>ZXM08U29</v>
          </cell>
          <cell r="B907" t="str">
            <v>Eigenentwicklungen SD-MM-RE-Programme</v>
          </cell>
          <cell r="C907" t="str">
            <v>Eigenentwicklungen SD-MM-RE-Programme.xlsx</v>
          </cell>
          <cell r="D907" t="str">
            <v>tbd</v>
          </cell>
        </row>
        <row r="908">
          <cell r="A908" t="str">
            <v>ZXM08U20</v>
          </cell>
          <cell r="B908" t="str">
            <v>Eigenentwicklungen SD-MM-RE-Programme</v>
          </cell>
          <cell r="C908" t="str">
            <v>Eigenentwicklungen SD-MM-RE-Programme.xlsx</v>
          </cell>
          <cell r="D908" t="str">
            <v>tbd</v>
          </cell>
        </row>
        <row r="909">
          <cell r="A909" t="str">
            <v xml:space="preserve">ZXM08U01 </v>
          </cell>
          <cell r="B909" t="str">
            <v>Eigenentwicklungen SD-MM-RE-Programme</v>
          </cell>
          <cell r="C909" t="str">
            <v>Eigenentwicklungen SD-MM-RE-Programme.xlsx</v>
          </cell>
          <cell r="D909" t="str">
            <v>Nein</v>
          </cell>
        </row>
        <row r="910">
          <cell r="A910" t="str">
            <v>ZXMBCU02</v>
          </cell>
          <cell r="B910" t="str">
            <v>Eigenentwicklungen SD-MM-RE-Programme</v>
          </cell>
          <cell r="C910" t="str">
            <v>Eigenentwicklungen SD-MM-RE-Programme.xlsx</v>
          </cell>
          <cell r="D910" t="str">
            <v>tbd</v>
          </cell>
        </row>
        <row r="911">
          <cell r="A911" t="str">
            <v>ZSD_SWA_LAGERABGANG_UMB</v>
          </cell>
          <cell r="B911" t="str">
            <v>Eigenentwicklungen SD-MM-RE-Programme</v>
          </cell>
          <cell r="C911" t="str">
            <v>Eigenentwicklungen SD-MM-RE-Programme.xlsx</v>
          </cell>
          <cell r="D911" t="str">
            <v>tbd</v>
          </cell>
        </row>
        <row r="912">
          <cell r="A912" t="str">
            <v>ZSD_SWA_LAGERABGANG_VERK</v>
          </cell>
          <cell r="B912" t="str">
            <v>Eigenentwicklungen SD-MM-RE-Programme</v>
          </cell>
          <cell r="C912" t="str">
            <v>Eigenentwicklungen SD-MM-RE-Programme.xlsx</v>
          </cell>
          <cell r="D912" t="str">
            <v>tbd</v>
          </cell>
        </row>
        <row r="913">
          <cell r="A913" t="str">
            <v>ZSD_SWA_LISTELAGAB</v>
          </cell>
          <cell r="B913" t="str">
            <v>Eigenentwicklungen SD-MM-RE-Programme</v>
          </cell>
          <cell r="C913" t="str">
            <v>Eigenentwicklungen SD-MM-RE-Programme.xlsx</v>
          </cell>
          <cell r="D913" t="str">
            <v>tbd</v>
          </cell>
        </row>
        <row r="914">
          <cell r="A914" t="str">
            <v>ZSD_SWA_VERBUCHEN_BEST</v>
          </cell>
          <cell r="B914" t="str">
            <v>Eigenentwicklungen SD-MM-RE-Programme</v>
          </cell>
          <cell r="C914" t="str">
            <v>Eigenentwicklungen SD-MM-RE-Programme.xlsx</v>
          </cell>
          <cell r="D914" t="str">
            <v>tbd</v>
          </cell>
        </row>
        <row r="915">
          <cell r="A915" t="str">
            <v>ZMM_LAPSUP</v>
          </cell>
          <cell r="B915" t="str">
            <v>Eigenentwicklungen SD-MM-RE-Programme</v>
          </cell>
          <cell r="C915" t="str">
            <v>Eigenentwicklungen SD-MM-RE-Programme.xlsx</v>
          </cell>
          <cell r="D915" t="str">
            <v>tbd</v>
          </cell>
        </row>
        <row r="916">
          <cell r="A916" t="str">
            <v>ZMM_INVBEW_BIP</v>
          </cell>
          <cell r="B916" t="str">
            <v>Eigenentwicklungen SD-MM-RE-Programme</v>
          </cell>
          <cell r="C916" t="str">
            <v>Eigenentwicklungen SD-MM-RE-Programme.xlsx</v>
          </cell>
          <cell r="D916" t="str">
            <v>tbd</v>
          </cell>
        </row>
        <row r="917">
          <cell r="A917" t="str">
            <v>ZMM_ME12</v>
          </cell>
          <cell r="B917" t="str">
            <v>Eigenentwicklungen SD-MM-RE-Programme</v>
          </cell>
          <cell r="C917" t="str">
            <v>Eigenentwicklungen SD-MM-RE-Programme.xlsx</v>
          </cell>
          <cell r="D917" t="str">
            <v>Nein</v>
          </cell>
        </row>
        <row r="918">
          <cell r="A918" t="str">
            <v>ZMM_LAPSBU</v>
          </cell>
          <cell r="B918" t="str">
            <v>Eigenentwicklungen SD-MM-RE-Programme</v>
          </cell>
          <cell r="C918" t="str">
            <v>Eigenentwicklungen SD-MM-RE-Programme.xlsx</v>
          </cell>
          <cell r="D918" t="str">
            <v>Nein</v>
          </cell>
        </row>
        <row r="919">
          <cell r="A919" t="str">
            <v>ZFI_BESCHAFFUNG</v>
          </cell>
          <cell r="B919" t="str">
            <v>Eigenentwicklungen SD-MM-RE-Programme</v>
          </cell>
          <cell r="C919" t="str">
            <v>Eigenentwicklungen SD-MM-RE-Programme.xlsx</v>
          </cell>
          <cell r="D919" t="str">
            <v>Nein</v>
          </cell>
        </row>
        <row r="920">
          <cell r="A920" t="str">
            <v>ZSD_AUFT_MAT</v>
          </cell>
          <cell r="B920" t="str">
            <v>Eigenentwicklungen SD-MM-RE-Programme</v>
          </cell>
          <cell r="C920" t="str">
            <v>Eigenentwicklungen SD-MM-RE-Programme.xlsx</v>
          </cell>
          <cell r="D920" t="str">
            <v>Nein</v>
          </cell>
        </row>
        <row r="921">
          <cell r="A921" t="str">
            <v>ZFI_SD_UM</v>
          </cell>
          <cell r="B921" t="str">
            <v>Eigenentwicklungen SD-MM-RE-Programme</v>
          </cell>
          <cell r="C921" t="str">
            <v>Eigenentwicklungen SD-MM-RE-Programme.xlsx</v>
          </cell>
          <cell r="D921" t="str">
            <v>Nein</v>
          </cell>
        </row>
        <row r="922">
          <cell r="A922" t="str">
            <v>ZSD_FVSTAT</v>
          </cell>
          <cell r="B922" t="str">
            <v>Eigenentwicklungen SD-MM-RE-Programme</v>
          </cell>
          <cell r="C922" t="str">
            <v>Eigenentwicklungen SD-MM-RE-Programme.xlsx</v>
          </cell>
          <cell r="D922" t="str">
            <v>Nein</v>
          </cell>
        </row>
        <row r="923">
          <cell r="A923" t="str">
            <v>ZMM_INTR00</v>
          </cell>
          <cell r="B923" t="str">
            <v>Eigenentwicklungen SD-MM-RE-Programme</v>
          </cell>
          <cell r="C923" t="str">
            <v>Eigenentwicklungen SD-MM-RE-Programme.xlsx</v>
          </cell>
          <cell r="D923" t="str">
            <v>Nein</v>
          </cell>
        </row>
        <row r="924">
          <cell r="A924" t="str">
            <v>ZSD_INTR00</v>
          </cell>
          <cell r="B924" t="str">
            <v>Eigenentwicklungen SD-MM-RE-Programme</v>
          </cell>
          <cell r="C924" t="str">
            <v>Eigenentwicklungen SD-MM-RE-Programme.xlsx</v>
          </cell>
          <cell r="D924" t="str">
            <v>Nein</v>
          </cell>
        </row>
        <row r="925">
          <cell r="A925" t="str">
            <v>ZMM_VLG0</v>
          </cell>
          <cell r="B925" t="str">
            <v>Eigenentwicklungen SD-MM-RE-Programme</v>
          </cell>
          <cell r="C925" t="str">
            <v>Eigenentwicklungen SD-MM-RE-Programme.xlsx</v>
          </cell>
          <cell r="D925" t="str">
            <v>Nein</v>
          </cell>
        </row>
        <row r="926">
          <cell r="A926" t="str">
            <v>ZMM_VLG_BEWEG</v>
          </cell>
          <cell r="B926" t="str">
            <v>Eigenentwicklungen SD-MM-RE-Programme</v>
          </cell>
          <cell r="C926" t="str">
            <v>Eigenentwicklungen SD-MM-RE-Programme.xlsx</v>
          </cell>
          <cell r="D926" t="str">
            <v>Nein</v>
          </cell>
        </row>
        <row r="927">
          <cell r="A927" t="str">
            <v>ZMM_VLG_EXP_BEST</v>
          </cell>
          <cell r="B927" t="str">
            <v>Eigenentwicklungen SD-MM-RE-Programme</v>
          </cell>
          <cell r="C927" t="str">
            <v>Eigenentwicklungen SD-MM-RE-Programme.xlsx</v>
          </cell>
          <cell r="D927" t="str">
            <v>Nein</v>
          </cell>
        </row>
        <row r="928">
          <cell r="A928" t="str">
            <v>ZMM_VLG_IMPORT</v>
          </cell>
          <cell r="B928" t="str">
            <v>Eigenentwicklungen SD-MM-RE-Programme</v>
          </cell>
          <cell r="C928" t="str">
            <v>Eigenentwicklungen SD-MM-RE-Programme.xlsx</v>
          </cell>
          <cell r="D928" t="str">
            <v>Nein</v>
          </cell>
        </row>
        <row r="929">
          <cell r="A929" t="str">
            <v>ZMM_VLG_LIST_A</v>
          </cell>
          <cell r="B929" t="str">
            <v>Eigenentwicklungen SD-MM-RE-Programme</v>
          </cell>
          <cell r="C929" t="str">
            <v>Eigenentwicklungen SD-MM-RE-Programme.xlsx</v>
          </cell>
          <cell r="D929" t="str">
            <v>Nein</v>
          </cell>
        </row>
        <row r="930">
          <cell r="A930" t="str">
            <v>ZMM_VLG_LIST_B</v>
          </cell>
          <cell r="B930" t="str">
            <v>Eigenentwicklungen SD-MM-RE-Programme</v>
          </cell>
          <cell r="C930" t="str">
            <v>Eigenentwicklungen SD-MM-RE-Programme.xlsx</v>
          </cell>
          <cell r="D930" t="str">
            <v>Nein</v>
          </cell>
        </row>
        <row r="931">
          <cell r="A931" t="str">
            <v>ZMM_VLG_LIST_L</v>
          </cell>
          <cell r="B931" t="str">
            <v>Eigenentwicklungen SD-MM-RE-Programme</v>
          </cell>
          <cell r="C931" t="str">
            <v>Eigenentwicklungen SD-MM-RE-Programme.xlsx</v>
          </cell>
          <cell r="D931" t="str">
            <v>Nein</v>
          </cell>
        </row>
        <row r="932">
          <cell r="A932" t="str">
            <v>ZMM_VLG_MEN</v>
          </cell>
          <cell r="B932" t="str">
            <v>Eigenentwicklungen SD-MM-RE-Programme</v>
          </cell>
          <cell r="C932" t="str">
            <v>Eigenentwicklungen SD-MM-RE-Programme.xlsx</v>
          </cell>
          <cell r="D932" t="str">
            <v>Nein</v>
          </cell>
        </row>
        <row r="933">
          <cell r="A933" t="str">
            <v>ZMM_VLG_UMBEW</v>
          </cell>
          <cell r="B933" t="str">
            <v>Eigenentwicklungen SD-MM-RE-Programme</v>
          </cell>
          <cell r="C933" t="str">
            <v>Eigenentwicklungen SD-MM-RE-Programme.xlsx</v>
          </cell>
          <cell r="D933" t="str">
            <v>Nein</v>
          </cell>
        </row>
        <row r="934">
          <cell r="A934" t="str">
            <v>ZMM_VLG_UMBLST</v>
          </cell>
          <cell r="B934" t="str">
            <v>Eigenentwicklungen SD-MM-RE-Programme</v>
          </cell>
          <cell r="C934" t="str">
            <v>Eigenentwicklungen SD-MM-RE-Programme.xlsx</v>
          </cell>
          <cell r="D934" t="str">
            <v>Nein</v>
          </cell>
        </row>
        <row r="935">
          <cell r="A935" t="str">
            <v>ZBC_WPS_BENUTZER</v>
          </cell>
          <cell r="B935" t="str">
            <v>Eigenentwicklungen SD-MM-RE-Programme</v>
          </cell>
          <cell r="C935" t="str">
            <v>Eigenentwicklungen SD-MM-RE-Programme.xlsx</v>
          </cell>
          <cell r="D935" t="str">
            <v>Nein</v>
          </cell>
        </row>
        <row r="936">
          <cell r="A936" t="str">
            <v>ZBC_WPS_B_FREIGEBER</v>
          </cell>
          <cell r="B936" t="str">
            <v>Eigenentwicklungen SD-MM-RE-Programme</v>
          </cell>
          <cell r="C936" t="str">
            <v>Eigenentwicklungen SD-MM-RE-Programme.xlsx</v>
          </cell>
          <cell r="D936" t="str">
            <v>Nein</v>
          </cell>
        </row>
        <row r="937">
          <cell r="A937" t="str">
            <v>ZBC_WPS_B_FRGTEST</v>
          </cell>
          <cell r="B937" t="str">
            <v>Eigenentwicklungen SD-MM-RE-Programme</v>
          </cell>
          <cell r="C937" t="str">
            <v>Eigenentwicklungen SD-MM-RE-Programme.xlsx</v>
          </cell>
          <cell r="D937" t="str">
            <v>Nein</v>
          </cell>
        </row>
        <row r="938">
          <cell r="A938" t="str">
            <v>ZBC_WPS_CONTRCHECK</v>
          </cell>
          <cell r="B938" t="str">
            <v>Eigenentwicklungen SD-MM-RE-Programme</v>
          </cell>
          <cell r="C938" t="str">
            <v>Eigenentwicklungen SD-MM-RE-Programme.xlsx</v>
          </cell>
          <cell r="D938" t="str">
            <v>Nein</v>
          </cell>
        </row>
        <row r="939">
          <cell r="A939" t="str">
            <v>ZBC_WPS_CONTROLLER</v>
          </cell>
          <cell r="B939" t="str">
            <v>Eigenentwicklungen SD-MM-RE-Programme</v>
          </cell>
          <cell r="C939" t="str">
            <v>Eigenentwicklungen SD-MM-RE-Programme.xlsx</v>
          </cell>
          <cell r="D939" t="str">
            <v>Nein</v>
          </cell>
        </row>
        <row r="940">
          <cell r="A940" t="str">
            <v>ZBC_WPS_KONTRAKTE</v>
          </cell>
          <cell r="B940" t="str">
            <v>Eigenentwicklungen SD-MM-RE-Programme</v>
          </cell>
          <cell r="C940" t="str">
            <v>Eigenentwicklungen SD-MM-RE-Programme.xlsx</v>
          </cell>
          <cell r="D940" t="str">
            <v>Nein</v>
          </cell>
        </row>
        <row r="941">
          <cell r="A941" t="str">
            <v>ZBC_WPS_KOSTL</v>
          </cell>
          <cell r="B941" t="str">
            <v>Eigenentwicklungen SD-MM-RE-Programme</v>
          </cell>
          <cell r="C941" t="str">
            <v>Eigenentwicklungen SD-MM-RE-Programme.xlsx</v>
          </cell>
          <cell r="D941" t="str">
            <v>Nein</v>
          </cell>
        </row>
        <row r="942">
          <cell r="A942" t="str">
            <v>ZBC_WPS_LAGERARTIKEL</v>
          </cell>
          <cell r="B942" t="str">
            <v>Eigenentwicklungen SD-MM-RE-Programme</v>
          </cell>
          <cell r="C942" t="str">
            <v>Eigenentwicklungen SD-MM-RE-Programme.xlsx</v>
          </cell>
          <cell r="D942" t="str">
            <v>Nein</v>
          </cell>
        </row>
        <row r="943">
          <cell r="A943" t="str">
            <v>ZBC_WPS_LIEFERANTEN</v>
          </cell>
          <cell r="B943" t="str">
            <v>Eigenentwicklungen SD-MM-RE-Programme</v>
          </cell>
          <cell r="C943" t="str">
            <v>Eigenentwicklungen SD-MM-RE-Programme.xlsx</v>
          </cell>
          <cell r="D943" t="str">
            <v>Nein</v>
          </cell>
        </row>
        <row r="944">
          <cell r="A944" t="str">
            <v>ZBC_WPS_SACHKONTEN</v>
          </cell>
          <cell r="B944" t="str">
            <v>Eigenentwicklungen SD-MM-RE-Programme</v>
          </cell>
          <cell r="C944" t="str">
            <v>Eigenentwicklungen SD-MM-RE-Programme.xlsx</v>
          </cell>
          <cell r="D944" t="str">
            <v>Nein</v>
          </cell>
        </row>
        <row r="945">
          <cell r="A945" t="str">
            <v>ZSD_WPVKOM</v>
          </cell>
          <cell r="B945" t="str">
            <v>Eigenentwicklungen SD-MM-RE-Programme</v>
          </cell>
          <cell r="C945" t="str">
            <v>Eigenentwicklungen SD-MM-RE-Programme.xlsx</v>
          </cell>
          <cell r="D945" t="str">
            <v>Nein</v>
          </cell>
        </row>
        <row r="946">
          <cell r="A946" t="str">
            <v>ZMM_ME2K</v>
          </cell>
          <cell r="B946" t="str">
            <v>Eigenentwicklungen SD-MM-RE-Programme</v>
          </cell>
          <cell r="C946" t="str">
            <v>Eigenentwicklungen SD-MM-RE-Programme.xlsx</v>
          </cell>
          <cell r="D946" t="str">
            <v>Nein</v>
          </cell>
        </row>
        <row r="947">
          <cell r="A947" t="str">
            <v>ZMM_VLGMAT</v>
          </cell>
          <cell r="B947" t="str">
            <v>Eigenentwicklungen SD-MM-RE-Programme</v>
          </cell>
          <cell r="C947" t="str">
            <v>Eigenentwicklungen SD-MM-RE-Programme.xlsx</v>
          </cell>
          <cell r="D947" t="str">
            <v>Nein</v>
          </cell>
        </row>
        <row r="948">
          <cell r="A948" t="str">
            <v>ZSD_AUFT</v>
          </cell>
          <cell r="B948" t="str">
            <v>Eigenentwicklungen SD-MM-RE-Programme</v>
          </cell>
          <cell r="C948" t="str">
            <v>Eigenentwicklungen SD-MM-RE-Programme.xlsx</v>
          </cell>
          <cell r="D948" t="str">
            <v>Nein</v>
          </cell>
        </row>
        <row r="949">
          <cell r="A949" t="str">
            <v>ZSD_LAST</v>
          </cell>
          <cell r="B949" t="str">
            <v>Eigenentwicklungen SD-MM-RE-Programme</v>
          </cell>
          <cell r="C949" t="str">
            <v>Eigenentwicklungen SD-MM-RE-Programme.xlsx</v>
          </cell>
          <cell r="D949" t="str">
            <v>Nein</v>
          </cell>
        </row>
        <row r="950">
          <cell r="A950" t="str">
            <v>ZSD_FDAR</v>
          </cell>
          <cell r="B950" t="str">
            <v>Eigenentwicklungen SD-MM-RE-Programme</v>
          </cell>
          <cell r="C950" t="str">
            <v>Eigenentwicklungen SD-MM-RE-Programme.xlsx</v>
          </cell>
          <cell r="D950" t="str">
            <v>Nein</v>
          </cell>
        </row>
        <row r="951">
          <cell r="A951" t="str">
            <v>ZSD_VLGVINKO</v>
          </cell>
          <cell r="B951" t="str">
            <v>Eigenentwicklungen SD-MM-RE-Programme</v>
          </cell>
          <cell r="C951" t="str">
            <v>Eigenentwicklungen SD-MM-RE-Programme.xlsx</v>
          </cell>
          <cell r="D951" t="str">
            <v>Nein</v>
          </cell>
        </row>
        <row r="952">
          <cell r="A952" t="str">
            <v>ZMM_GVA</v>
          </cell>
          <cell r="B952" t="str">
            <v>Eigenentwicklungen SD-MM-RE-Programme</v>
          </cell>
          <cell r="C952" t="str">
            <v>Eigenentwicklungen SD-MM-RE-Programme.xlsx</v>
          </cell>
          <cell r="D952" t="str">
            <v>Nein</v>
          </cell>
        </row>
        <row r="953">
          <cell r="A953" t="str">
            <v>ZMM_GVA1</v>
          </cell>
          <cell r="B953" t="str">
            <v>Eigenentwicklungen SD-MM-RE-Programme</v>
          </cell>
          <cell r="C953" t="str">
            <v>Eigenentwicklungen SD-MM-RE-Programme.xlsx</v>
          </cell>
          <cell r="D953" t="str">
            <v>Nein</v>
          </cell>
        </row>
        <row r="954">
          <cell r="A954" t="str">
            <v>ZMM_GVA3</v>
          </cell>
          <cell r="B954" t="str">
            <v>Eigenentwicklungen SD-MM-RE-Programme</v>
          </cell>
          <cell r="C954" t="str">
            <v>Eigenentwicklungen SD-MM-RE-Programme.xlsx</v>
          </cell>
          <cell r="D954" t="str">
            <v>Nein</v>
          </cell>
        </row>
        <row r="955">
          <cell r="A955" t="str">
            <v>ZMM_GVAA</v>
          </cell>
          <cell r="B955" t="str">
            <v>Eigenentwicklungen SD-MM-RE-Programme</v>
          </cell>
          <cell r="C955" t="str">
            <v>Eigenentwicklungen SD-MM-RE-Programme.xlsx</v>
          </cell>
          <cell r="D955" t="str">
            <v>Nein</v>
          </cell>
        </row>
        <row r="956">
          <cell r="A956" t="str">
            <v>ZMM_GVA_SD</v>
          </cell>
          <cell r="B956" t="str">
            <v>Eigenentwicklungen SD-MM-RE-Programme</v>
          </cell>
          <cell r="C956" t="str">
            <v>Eigenentwicklungen SD-MM-RE-Programme.xlsx</v>
          </cell>
          <cell r="D956" t="str">
            <v>Nein</v>
          </cell>
        </row>
        <row r="957">
          <cell r="A957" t="str">
            <v>ZMM_WPVPORTO</v>
          </cell>
          <cell r="B957" t="str">
            <v>Eigenentwicklungen SD-MM-RE-Programme</v>
          </cell>
          <cell r="C957" t="str">
            <v>Eigenentwicklungen SD-MM-RE-Programme.xlsx</v>
          </cell>
          <cell r="D957" t="str">
            <v>Nein</v>
          </cell>
        </row>
        <row r="958">
          <cell r="A958" t="str">
            <v>ZMM_WPVSEC</v>
          </cell>
          <cell r="B958" t="str">
            <v>Eigenentwicklungen SD-MM-RE-Programme</v>
          </cell>
          <cell r="C958" t="str">
            <v>Eigenentwicklungen SD-MM-RE-Programme.xlsx</v>
          </cell>
          <cell r="D958" t="str">
            <v>Nein</v>
          </cell>
        </row>
        <row r="959">
          <cell r="A959" t="str">
            <v>ZSD_TOLA85</v>
          </cell>
          <cell r="B959" t="str">
            <v>Eigenentwicklungen SD-MM-RE-Programme</v>
          </cell>
          <cell r="C959" t="str">
            <v>Eigenentwicklungen SD-MM-RE-Programme.xlsx</v>
          </cell>
          <cell r="D959" t="str">
            <v>Nein</v>
          </cell>
        </row>
        <row r="960">
          <cell r="A960" t="str">
            <v>ZMM_VSTDISP</v>
          </cell>
          <cell r="B960" t="str">
            <v>Eigenentwicklungen SD-MM-RE-Programme</v>
          </cell>
          <cell r="C960" t="str">
            <v>Eigenentwicklungen SD-MM-RE-Programme.xlsx</v>
          </cell>
          <cell r="D960" t="str">
            <v>Nein</v>
          </cell>
        </row>
        <row r="961">
          <cell r="A961" t="str">
            <v>ZSD_TOLA86</v>
          </cell>
          <cell r="B961" t="str">
            <v>Eigenentwicklungen SD-MM-RE-Programme</v>
          </cell>
          <cell r="C961" t="str">
            <v>Eigenentwicklungen SD-MM-RE-Programme.xlsx</v>
          </cell>
          <cell r="D961" t="str">
            <v>Nein</v>
          </cell>
        </row>
        <row r="962">
          <cell r="A962" t="str">
            <v>ZSD_FZEK</v>
          </cell>
          <cell r="B962" t="str">
            <v>Eigenentwicklungen SD-MM-RE-Programme</v>
          </cell>
          <cell r="C962" t="str">
            <v>Eigenentwicklungen SD-MM-RE-Programme.xlsx</v>
          </cell>
          <cell r="D962" t="str">
            <v>Nein</v>
          </cell>
        </row>
        <row r="963">
          <cell r="A963" t="str">
            <v>ZMM_ARTNEU</v>
          </cell>
          <cell r="B963" t="str">
            <v>Eigenentwicklungen SD-MM-RE-Programme</v>
          </cell>
          <cell r="C963" t="str">
            <v>Eigenentwicklungen SD-MM-RE-Programme.xlsx</v>
          </cell>
          <cell r="D963" t="str">
            <v>Nein</v>
          </cell>
        </row>
        <row r="964">
          <cell r="A964" t="str">
            <v>ZMM_BESTELLAUSWERTUNG</v>
          </cell>
          <cell r="B964" t="str">
            <v>Eigenentwicklungen SD-MM-RE-Programme</v>
          </cell>
          <cell r="C964" t="str">
            <v>Eigenentwicklungen SD-MM-RE-Programme.xlsx</v>
          </cell>
          <cell r="D964" t="str">
            <v>Nein</v>
          </cell>
        </row>
        <row r="965">
          <cell r="A965" t="str">
            <v>ZMM_WPVR1</v>
          </cell>
          <cell r="B965" t="str">
            <v>Eigenentwicklungen SD-MM-RE-Programme</v>
          </cell>
          <cell r="C965" t="str">
            <v>Eigenentwicklungen SD-MM-RE-Programme.xlsx</v>
          </cell>
          <cell r="D965" t="str">
            <v>Nein</v>
          </cell>
        </row>
        <row r="966">
          <cell r="A966" t="str">
            <v>ZMM_WPVR2</v>
          </cell>
          <cell r="B966" t="str">
            <v>Eigenentwicklungen SD-MM-RE-Programme</v>
          </cell>
          <cell r="C966" t="str">
            <v>Eigenentwicklungen SD-MM-RE-Programme.xlsx</v>
          </cell>
          <cell r="D966" t="str">
            <v>Nein</v>
          </cell>
        </row>
        <row r="967">
          <cell r="A967" t="str">
            <v>ZSD_JAGA</v>
          </cell>
          <cell r="B967" t="str">
            <v>Eigenentwicklungen SD-MM-RE-Programme</v>
          </cell>
          <cell r="C967" t="str">
            <v>Eigenentwicklungen SD-MM-RE-Programme.xlsx</v>
          </cell>
          <cell r="D967" t="str">
            <v>Nein</v>
          </cell>
        </row>
        <row r="968">
          <cell r="A968" t="str">
            <v>ZSD_JAGAUFPC</v>
          </cell>
          <cell r="B968" t="str">
            <v>Eigenentwicklungen SD-MM-RE-Programme</v>
          </cell>
          <cell r="C968" t="str">
            <v>Eigenentwicklungen SD-MM-RE-Programme.xlsx</v>
          </cell>
          <cell r="D968" t="str">
            <v>Nein</v>
          </cell>
        </row>
        <row r="969">
          <cell r="A969" t="str">
            <v>ZSD_KUNRESUPD</v>
          </cell>
          <cell r="B969" t="str">
            <v>Eigenentwicklungen SD-MM-RE-Programme</v>
          </cell>
          <cell r="C969" t="str">
            <v>Eigenentwicklungen SD-MM-RE-Programme.xlsx</v>
          </cell>
          <cell r="D969" t="str">
            <v>Nein</v>
          </cell>
        </row>
        <row r="970">
          <cell r="A970" t="str">
            <v>ZSD_AUFT_JAG</v>
          </cell>
          <cell r="B970" t="str">
            <v>Eigenentwicklungen SD-MM-RE-Programme</v>
          </cell>
          <cell r="C970" t="str">
            <v>Eigenentwicklungen SD-MM-RE-Programme.xlsx</v>
          </cell>
          <cell r="D970" t="str">
            <v>Nein</v>
          </cell>
        </row>
        <row r="971">
          <cell r="A971" t="str">
            <v>ZSD_JAGA_LS_3E</v>
          </cell>
          <cell r="B971" t="str">
            <v>Eigenentwicklungen SD-MM-RE-Programme</v>
          </cell>
          <cell r="C971" t="str">
            <v>Eigenentwicklungen SD-MM-RE-Programme.xlsx</v>
          </cell>
          <cell r="D971" t="str">
            <v>Nein</v>
          </cell>
        </row>
        <row r="972">
          <cell r="A972" t="str">
            <v>ZSD_JAGSTA</v>
          </cell>
          <cell r="B972" t="str">
            <v>Eigenentwicklungen SD-MM-RE-Programme</v>
          </cell>
          <cell r="C972" t="str">
            <v>Eigenentwicklungen SD-MM-RE-Programme.xlsx</v>
          </cell>
          <cell r="D972" t="str">
            <v>Nein</v>
          </cell>
        </row>
        <row r="973">
          <cell r="A973" t="str">
            <v>ZSD_TS_KUM</v>
          </cell>
          <cell r="B973" t="str">
            <v>Eigenentwicklungen SD-MM-RE-Programme</v>
          </cell>
          <cell r="C973" t="str">
            <v>Eigenentwicklungen SD-MM-RE-Programme.xlsx</v>
          </cell>
          <cell r="D973" t="str">
            <v>Nein</v>
          </cell>
        </row>
        <row r="974">
          <cell r="A974" t="str">
            <v>ZSD_RESSTA</v>
          </cell>
          <cell r="B974" t="str">
            <v>Eigenentwicklungen SD-MM-RE-Programme</v>
          </cell>
          <cell r="C974" t="str">
            <v>Eigenentwicklungen SD-MM-RE-Programme.xlsx</v>
          </cell>
          <cell r="D974" t="str">
            <v>Nein</v>
          </cell>
        </row>
        <row r="975">
          <cell r="A975" t="str">
            <v>ZSD_RESSTA30</v>
          </cell>
          <cell r="B975" t="str">
            <v>Eigenentwicklungen SD-MM-RE-Programme</v>
          </cell>
          <cell r="C975" t="str">
            <v>Eigenentwicklungen SD-MM-RE-Programme.xlsx</v>
          </cell>
          <cell r="D975" t="str">
            <v>Nein</v>
          </cell>
        </row>
        <row r="976">
          <cell r="A976" t="str">
            <v>ZSD_LRG_DF01_TESTGES</v>
          </cell>
          <cell r="B976" t="str">
            <v>Eigenentwicklungen SD-MM-RE-Programme</v>
          </cell>
          <cell r="C976" t="str">
            <v>Eigenentwicklungen SD-MM-RE-Programme.xlsx</v>
          </cell>
          <cell r="D976" t="str">
            <v>Nein</v>
          </cell>
        </row>
        <row r="977">
          <cell r="A977" t="str">
            <v>ZSD_LTSRCHPC</v>
          </cell>
          <cell r="B977" t="str">
            <v>Eigenentwicklungen SD-MM-RE-Programme</v>
          </cell>
          <cell r="C977" t="str">
            <v>Eigenentwicklungen SD-MM-RE-Programme.xlsx</v>
          </cell>
          <cell r="D977" t="str">
            <v>Nein</v>
          </cell>
        </row>
        <row r="978">
          <cell r="A978" t="str">
            <v>ZSD_SWA_VERK_ANZ2</v>
          </cell>
          <cell r="B978" t="str">
            <v>Eigenentwicklungen SD-MM-RE-Programme</v>
          </cell>
          <cell r="C978" t="str">
            <v>Eigenentwicklungen SD-MM-RE-Programme.xlsx</v>
          </cell>
          <cell r="D978" t="str">
            <v>Nein</v>
          </cell>
        </row>
        <row r="979">
          <cell r="A979" t="str">
            <v>ZSD_SERN_VERA</v>
          </cell>
          <cell r="B979" t="str">
            <v>Eigenentwicklungen SD-MM-RE-Programme</v>
          </cell>
          <cell r="C979" t="str">
            <v>Eigenentwicklungen SD-MM-RE-Programme.xlsx</v>
          </cell>
          <cell r="D979" t="str">
            <v>Nein</v>
          </cell>
        </row>
        <row r="980">
          <cell r="A980" t="str">
            <v>ZSD_TOLA15</v>
          </cell>
          <cell r="B980" t="str">
            <v>Eigenentwicklungen SD-MM-RE-Programme</v>
          </cell>
          <cell r="C980" t="str">
            <v>Eigenentwicklungen SD-MM-RE-Programme.xlsx</v>
          </cell>
          <cell r="D980" t="str">
            <v>Nein</v>
          </cell>
        </row>
        <row r="981">
          <cell r="A981" t="str">
            <v>ZSD_TOLA55</v>
          </cell>
          <cell r="B981" t="str">
            <v>Eigenentwicklungen SD-MM-RE-Programme</v>
          </cell>
          <cell r="C981" t="str">
            <v>Eigenentwicklungen SD-MM-RE-Programme.xlsx</v>
          </cell>
          <cell r="D981" t="str">
            <v>Nein</v>
          </cell>
        </row>
        <row r="982">
          <cell r="A982" t="str">
            <v>ZSD_TOLA75</v>
          </cell>
          <cell r="B982" t="str">
            <v>Eigenentwicklungen SD-MM-RE-Programme</v>
          </cell>
          <cell r="C982" t="str">
            <v>Eigenentwicklungen SD-MM-RE-Programme.xlsx</v>
          </cell>
          <cell r="D982" t="str">
            <v>Nein</v>
          </cell>
        </row>
        <row r="983">
          <cell r="A983" t="str">
            <v>ZSD_TOLA81</v>
          </cell>
          <cell r="B983" t="str">
            <v>Eigenentwicklungen SD-MM-RE-Programme</v>
          </cell>
          <cell r="C983" t="str">
            <v>Eigenentwicklungen SD-MM-RE-Programme.xlsx</v>
          </cell>
          <cell r="D983" t="str">
            <v>Nein</v>
          </cell>
        </row>
        <row r="984">
          <cell r="A984" t="str">
            <v>ZSD_TOLA98</v>
          </cell>
          <cell r="B984" t="str">
            <v>Eigenentwicklungen SD-MM-RE-Programme</v>
          </cell>
          <cell r="C984" t="str">
            <v>Eigenentwicklungen SD-MM-RE-Programme.xlsx</v>
          </cell>
          <cell r="D984" t="str">
            <v>Nein</v>
          </cell>
        </row>
        <row r="985">
          <cell r="A985" t="str">
            <v>ZMM_W</v>
          </cell>
          <cell r="B985" t="str">
            <v>Eigenentwicklungen SD-MM-RE-Programme</v>
          </cell>
          <cell r="C985" t="str">
            <v>Eigenentwicklungen SD-MM-RE-Programme.xlsx</v>
          </cell>
          <cell r="D985" t="str">
            <v>Nein</v>
          </cell>
        </row>
        <row r="986">
          <cell r="A986" t="str">
            <v>ZMM_W1</v>
          </cell>
          <cell r="B986" t="str">
            <v>Eigenentwicklungen SD-MM-RE-Programme</v>
          </cell>
          <cell r="C986" t="str">
            <v>Eigenentwicklungen SD-MM-RE-Programme.xlsx</v>
          </cell>
          <cell r="D986" t="str">
            <v>Nein</v>
          </cell>
        </row>
        <row r="987">
          <cell r="A987" t="str">
            <v>ZMM_W2</v>
          </cell>
          <cell r="B987" t="str">
            <v>Eigenentwicklungen SD-MM-RE-Programme</v>
          </cell>
          <cell r="C987" t="str">
            <v>Eigenentwicklungen SD-MM-RE-Programme.xlsx</v>
          </cell>
          <cell r="D987" t="str">
            <v>Nein</v>
          </cell>
        </row>
        <row r="988">
          <cell r="A988" t="str">
            <v>ZMM_WARTA</v>
          </cell>
          <cell r="B988" t="str">
            <v>Eigenentwicklungen SD-MM-RE-Programme</v>
          </cell>
          <cell r="C988" t="str">
            <v>Eigenentwicklungen SD-MM-RE-Programme.xlsx</v>
          </cell>
          <cell r="D988" t="str">
            <v>Nein</v>
          </cell>
        </row>
        <row r="989">
          <cell r="A989" t="str">
            <v>ZMM_WARTR</v>
          </cell>
          <cell r="B989" t="str">
            <v>Eigenentwicklungen SD-MM-RE-Programme</v>
          </cell>
          <cell r="C989" t="str">
            <v>Eigenentwicklungen SD-MM-RE-Programme.xlsx</v>
          </cell>
          <cell r="D989" t="str">
            <v>Nein</v>
          </cell>
        </row>
        <row r="990">
          <cell r="A990" t="str">
            <v>ZMM_BEDRUFB</v>
          </cell>
          <cell r="B990" t="str">
            <v>Eigenentwicklungen SD-MM-RE-Programme</v>
          </cell>
          <cell r="C990" t="str">
            <v>Eigenentwicklungen SD-MM-RE-Programme.xlsx</v>
          </cell>
          <cell r="D990" t="str">
            <v>Nein</v>
          </cell>
        </row>
        <row r="991">
          <cell r="A991" t="str">
            <v>ZMM_WARTK</v>
          </cell>
          <cell r="B991" t="str">
            <v>Eigenentwicklungen SD-MM-RE-Programme</v>
          </cell>
          <cell r="C991" t="str">
            <v>Eigenentwicklungen SD-MM-RE-Programme.xlsx</v>
          </cell>
          <cell r="D991" t="str">
            <v>Nein</v>
          </cell>
        </row>
        <row r="992">
          <cell r="A992" t="str">
            <v>ZMM_INFORECORD_COPY_STXH</v>
          </cell>
          <cell r="B992" t="str">
            <v>Eigenentwicklungen SD-MM-RE-Programme</v>
          </cell>
          <cell r="C992" t="str">
            <v>Eigenentwicklungen SD-MM-RE-Programme.xlsx</v>
          </cell>
          <cell r="D992" t="str">
            <v>Nein</v>
          </cell>
        </row>
        <row r="993">
          <cell r="A993" t="str">
            <v>ZSD_SWAMIG_FAHRERNR</v>
          </cell>
          <cell r="B993" t="str">
            <v>Eigenentwicklungen SD-MM-RE-Programme</v>
          </cell>
          <cell r="C993" t="str">
            <v>Eigenentwicklungen SD-MM-RE-Programme.xlsx</v>
          </cell>
          <cell r="D993" t="str">
            <v>Nein</v>
          </cell>
        </row>
        <row r="994">
          <cell r="A994" t="str">
            <v>ZSD_SWAFAHRER_AUS_LOGA</v>
          </cell>
          <cell r="B994" t="str">
            <v>Eigenentwicklungen SD-MM-RE-Programme</v>
          </cell>
          <cell r="C994" t="str">
            <v>Eigenentwicklungen SD-MM-RE-Programme.xlsx</v>
          </cell>
          <cell r="D994" t="str">
            <v>Nein</v>
          </cell>
        </row>
        <row r="995">
          <cell r="A995" t="str">
            <v>ZSD_SWA_BESTAND_COPY</v>
          </cell>
          <cell r="B995" t="str">
            <v>Eigenentwicklungen SD-MM-RE-Programme</v>
          </cell>
          <cell r="C995" t="str">
            <v>Eigenentwicklungen SD-MM-RE-Programme.xlsx</v>
          </cell>
          <cell r="D995" t="str">
            <v>Nein</v>
          </cell>
        </row>
        <row r="996">
          <cell r="A996" t="str">
            <v>ZSD_SWA_ERWEITERN_BEST</v>
          </cell>
          <cell r="B996" t="str">
            <v>Eigenentwicklungen SD-MM-RE-Programme</v>
          </cell>
          <cell r="C996" t="str">
            <v>Eigenentwicklungen SD-MM-RE-Programme.xlsx</v>
          </cell>
          <cell r="D996" t="str">
            <v>Nein</v>
          </cell>
        </row>
        <row r="997">
          <cell r="A997" t="str">
            <v>ZSD_SWA_VERBUCHEN_KONSI</v>
          </cell>
          <cell r="B997" t="str">
            <v>Eigenentwicklungen SD-MM-RE-Programme</v>
          </cell>
          <cell r="C997" t="str">
            <v>Eigenentwicklungen SD-MM-RE-Programme.xlsx</v>
          </cell>
          <cell r="D997" t="str">
            <v>Nein</v>
          </cell>
        </row>
        <row r="998">
          <cell r="A998" t="str">
            <v>ZSD_SWA_VERBUCHEN_WE</v>
          </cell>
          <cell r="B998" t="str">
            <v>Eigenentwicklungen SD-MM-RE-Programme</v>
          </cell>
          <cell r="C998" t="str">
            <v>Eigenentwicklungen SD-MM-RE-Programme.xlsx</v>
          </cell>
          <cell r="D998" t="str">
            <v>Nein</v>
          </cell>
        </row>
        <row r="999">
          <cell r="A999" t="str">
            <v>ZFI_SWA_LIEF_GUT</v>
          </cell>
          <cell r="B999" t="str">
            <v>Eigenentwicklungen SD-MM-RE-Programme</v>
          </cell>
          <cell r="C999" t="str">
            <v>Eigenentwicklungen SD-MM-RE-Programme.xlsx</v>
          </cell>
          <cell r="D999" t="str">
            <v>Nein</v>
          </cell>
        </row>
        <row r="1000">
          <cell r="A1000" t="str">
            <v>ZRE_HDVM_CL</v>
          </cell>
          <cell r="B1000" t="str">
            <v>Eigenentwicklungen SD-MM-RE-Programme</v>
          </cell>
          <cell r="C1000" t="str">
            <v>Eigenentwicklungen SD-MM-RE-Programme.xlsx</v>
          </cell>
          <cell r="D1000" t="str">
            <v>Nein</v>
          </cell>
        </row>
        <row r="1001">
          <cell r="A1001" t="str">
            <v>ZRE_MIETBLATT_CL</v>
          </cell>
          <cell r="B1001" t="str">
            <v>Eigenentwicklungen SD-MM-RE-Programme</v>
          </cell>
          <cell r="C1001" t="str">
            <v>Eigenentwicklungen SD-MM-RE-Programme.xlsx</v>
          </cell>
          <cell r="D1001" t="str">
            <v>Nein</v>
          </cell>
        </row>
        <row r="1002">
          <cell r="A1002" t="str">
            <v>ZRE_OBJEKTBLATT_CL</v>
          </cell>
          <cell r="B1002" t="str">
            <v>Eigenentwicklungen SD-MM-RE-Programme</v>
          </cell>
          <cell r="C1002" t="str">
            <v>Eigenentwicklungen SD-MM-RE-Programme.xlsx</v>
          </cell>
          <cell r="D1002" t="str">
            <v>Nein</v>
          </cell>
        </row>
        <row r="1003">
          <cell r="A1003" t="str">
            <v>ZRE_STVARV_UPDATE_CL</v>
          </cell>
          <cell r="B1003" t="str">
            <v>Eigenentwicklungen SD-MM-RE-Programme</v>
          </cell>
          <cell r="C1003" t="str">
            <v>Eigenentwicklungen SD-MM-RE-Programme.xlsx</v>
          </cell>
          <cell r="D1003" t="str">
            <v>Nein</v>
          </cell>
        </row>
        <row r="1004">
          <cell r="A1004" t="str">
            <v>ZMM_MGL</v>
          </cell>
          <cell r="B1004" t="str">
            <v>Eigenentwicklungen SD-MM-RE-Programme</v>
          </cell>
          <cell r="C1004" t="str">
            <v>Eigenentwicklungen SD-MM-RE-Programme.xlsx</v>
          </cell>
          <cell r="D1004" t="str">
            <v>Nein</v>
          </cell>
        </row>
        <row r="1005">
          <cell r="A1005" t="str">
            <v>ZMM_EM1</v>
          </cell>
          <cell r="B1005" t="str">
            <v>Eigenentwicklungen SD-MM-RE-Programme</v>
          </cell>
          <cell r="C1005" t="str">
            <v>Eigenentwicklungen SD-MM-RE-Programme.xlsx</v>
          </cell>
          <cell r="D1005" t="str">
            <v>Nein</v>
          </cell>
        </row>
        <row r="1006">
          <cell r="A1006" t="str">
            <v>ZMM_MGLDP</v>
          </cell>
          <cell r="B1006" t="str">
            <v>Eigenentwicklungen SD-MM-RE-Programme</v>
          </cell>
          <cell r="C1006" t="str">
            <v>Eigenentwicklungen SD-MM-RE-Programme.xlsx</v>
          </cell>
          <cell r="D1006" t="str">
            <v>Nein</v>
          </cell>
        </row>
        <row r="1007">
          <cell r="A1007" t="str">
            <v>ZMM_MGLA00</v>
          </cell>
          <cell r="B1007" t="str">
            <v>Eigenentwicklungen SD-MM-RE-Programme</v>
          </cell>
          <cell r="C1007" t="str">
            <v>Eigenentwicklungen SD-MM-RE-Programme.xlsx</v>
          </cell>
          <cell r="D1007" t="str">
            <v>Nein</v>
          </cell>
        </row>
        <row r="1008">
          <cell r="A1008" t="str">
            <v>ZMM_MGLS00</v>
          </cell>
          <cell r="B1008" t="str">
            <v>Eigenentwicklungen SD-MM-RE-Programme</v>
          </cell>
          <cell r="C1008" t="str">
            <v>Eigenentwicklungen SD-MM-RE-Programme.xlsx</v>
          </cell>
          <cell r="D1008" t="str">
            <v>Nein</v>
          </cell>
        </row>
        <row r="1009">
          <cell r="A1009" t="str">
            <v>ZMM_MGLDL</v>
          </cell>
          <cell r="B1009" t="str">
            <v>Eigenentwicklungen SD-MM-RE-Programme</v>
          </cell>
          <cell r="C1009" t="str">
            <v>Eigenentwicklungen SD-MM-RE-Programme.xlsx</v>
          </cell>
          <cell r="D1009" t="str">
            <v>Nein</v>
          </cell>
        </row>
        <row r="1010">
          <cell r="A1010" t="str">
            <v>ZSD_SWA_ZSDLAGCHANGE</v>
          </cell>
          <cell r="B1010" t="str">
            <v>Eigenentwicklungen SD-MM-RE-Programme</v>
          </cell>
          <cell r="C1010" t="str">
            <v>Eigenentwicklungen SD-MM-RE-Programme.xlsx</v>
          </cell>
          <cell r="D1010" t="str">
            <v>Nein</v>
          </cell>
        </row>
        <row r="1011">
          <cell r="A1011" t="str">
            <v>ZMM_BILWERT</v>
          </cell>
          <cell r="B1011" t="str">
            <v>Eigenentwicklungen SD-MM-RE-Programme</v>
          </cell>
          <cell r="C1011" t="str">
            <v>Eigenentwicklungen SD-MM-RE-Programme.xlsx</v>
          </cell>
          <cell r="D1011" t="str">
            <v>Nein</v>
          </cell>
        </row>
        <row r="1012">
          <cell r="A1012" t="str">
            <v>ZMM_R2BEST_LOEKZ</v>
          </cell>
          <cell r="B1012" t="str">
            <v>Eigenentwicklungen SD-MM-RE-Programme</v>
          </cell>
          <cell r="C1012" t="str">
            <v>Eigenentwicklungen SD-MM-RE-Programme.xlsx</v>
          </cell>
          <cell r="D1012" t="str">
            <v>Nein</v>
          </cell>
        </row>
        <row r="1013">
          <cell r="A1013" t="str">
            <v>ZMM_R2BEST_UPDATE</v>
          </cell>
          <cell r="B1013" t="str">
            <v>Eigenentwicklungen SD-MM-RE-Programme</v>
          </cell>
          <cell r="C1013" t="str">
            <v>Eigenentwicklungen SD-MM-RE-Programme.xlsx</v>
          </cell>
          <cell r="D1013" t="str">
            <v>Nein</v>
          </cell>
        </row>
        <row r="1014">
          <cell r="A1014" t="str">
            <v>ZMM_LAPSDL</v>
          </cell>
          <cell r="B1014" t="str">
            <v>Eigenentwicklungen SD-MM-RE-Programme</v>
          </cell>
          <cell r="C1014" t="str">
            <v>Eigenentwicklungen SD-MM-RE-Programme.xlsx</v>
          </cell>
          <cell r="D1014" t="str">
            <v>Nein</v>
          </cell>
        </row>
        <row r="1015">
          <cell r="A1015" t="str">
            <v>ZMM_UPD_EKPO_ADRN2</v>
          </cell>
          <cell r="B1015" t="str">
            <v>Eigenentwicklungen SD-MM-RE-Programme</v>
          </cell>
          <cell r="C1015" t="str">
            <v>Eigenentwicklungen SD-MM-RE-Programme.xlsx</v>
          </cell>
          <cell r="D1015" t="str">
            <v>Nein</v>
          </cell>
        </row>
        <row r="1016">
          <cell r="A1016" t="str">
            <v>ZMM_MM99</v>
          </cell>
          <cell r="B1016" t="str">
            <v>Eigenentwicklungen SD-MM-RE-Programme</v>
          </cell>
          <cell r="C1016" t="str">
            <v>Eigenentwicklungen SD-MM-RE-Programme.xlsx</v>
          </cell>
          <cell r="D1016" t="str">
            <v>Nein</v>
          </cell>
        </row>
        <row r="1017">
          <cell r="A1017" t="str">
            <v>ZSD_LIS_CHECK</v>
          </cell>
          <cell r="B1017" t="str">
            <v>Eigenentwicklungen SD-MM-RE-Programme</v>
          </cell>
          <cell r="C1017" t="str">
            <v>Eigenentwicklungen SD-MM-RE-Programme.xlsx</v>
          </cell>
          <cell r="D1017" t="str">
            <v>Nein</v>
          </cell>
        </row>
        <row r="1018">
          <cell r="A1018" t="str">
            <v>ZSD_LRG_KORR_BKTXT</v>
          </cell>
          <cell r="B1018" t="str">
            <v>Eigenentwicklungen SD-MM-RE-Programme</v>
          </cell>
          <cell r="C1018" t="str">
            <v>Eigenentwicklungen SD-MM-RE-Programme.xlsx</v>
          </cell>
          <cell r="D1018" t="str">
            <v>Nein</v>
          </cell>
        </row>
        <row r="1019">
          <cell r="A1019" t="str">
            <v>ZSD_LRG_KORR_DEBI</v>
          </cell>
          <cell r="B1019" t="str">
            <v>Eigenentwicklungen SD-MM-RE-Programme</v>
          </cell>
          <cell r="C1019" t="str">
            <v>Eigenentwicklungen SD-MM-RE-Programme.xlsx</v>
          </cell>
          <cell r="D1019" t="str">
            <v>Nein</v>
          </cell>
        </row>
        <row r="1020">
          <cell r="A1020" t="str">
            <v>ZSD_LRG_KTR_UPD</v>
          </cell>
          <cell r="B1020" t="str">
            <v>Eigenentwicklungen SD-MM-RE-Programme</v>
          </cell>
          <cell r="C1020" t="str">
            <v>Eigenentwicklungen SD-MM-RE-Programme.xlsx</v>
          </cell>
          <cell r="D1020" t="str">
            <v>Nein</v>
          </cell>
        </row>
        <row r="1021">
          <cell r="A1021" t="str">
            <v>ZSD_NAST_KORR</v>
          </cell>
          <cell r="B1021" t="str">
            <v>Eigenentwicklungen SD-MM-RE-Programme</v>
          </cell>
          <cell r="C1021" t="str">
            <v>Eigenentwicklungen SD-MM-RE-Programme.xlsx</v>
          </cell>
          <cell r="D1021" t="str">
            <v>Nein</v>
          </cell>
        </row>
        <row r="1022">
          <cell r="A1022" t="str">
            <v>ZSD_SHOLAND</v>
          </cell>
          <cell r="B1022" t="str">
            <v>Eigenentwicklungen SD-MM-RE-Programme</v>
          </cell>
          <cell r="C1022" t="str">
            <v>Eigenentwicklungen SD-MM-RE-Programme.xlsx</v>
          </cell>
          <cell r="D1022" t="str">
            <v>Nein</v>
          </cell>
        </row>
        <row r="1023">
          <cell r="A1023" t="str">
            <v>ZSD_SHOP_REP_WEMPF</v>
          </cell>
          <cell r="B1023" t="str">
            <v>Eigenentwicklungen SD-MM-RE-Programme</v>
          </cell>
          <cell r="C1023" t="str">
            <v>Eigenentwicklungen SD-MM-RE-Programme.xlsx</v>
          </cell>
          <cell r="D1023" t="str">
            <v>Nein</v>
          </cell>
        </row>
        <row r="1024">
          <cell r="A1024" t="str">
            <v>ZSD_TOLA99</v>
          </cell>
          <cell r="B1024" t="str">
            <v>Eigenentwicklungen SD-MM-RE-Programme</v>
          </cell>
          <cell r="C1024" t="str">
            <v>Eigenentwicklungen SD-MM-RE-Programme.xlsx</v>
          </cell>
          <cell r="D1024" t="str">
            <v>Nein</v>
          </cell>
        </row>
        <row r="1025">
          <cell r="A1025" t="str">
            <v>ZSD_SERN99</v>
          </cell>
          <cell r="B1025" t="str">
            <v>Eigenentwicklungen SD-MM-RE-Programme</v>
          </cell>
          <cell r="C1025" t="str">
            <v>Eigenentwicklungen SD-MM-RE-Programme.xlsx</v>
          </cell>
          <cell r="D1025" t="str">
            <v>Nein</v>
          </cell>
        </row>
        <row r="1026">
          <cell r="A1026" t="str">
            <v>ZRE_VOSKO_2004</v>
          </cell>
          <cell r="B1026" t="str">
            <v>Eigenentwicklungen SD-MM-RE-Programme</v>
          </cell>
          <cell r="C1026" t="str">
            <v>Eigenentwicklungen SD-MM-RE-Programme.xlsx</v>
          </cell>
          <cell r="D1026" t="str">
            <v>Nein</v>
          </cell>
        </row>
        <row r="1027">
          <cell r="A1027" t="str">
            <v>ZMM_VLG_MM01_TEMP</v>
          </cell>
          <cell r="B1027" t="str">
            <v>Eigenentwicklungen SD-MM-RE-Programme</v>
          </cell>
          <cell r="C1027" t="str">
            <v>Eigenentwicklungen SD-MM-RE-Programme.xlsx</v>
          </cell>
          <cell r="D1027" t="str">
            <v>Nein</v>
          </cell>
        </row>
        <row r="1028">
          <cell r="A1028" t="str">
            <v>ZSD_ALV_GROUP_TEMP</v>
          </cell>
          <cell r="B1028" t="str">
            <v>Eigenentwicklungen SD-MM-RE-Programme</v>
          </cell>
          <cell r="C1028" t="str">
            <v>Eigenentwicklungen SD-MM-RE-Programme.xlsx</v>
          </cell>
          <cell r="D1028" t="str">
            <v>Nein</v>
          </cell>
        </row>
        <row r="1029">
          <cell r="A1029" t="str">
            <v>ZSD_MWST_EU</v>
          </cell>
          <cell r="B1029" t="str">
            <v>Eigenentwicklungen SD-MM-RE-Programme</v>
          </cell>
          <cell r="C1029" t="str">
            <v>Eigenentwicklungen SD-MM-RE-Programme.xlsx</v>
          </cell>
          <cell r="D1029" t="str">
            <v>Nein</v>
          </cell>
        </row>
        <row r="1030">
          <cell r="A1030" t="str">
            <v>ZMM_LAG_UMZUG</v>
          </cell>
          <cell r="B1030" t="str">
            <v>Eigenentwicklungen SD-MM-RE-Programme</v>
          </cell>
          <cell r="C1030" t="str">
            <v>Eigenentwicklungen SD-MM-RE-Programme.xlsx</v>
          </cell>
          <cell r="D1030" t="str">
            <v>Nein</v>
          </cell>
        </row>
        <row r="1031">
          <cell r="A1031" t="str">
            <v>ZMM_LAPS97</v>
          </cell>
          <cell r="B1031" t="str">
            <v>Eigenentwicklungen SD-MM-RE-Programme</v>
          </cell>
          <cell r="C1031" t="str">
            <v>Eigenentwicklungen SD-MM-RE-Programme.xlsx</v>
          </cell>
          <cell r="D1031" t="str">
            <v>Nein</v>
          </cell>
        </row>
        <row r="1032">
          <cell r="A1032" t="str">
            <v>ZMM_LAPS98</v>
          </cell>
          <cell r="B1032" t="str">
            <v>Eigenentwicklungen SD-MM-RE-Programme</v>
          </cell>
          <cell r="C1032" t="str">
            <v>Eigenentwicklungen SD-MM-RE-Programme.xlsx</v>
          </cell>
          <cell r="D1032" t="str">
            <v>Nein</v>
          </cell>
        </row>
        <row r="1033">
          <cell r="A1033" t="str">
            <v>ZMM_MBEW_KORREKTUR</v>
          </cell>
          <cell r="B1033" t="str">
            <v>Eigenentwicklungen SD-MM-RE-Programme</v>
          </cell>
          <cell r="C1033" t="str">
            <v>Eigenentwicklungen SD-MM-RE-Programme.xlsx</v>
          </cell>
          <cell r="D1033" t="str">
            <v>Nein</v>
          </cell>
        </row>
        <row r="1034">
          <cell r="A1034" t="str">
            <v>ZRE_COVP_PERFORMANCE_TEST</v>
          </cell>
          <cell r="B1034" t="str">
            <v>Eigenentwicklungen SD-MM-RE-Programme</v>
          </cell>
          <cell r="C1034" t="str">
            <v>Eigenentwicklungen SD-MM-RE-Programme.xlsx</v>
          </cell>
          <cell r="D1034" t="str">
            <v>Nein</v>
          </cell>
        </row>
        <row r="1035">
          <cell r="A1035" t="str">
            <v>ZSD_TABLE_COPY</v>
          </cell>
          <cell r="B1035" t="str">
            <v>Eigenentwicklungen SD-MM-RE-Programme</v>
          </cell>
          <cell r="C1035" t="str">
            <v>Eigenentwicklungen SD-MM-RE-Programme.xlsx</v>
          </cell>
          <cell r="D1035" t="str">
            <v>Nein</v>
          </cell>
        </row>
        <row r="1036">
          <cell r="A1036" t="str">
            <v>ZRE_SEPA_MIETV_MIG</v>
          </cell>
          <cell r="B1036" t="str">
            <v>Eigenentwicklungen SD-MM-RE-Programme</v>
          </cell>
          <cell r="C1036" t="str">
            <v>Eigenentwicklungen SD-MM-RE-Programme.xlsx</v>
          </cell>
          <cell r="D1036" t="str">
            <v>Nein</v>
          </cell>
        </row>
        <row r="1037">
          <cell r="A1037" t="str">
            <v>ZSD_SWA_MINMAX</v>
          </cell>
          <cell r="B1037" t="str">
            <v>Eigenentwicklungen SD-MM-RE-Programme</v>
          </cell>
          <cell r="C1037" t="str">
            <v>Eigenentwicklungen SD-MM-RE-Programme.xlsx</v>
          </cell>
          <cell r="D1037" t="str">
            <v>Nein</v>
          </cell>
        </row>
        <row r="1038">
          <cell r="A1038" t="str">
            <v>ZMM_MARA_BEGRU_FILL</v>
          </cell>
          <cell r="B1038" t="str">
            <v>Eigenentwicklungen SD-MM-RE-Programme</v>
          </cell>
          <cell r="C1038" t="str">
            <v>Eigenentwicklungen SD-MM-RE-Programme.xlsx</v>
          </cell>
          <cell r="D1038" t="str">
            <v>Nein</v>
          </cell>
        </row>
        <row r="1039">
          <cell r="A1039" t="str">
            <v>ZSD_SWAMIG_BESTAND</v>
          </cell>
          <cell r="B1039" t="str">
            <v>Eigenentwicklungen SD-MM-RE-Programme</v>
          </cell>
          <cell r="C1039" t="str">
            <v>Eigenentwicklungen SD-MM-RE-Programme.xlsx</v>
          </cell>
          <cell r="D1039" t="str">
            <v>Nein</v>
          </cell>
        </row>
        <row r="1040">
          <cell r="A1040" t="str">
            <v>ZSD_SWAMIG_DECKBLATTACC</v>
          </cell>
          <cell r="B1040" t="str">
            <v>Eigenentwicklungen SD-MM-RE-Programme</v>
          </cell>
          <cell r="C1040" t="str">
            <v>Eigenentwicklungen SD-MM-RE-Programme.xlsx</v>
          </cell>
          <cell r="D1040" t="str">
            <v>Nein</v>
          </cell>
        </row>
        <row r="1041">
          <cell r="A1041" t="str">
            <v>ZSD_SWAMIG_LAGSTAMM</v>
          </cell>
          <cell r="B1041" t="str">
            <v>Eigenentwicklungen SD-MM-RE-Programme</v>
          </cell>
          <cell r="C1041" t="str">
            <v>Eigenentwicklungen SD-MM-RE-Programme.xlsx</v>
          </cell>
          <cell r="D1041" t="str">
            <v>Nein</v>
          </cell>
        </row>
        <row r="1042">
          <cell r="A1042" t="str">
            <v>ZSD_SWAMIG_LOESCHENBESTAND</v>
          </cell>
          <cell r="B1042" t="str">
            <v>Eigenentwicklungen SD-MM-RE-Programme</v>
          </cell>
          <cell r="C1042" t="str">
            <v>Eigenentwicklungen SD-MM-RE-Programme.xlsx</v>
          </cell>
          <cell r="D1042" t="str">
            <v>Nein</v>
          </cell>
        </row>
        <row r="1043">
          <cell r="A1043" t="str">
            <v>ZMM_VLG_MM01_TEMP</v>
          </cell>
          <cell r="B1043" t="str">
            <v>Eigenentwicklungen SD-MM-RE-Programme</v>
          </cell>
          <cell r="C1043" t="str">
            <v>Eigenentwicklungen SD-MM-RE-Programme.xlsx</v>
          </cell>
          <cell r="D1043" t="str">
            <v>Nein</v>
          </cell>
        </row>
        <row r="1044">
          <cell r="A1044" t="str">
            <v>ZSD_HAUSADR</v>
          </cell>
          <cell r="B1044" t="str">
            <v>R3_ADAC-Tabellen_SD_MM</v>
          </cell>
          <cell r="C1044" t="str">
            <v>R3_ADAC-Tabellen_SD_MM.xlsx</v>
          </cell>
          <cell r="D1044" t="str">
            <v>Ja</v>
          </cell>
        </row>
        <row r="1045">
          <cell r="A1045" t="str">
            <v>ZSD_SHOKAT</v>
          </cell>
          <cell r="B1045" t="str">
            <v>R3_ADAC-Tabellen_SD_MM</v>
          </cell>
          <cell r="C1045" t="str">
            <v>R3_ADAC-Tabellen_SD_MM.xlsx</v>
          </cell>
          <cell r="D1045" t="str">
            <v>Ja</v>
          </cell>
        </row>
        <row r="1046">
          <cell r="A1046" t="str">
            <v>ZSD_SHOKUN</v>
          </cell>
          <cell r="B1046" t="str">
            <v>R3_ADAC-Tabellen_SD_MM</v>
          </cell>
          <cell r="C1046" t="str">
            <v>R3_ADAC-Tabellen_SD_MM.xlsx</v>
          </cell>
          <cell r="D1046" t="str">
            <v>Ja</v>
          </cell>
        </row>
        <row r="1047">
          <cell r="A1047" t="str">
            <v>ZSD_SHOKUN</v>
          </cell>
          <cell r="B1047" t="str">
            <v>R3_ADAC-Tabellen_SD_MM</v>
          </cell>
          <cell r="C1047" t="str">
            <v>R3_ADAC-Tabellen_SD_MM.xlsx</v>
          </cell>
          <cell r="D1047" t="str">
            <v>Ja</v>
          </cell>
        </row>
        <row r="1048">
          <cell r="A1048" t="str">
            <v>ZSD_SHOKUN1</v>
          </cell>
          <cell r="B1048" t="str">
            <v>R3_ADAC-Tabellen_SD_MM</v>
          </cell>
          <cell r="C1048" t="str">
            <v>R3_ADAC-Tabellen_SD_MM.xlsx</v>
          </cell>
          <cell r="D1048" t="str">
            <v>Ja</v>
          </cell>
        </row>
        <row r="1049">
          <cell r="A1049" t="str">
            <v>ZSD_SHOSTA1</v>
          </cell>
          <cell r="B1049" t="str">
            <v>R3_ADAC-Tabellen_SD_MM</v>
          </cell>
          <cell r="C1049" t="str">
            <v>R3_ADAC-Tabellen_SD_MM.xlsx</v>
          </cell>
          <cell r="D1049" t="str">
            <v>Ja</v>
          </cell>
        </row>
        <row r="1050">
          <cell r="A1050" t="str">
            <v>ZSD_SHOSTA2</v>
          </cell>
          <cell r="B1050" t="str">
            <v>R3_ADAC-Tabellen_SD_MM</v>
          </cell>
          <cell r="C1050" t="str">
            <v>R3_ADAC-Tabellen_SD_MM.xlsx</v>
          </cell>
          <cell r="D1050" t="str">
            <v>Ja</v>
          </cell>
        </row>
        <row r="1051">
          <cell r="A1051" t="str">
            <v>ZSD_SHOUSR</v>
          </cell>
          <cell r="B1051" t="str">
            <v>R3_ADAC-Tabellen_SD_MM</v>
          </cell>
          <cell r="C1051" t="str">
            <v>R3_ADAC-Tabellen_SD_MM.xlsx</v>
          </cell>
          <cell r="D1051" t="str">
            <v>Ja</v>
          </cell>
        </row>
        <row r="1052">
          <cell r="A1052" t="str">
            <v>ZSD_SHOZUGA</v>
          </cell>
          <cell r="B1052" t="str">
            <v>R3_ADAC-Tabellen_SD_MM</v>
          </cell>
          <cell r="C1052" t="str">
            <v>R3_ADAC-Tabellen_SD_MM.xlsx</v>
          </cell>
          <cell r="D1052" t="str">
            <v>Ja</v>
          </cell>
        </row>
        <row r="1053">
          <cell r="A1053" t="str">
            <v>ZMM_BANF_WEWERT</v>
          </cell>
          <cell r="B1053" t="str">
            <v>R3_ADAC-Tabellen_SD_MM</v>
          </cell>
          <cell r="C1053" t="str">
            <v>R3_ADAC-Tabellen_SD_MM.xlsx</v>
          </cell>
          <cell r="D1053" t="str">
            <v>Nein</v>
          </cell>
        </row>
        <row r="1054">
          <cell r="A1054" t="str">
            <v>ZMM_KST_MAIL</v>
          </cell>
          <cell r="B1054" t="str">
            <v>R3_ADAC-Tabellen_SD_MM</v>
          </cell>
          <cell r="C1054" t="str">
            <v>R3_ADAC-Tabellen_SD_MM.xlsx</v>
          </cell>
          <cell r="D1054" t="str">
            <v>Ja</v>
          </cell>
        </row>
        <row r="1055">
          <cell r="A1055" t="str">
            <v>ZSD_DRU</v>
          </cell>
          <cell r="B1055" t="str">
            <v>R3_ADAC-Tabellen_SD_MM</v>
          </cell>
          <cell r="C1055" t="str">
            <v>R3_ADAC-Tabellen_SD_MM.xlsx</v>
          </cell>
          <cell r="D1055" t="str">
            <v>Ja</v>
          </cell>
        </row>
        <row r="1056">
          <cell r="A1056" t="str">
            <v>ZSD_KUNLIF</v>
          </cell>
          <cell r="B1056" t="str">
            <v>R3_ADAC-Tabellen_SD_MM</v>
          </cell>
          <cell r="C1056" t="str">
            <v>R3_ADAC-Tabellen_SD_MM.xlsx</v>
          </cell>
          <cell r="D1056" t="str">
            <v>Ja</v>
          </cell>
        </row>
        <row r="1057">
          <cell r="A1057" t="str">
            <v>ZSD_FI0</v>
          </cell>
          <cell r="B1057" t="str">
            <v>R3_ADAC-Tabellen_SD_MM</v>
          </cell>
          <cell r="C1057" t="str">
            <v>R3_ADAC-Tabellen_SD_MM.xlsx</v>
          </cell>
          <cell r="D1057" t="str">
            <v>Ja</v>
          </cell>
        </row>
        <row r="1058">
          <cell r="A1058" t="str">
            <v>ZSD_FI1</v>
          </cell>
          <cell r="B1058" t="str">
            <v>R3_ADAC-Tabellen_SD_MM</v>
          </cell>
          <cell r="C1058" t="str">
            <v>R3_ADAC-Tabellen_SD_MM.xlsx</v>
          </cell>
          <cell r="D1058" t="str">
            <v>Ja</v>
          </cell>
        </row>
        <row r="1059">
          <cell r="A1059" t="str">
            <v>ZSD_FI2</v>
          </cell>
          <cell r="B1059" t="str">
            <v>R3_ADAC-Tabellen_SD_MM</v>
          </cell>
          <cell r="C1059" t="str">
            <v>R3_ADAC-Tabellen_SD_MM.xlsx</v>
          </cell>
          <cell r="D1059" t="str">
            <v>Ja</v>
          </cell>
        </row>
        <row r="1060">
          <cell r="A1060" t="str">
            <v>ZSD_TVKM</v>
          </cell>
          <cell r="B1060" t="str">
            <v>R3_ADAC-Tabellen_SD_MM</v>
          </cell>
          <cell r="C1060" t="str">
            <v>R3_ADAC-Tabellen_SD_MM.xlsx</v>
          </cell>
          <cell r="D1060" t="str">
            <v>Ja</v>
          </cell>
        </row>
        <row r="1061">
          <cell r="A1061" t="str">
            <v>zsd_tvkm_1</v>
          </cell>
          <cell r="B1061" t="str">
            <v>R3_ADAC-Tabellen_SD_MM</v>
          </cell>
          <cell r="C1061" t="str">
            <v>R3_ADAC-Tabellen_SD_MM.xlsx</v>
          </cell>
          <cell r="D1061" t="str">
            <v>Ja</v>
          </cell>
        </row>
        <row r="1062">
          <cell r="A1062" t="str">
            <v>ZSD_TVKM_1</v>
          </cell>
          <cell r="B1062" t="str">
            <v>R3_ADAC-Tabellen_SD_MM</v>
          </cell>
          <cell r="C1062" t="str">
            <v>R3_ADAC-Tabellen_SD_MM.xlsx</v>
          </cell>
          <cell r="D1062" t="str">
            <v>Ja</v>
          </cell>
        </row>
        <row r="1063">
          <cell r="A1063" t="str">
            <v>zsd_tvkt</v>
          </cell>
          <cell r="B1063" t="str">
            <v>R3_ADAC-Tabellen_SD_MM</v>
          </cell>
          <cell r="C1063" t="str">
            <v>R3_ADAC-Tabellen_SD_MM.xlsx</v>
          </cell>
          <cell r="D1063" t="str">
            <v>Ja</v>
          </cell>
        </row>
        <row r="1064">
          <cell r="A1064" t="str">
            <v>ZSD_C001</v>
          </cell>
          <cell r="B1064" t="str">
            <v>R3_ADAC-Tabellen_SD_MM</v>
          </cell>
          <cell r="C1064" t="str">
            <v>R3_ADAC-Tabellen_SD_MM.xlsx</v>
          </cell>
          <cell r="D1064" t="str">
            <v>Ja</v>
          </cell>
        </row>
        <row r="1065">
          <cell r="A1065" t="str">
            <v>zsd_c001_1</v>
          </cell>
          <cell r="B1065" t="str">
            <v>R3_ADAC-Tabellen_SD_MM</v>
          </cell>
          <cell r="C1065" t="str">
            <v>R3_ADAC-Tabellen_SD_MM.xlsx</v>
          </cell>
          <cell r="D1065" t="str">
            <v>Ja</v>
          </cell>
        </row>
        <row r="1066">
          <cell r="A1066" t="str">
            <v>ZSD_C001_1</v>
          </cell>
          <cell r="B1066" t="str">
            <v>R3_ADAC-Tabellen_SD_MM</v>
          </cell>
          <cell r="C1066" t="str">
            <v>R3_ADAC-Tabellen_SD_MM.xlsx</v>
          </cell>
          <cell r="D1066" t="str">
            <v>Ja</v>
          </cell>
        </row>
        <row r="1067">
          <cell r="A1067" t="str">
            <v>zsd_c002</v>
          </cell>
          <cell r="B1067" t="str">
            <v>R3_ADAC-Tabellen_SD_MM</v>
          </cell>
          <cell r="C1067" t="str">
            <v>R3_ADAC-Tabellen_SD_MM.xlsx</v>
          </cell>
          <cell r="D1067" t="str">
            <v>Ja</v>
          </cell>
        </row>
        <row r="1068">
          <cell r="A1068" t="str">
            <v>ZSD_MAR_ALLG</v>
          </cell>
          <cell r="B1068" t="str">
            <v>R3_ADAC-Tabellen_SD_MM</v>
          </cell>
          <cell r="C1068" t="str">
            <v>R3_ADAC-Tabellen_SD_MM.xlsx</v>
          </cell>
          <cell r="D1068" t="str">
            <v>Ja</v>
          </cell>
        </row>
        <row r="1069">
          <cell r="A1069" t="str">
            <v>ZSD_MAR_MWSORG</v>
          </cell>
          <cell r="B1069" t="str">
            <v>R3_ADAC-Tabellen_SD_MM</v>
          </cell>
          <cell r="C1069" t="str">
            <v>R3_ADAC-Tabellen_SD_MM.xlsx</v>
          </cell>
          <cell r="D1069" t="str">
            <v>Ja</v>
          </cell>
        </row>
        <row r="1070">
          <cell r="A1070" t="str">
            <v>ZSD_MAR_MWST</v>
          </cell>
          <cell r="B1070" t="str">
            <v>R3_ADAC-Tabellen_SD_MM</v>
          </cell>
          <cell r="C1070" t="str">
            <v>R3_ADAC-Tabellen_SD_MM.xlsx</v>
          </cell>
          <cell r="D1070" t="str">
            <v>Ja</v>
          </cell>
        </row>
        <row r="1071">
          <cell r="A1071" t="str">
            <v>ZSD_MAR_MWST2</v>
          </cell>
          <cell r="B1071" t="str">
            <v>R3_ADAC-Tabellen_SD_MM</v>
          </cell>
          <cell r="C1071" t="str">
            <v>R3_ADAC-Tabellen_SD_MM.xlsx</v>
          </cell>
          <cell r="D1071" t="str">
            <v>Ja</v>
          </cell>
        </row>
        <row r="1072">
          <cell r="A1072" t="str">
            <v>ZSD_MARB</v>
          </cell>
          <cell r="B1072" t="str">
            <v>R3_ADAC-Tabellen_SD_MM</v>
          </cell>
          <cell r="C1072" t="str">
            <v>R3_ADAC-Tabellen_SD_MM.xlsx</v>
          </cell>
          <cell r="D1072" t="str">
            <v>Ja</v>
          </cell>
        </row>
        <row r="1073">
          <cell r="A1073" t="str">
            <v>ZSD_MARD</v>
          </cell>
          <cell r="B1073" t="str">
            <v>R3_ADAC-Tabellen_SD_MM</v>
          </cell>
          <cell r="C1073" t="str">
            <v>R3_ADAC-Tabellen_SD_MM.xlsx</v>
          </cell>
          <cell r="D1073" t="str">
            <v>Ja</v>
          </cell>
        </row>
        <row r="1074">
          <cell r="A1074" t="str">
            <v>ZSD_MARFD</v>
          </cell>
          <cell r="B1074" t="str">
            <v>R3_ADAC-Tabellen_SD_MM</v>
          </cell>
          <cell r="C1074" t="str">
            <v>R3_ADAC-Tabellen_SD_MM.xlsx</v>
          </cell>
          <cell r="D1074" t="str">
            <v>Ja</v>
          </cell>
        </row>
        <row r="1075">
          <cell r="A1075" t="str">
            <v>ZSD_MARFS</v>
          </cell>
          <cell r="B1075" t="str">
            <v>R3_ADAC-Tabellen_SD_MM</v>
          </cell>
          <cell r="C1075" t="str">
            <v>R3_ADAC-Tabellen_SD_MM.xlsx</v>
          </cell>
          <cell r="D1075" t="str">
            <v>Ja</v>
          </cell>
        </row>
        <row r="1076">
          <cell r="A1076" t="str">
            <v>ZSD_MARFU</v>
          </cell>
          <cell r="B1076" t="str">
            <v>R3_ADAC-Tabellen_SD_MM</v>
          </cell>
          <cell r="C1076" t="str">
            <v>R3_ADAC-Tabellen_SD_MM.xlsx</v>
          </cell>
          <cell r="D1076" t="str">
            <v>Ja</v>
          </cell>
        </row>
        <row r="1077">
          <cell r="A1077" t="str">
            <v>ZSD_MARI</v>
          </cell>
          <cell r="B1077" t="str">
            <v>R3_ADAC-Tabellen_SD_MM</v>
          </cell>
          <cell r="C1077" t="str">
            <v>R3_ADAC-Tabellen_SD_MM.xlsx</v>
          </cell>
          <cell r="D1077" t="str">
            <v>Ja</v>
          </cell>
        </row>
        <row r="1078">
          <cell r="A1078" t="str">
            <v>ZSD_MARK</v>
          </cell>
          <cell r="B1078" t="str">
            <v>R3_ADAC-Tabellen_SD_MM</v>
          </cell>
          <cell r="C1078" t="str">
            <v>R3_ADAC-Tabellen_SD_MM.xlsx</v>
          </cell>
          <cell r="D1078" t="str">
            <v>Ja</v>
          </cell>
        </row>
        <row r="1079">
          <cell r="A1079" t="str">
            <v>ZSD_EINSATZ_EXT</v>
          </cell>
          <cell r="B1079" t="str">
            <v>R3_ADAC-Tabellen_SD_MM</v>
          </cell>
          <cell r="C1079" t="str">
            <v>R3_ADAC-Tabellen_SD_MM.xlsx</v>
          </cell>
          <cell r="D1079" t="str">
            <v>Ja</v>
          </cell>
        </row>
        <row r="1080">
          <cell r="A1080" t="str">
            <v>ZSD_LR1</v>
          </cell>
          <cell r="B1080" t="str">
            <v>R3_ADAC-Tabellen_SD_MM</v>
          </cell>
          <cell r="C1080" t="str">
            <v>R3_ADAC-Tabellen_SD_MM.xlsx</v>
          </cell>
          <cell r="D1080" t="str">
            <v>Ja</v>
          </cell>
        </row>
        <row r="1081">
          <cell r="A1081" t="str">
            <v>ZSD_LR2</v>
          </cell>
          <cell r="B1081" t="str">
            <v>R3_ADAC-Tabellen_SD_MM</v>
          </cell>
          <cell r="C1081" t="str">
            <v>R3_ADAC-Tabellen_SD_MM.xlsx</v>
          </cell>
          <cell r="D1081" t="str">
            <v>Ja</v>
          </cell>
        </row>
        <row r="1082">
          <cell r="A1082" t="str">
            <v>ZSD_LR3</v>
          </cell>
          <cell r="B1082" t="str">
            <v>R3_ADAC-Tabellen_SD_MM</v>
          </cell>
          <cell r="C1082" t="str">
            <v>R3_ADAC-Tabellen_SD_MM.xlsx</v>
          </cell>
          <cell r="D1082" t="str">
            <v>Ja</v>
          </cell>
        </row>
        <row r="1083">
          <cell r="A1083" t="str">
            <v>ZSD_LR4</v>
          </cell>
          <cell r="B1083" t="str">
            <v>R3_ADAC-Tabellen_SD_MM</v>
          </cell>
          <cell r="C1083" t="str">
            <v>R3_ADAC-Tabellen_SD_MM.xlsx</v>
          </cell>
          <cell r="D1083" t="str">
            <v>Ja</v>
          </cell>
        </row>
        <row r="1084">
          <cell r="A1084" t="str">
            <v>ZSD_LR5</v>
          </cell>
          <cell r="B1084" t="str">
            <v>R3_ADAC-Tabellen_SD_MM</v>
          </cell>
          <cell r="C1084" t="str">
            <v>R3_ADAC-Tabellen_SD_MM.xlsx</v>
          </cell>
          <cell r="D1084" t="str">
            <v>Ja</v>
          </cell>
        </row>
        <row r="1085">
          <cell r="A1085" t="str">
            <v>ZSD_LR6</v>
          </cell>
          <cell r="B1085" t="str">
            <v>R3_ADAC-Tabellen_SD_MM</v>
          </cell>
          <cell r="C1085" t="str">
            <v>R3_ADAC-Tabellen_SD_MM.xlsx</v>
          </cell>
          <cell r="D1085" t="str">
            <v>Ja</v>
          </cell>
        </row>
        <row r="1086">
          <cell r="A1086" t="str">
            <v>ZSD_LRG</v>
          </cell>
          <cell r="B1086" t="str">
            <v>R3_ADAC-Tabellen_SD_MM</v>
          </cell>
          <cell r="C1086" t="str">
            <v>R3_ADAC-Tabellen_SD_MM.xlsx</v>
          </cell>
          <cell r="D1086" t="str">
            <v>Ja</v>
          </cell>
        </row>
        <row r="1087">
          <cell r="A1087" t="str">
            <v>ZSD_LRG_DF1</v>
          </cell>
          <cell r="B1087" t="str">
            <v>R3_ADAC-Tabellen_SD_MM</v>
          </cell>
          <cell r="C1087" t="str">
            <v>R3_ADAC-Tabellen_SD_MM.xlsx</v>
          </cell>
          <cell r="D1087" t="str">
            <v>Ja</v>
          </cell>
        </row>
        <row r="1088">
          <cell r="A1088" t="str">
            <v>ZSD_LRG_DFDAV</v>
          </cell>
          <cell r="B1088" t="str">
            <v>R3_ADAC-Tabellen_SD_MM</v>
          </cell>
          <cell r="C1088" t="str">
            <v>R3_ADAC-Tabellen_SD_MM.xlsx</v>
          </cell>
          <cell r="D1088" t="str">
            <v>Ja</v>
          </cell>
        </row>
        <row r="1089">
          <cell r="A1089" t="str">
            <v>ZSD_LRG_DFKTR</v>
          </cell>
          <cell r="B1089" t="str">
            <v>R3_ADAC-Tabellen_SD_MM</v>
          </cell>
          <cell r="C1089" t="str">
            <v>R3_ADAC-Tabellen_SD_MM.xlsx</v>
          </cell>
          <cell r="D1089" t="str">
            <v>Ja</v>
          </cell>
        </row>
        <row r="1090">
          <cell r="A1090" t="str">
            <v>ZSD_LRG_DFLAND</v>
          </cell>
          <cell r="B1090" t="str">
            <v>R3_ADAC-Tabellen_SD_MM</v>
          </cell>
          <cell r="C1090" t="str">
            <v>R3_ADAC-Tabellen_SD_MM.xlsx</v>
          </cell>
          <cell r="D1090" t="str">
            <v>Ja</v>
          </cell>
        </row>
        <row r="1091">
          <cell r="A1091" t="str">
            <v>ZSD_LRG_DFPOS4</v>
          </cell>
          <cell r="B1091" t="str">
            <v>R3_ADAC-Tabellen_SD_MM</v>
          </cell>
          <cell r="C1091" t="str">
            <v>R3_ADAC-Tabellen_SD_MM.xlsx</v>
          </cell>
          <cell r="D1091" t="str">
            <v>Ja</v>
          </cell>
        </row>
        <row r="1092">
          <cell r="A1092" t="str">
            <v>ZSD_LRG_DFREC</v>
          </cell>
          <cell r="B1092" t="str">
            <v>R3_ADAC-Tabellen_SD_MM</v>
          </cell>
          <cell r="C1092" t="str">
            <v>R3_ADAC-Tabellen_SD_MM.xlsx</v>
          </cell>
          <cell r="D1092" t="str">
            <v>Ja</v>
          </cell>
        </row>
        <row r="1093">
          <cell r="A1093" t="str">
            <v>ZSD_LRGPARAMETER</v>
          </cell>
          <cell r="B1093" t="str">
            <v>R3_ADAC-Tabellen_SD_MM</v>
          </cell>
          <cell r="C1093" t="str">
            <v>R3_ADAC-Tabellen_SD_MM.xlsx</v>
          </cell>
          <cell r="D1093" t="str">
            <v>Ja</v>
          </cell>
        </row>
        <row r="1094">
          <cell r="A1094" t="str">
            <v>ZFI_LIEFNR</v>
          </cell>
          <cell r="B1094" t="str">
            <v>R3_ADAC-Tabellen_SD_MM</v>
          </cell>
          <cell r="C1094" t="str">
            <v>R3_ADAC-Tabellen_SD_MM.xlsx</v>
          </cell>
          <cell r="D1094" t="str">
            <v>ETM Bewertung bis 2027</v>
          </cell>
        </row>
        <row r="1095">
          <cell r="A1095" t="str">
            <v>ZSD_SWA_ALLGST</v>
          </cell>
          <cell r="B1095" t="str">
            <v>R3_ADAC-Tabellen_SD_MM</v>
          </cell>
          <cell r="C1095" t="str">
            <v>R3_ADAC-Tabellen_SD_MM.xlsx</v>
          </cell>
          <cell r="D1095" t="str">
            <v>ETM Bewertung bis 2027</v>
          </cell>
        </row>
        <row r="1096">
          <cell r="A1096" t="str">
            <v>ZSD_SWA_BEREICH</v>
          </cell>
          <cell r="B1096" t="str">
            <v>R3_ADAC-Tabellen_SD_MM</v>
          </cell>
          <cell r="C1096" t="str">
            <v>R3_ADAC-Tabellen_SD_MM.xlsx</v>
          </cell>
          <cell r="D1096" t="str">
            <v>ETM Bewertung bis 2027</v>
          </cell>
        </row>
        <row r="1097">
          <cell r="A1097" t="str">
            <v>ZSD_SWA_BSTAUS</v>
          </cell>
          <cell r="B1097" t="str">
            <v>R3_ADAC-Tabellen_SD_MM</v>
          </cell>
          <cell r="C1097" t="str">
            <v>R3_ADAC-Tabellen_SD_MM.xlsx</v>
          </cell>
          <cell r="D1097" t="str">
            <v>ETM Bewertung bis 2027</v>
          </cell>
        </row>
        <row r="1098">
          <cell r="A1098" t="str">
            <v>ZSD_SWA_BSTERH</v>
          </cell>
          <cell r="B1098" t="str">
            <v>R3_ADAC-Tabellen_SD_MM</v>
          </cell>
          <cell r="C1098" t="str">
            <v>R3_ADAC-Tabellen_SD_MM.xlsx</v>
          </cell>
          <cell r="D1098" t="str">
            <v>ETM Bewertung bis 2027</v>
          </cell>
        </row>
        <row r="1099">
          <cell r="A1099" t="str">
            <v>ZSD_SWA_CCE</v>
          </cell>
          <cell r="B1099" t="str">
            <v>R3_ADAC-Tabellen_SD_MM</v>
          </cell>
          <cell r="C1099" t="str">
            <v>R3_ADAC-Tabellen_SD_MM.xlsx</v>
          </cell>
          <cell r="D1099" t="str">
            <v>ETM Bewertung bis 2027</v>
          </cell>
        </row>
        <row r="1100">
          <cell r="A1100" t="str">
            <v>ZSD_SWA_ETAUS</v>
          </cell>
          <cell r="B1100" t="str">
            <v>R3_ADAC-Tabellen_SD_MM</v>
          </cell>
          <cell r="C1100" t="str">
            <v>R3_ADAC-Tabellen_SD_MM.xlsx</v>
          </cell>
          <cell r="D1100" t="str">
            <v>ETM Bewertung bis 2027</v>
          </cell>
        </row>
        <row r="1101">
          <cell r="A1101" t="str">
            <v>ZSD_SWA_LAG</v>
          </cell>
          <cell r="B1101" t="str">
            <v>R3_ADAC-Tabellen_SD_MM</v>
          </cell>
          <cell r="C1101" t="str">
            <v>R3_ADAC-Tabellen_SD_MM.xlsx</v>
          </cell>
          <cell r="D1101" t="str">
            <v>ETM Bewertung bis 2027</v>
          </cell>
        </row>
        <row r="1102">
          <cell r="A1102" t="str">
            <v>ZSD_SWA_MAT</v>
          </cell>
          <cell r="B1102" t="str">
            <v>R3_ADAC-Tabellen_SD_MM</v>
          </cell>
          <cell r="C1102" t="str">
            <v>R3_ADAC-Tabellen_SD_MM.xlsx</v>
          </cell>
          <cell r="D1102" t="str">
            <v>ETM Bewertung bis 2027</v>
          </cell>
        </row>
        <row r="1103">
          <cell r="A1103" t="str">
            <v>ZSD_SWA_MMB</v>
          </cell>
          <cell r="B1103" t="str">
            <v>R3_ADAC-Tabellen_SD_MM</v>
          </cell>
          <cell r="C1103" t="str">
            <v>R3_ADAC-Tabellen_SD_MM.xlsx</v>
          </cell>
          <cell r="D1103" t="str">
            <v>ETM Bewertung bis 2027</v>
          </cell>
        </row>
        <row r="1104">
          <cell r="A1104" t="str">
            <v>ZSD_SWA_PARAMS</v>
          </cell>
          <cell r="B1104" t="str">
            <v>R3_ADAC-Tabellen_SD_MM</v>
          </cell>
          <cell r="C1104" t="str">
            <v>R3_ADAC-Tabellen_SD_MM.xlsx</v>
          </cell>
          <cell r="D1104" t="str">
            <v>ETM Bewertung bis 2027</v>
          </cell>
        </row>
        <row r="1105">
          <cell r="A1105" t="str">
            <v>ZSD_SWA_PROVK</v>
          </cell>
          <cell r="B1105" t="str">
            <v>R3_ADAC-Tabellen_SD_MM</v>
          </cell>
          <cell r="C1105" t="str">
            <v>R3_ADAC-Tabellen_SD_MM.xlsx</v>
          </cell>
          <cell r="D1105" t="str">
            <v>ETM Bewertung bis 2027</v>
          </cell>
        </row>
        <row r="1106">
          <cell r="A1106" t="str">
            <v>ZSD_SWA_PROVP</v>
          </cell>
          <cell r="B1106" t="str">
            <v>R3_ADAC-Tabellen_SD_MM</v>
          </cell>
          <cell r="C1106" t="str">
            <v>R3_ADAC-Tabellen_SD_MM.xlsx</v>
          </cell>
          <cell r="D1106" t="str">
            <v>ETM Bewertung bis 2027</v>
          </cell>
        </row>
        <row r="1107">
          <cell r="A1107" t="str">
            <v>ZSD_SWA_ZAHL</v>
          </cell>
          <cell r="B1107" t="str">
            <v>R3_ADAC-Tabellen_SD_MM</v>
          </cell>
          <cell r="C1107" t="str">
            <v>R3_ADAC-Tabellen_SD_MM.xlsx</v>
          </cell>
          <cell r="D1107" t="str">
            <v>ETM Bewertung bis 2027</v>
          </cell>
        </row>
        <row r="1108">
          <cell r="A1108" t="str">
            <v>ZSD_SWAT_DATHIST</v>
          </cell>
          <cell r="B1108" t="str">
            <v>R3_ADAC-Tabellen_SD_MM</v>
          </cell>
          <cell r="C1108" t="str">
            <v>R3_ADAC-Tabellen_SD_MM.xlsx</v>
          </cell>
          <cell r="D1108" t="str">
            <v>ETM Bewertung bis 2027</v>
          </cell>
        </row>
        <row r="1109">
          <cell r="A1109" t="str">
            <v>ZSD_SWAT_ERRLIM</v>
          </cell>
          <cell r="B1109" t="str">
            <v>R3_ADAC-Tabellen_SD_MM</v>
          </cell>
          <cell r="C1109" t="str">
            <v>R3_ADAC-Tabellen_SD_MM.xlsx</v>
          </cell>
          <cell r="D1109" t="str">
            <v>ETM Bewertung bis 2027</v>
          </cell>
        </row>
        <row r="1110">
          <cell r="A1110" t="str">
            <v>ZSD_SWAT_FEHLER</v>
          </cell>
          <cell r="B1110" t="str">
            <v>R3_ADAC-Tabellen_SD_MM</v>
          </cell>
          <cell r="C1110" t="str">
            <v>R3_ADAC-Tabellen_SD_MM.xlsx</v>
          </cell>
          <cell r="D1110" t="str">
            <v>ETM Bewertung bis 2027</v>
          </cell>
        </row>
        <row r="1111">
          <cell r="A1111" t="str">
            <v>ZSD_SWAT_KT_TEST</v>
          </cell>
          <cell r="B1111" t="str">
            <v>R3_ADAC-Tabellen_SD_MM</v>
          </cell>
          <cell r="C1111" t="str">
            <v>R3_ADAC-Tabellen_SD_MM.xlsx</v>
          </cell>
          <cell r="D1111" t="str">
            <v>ETM Bewertung bis 2027</v>
          </cell>
        </row>
        <row r="1112">
          <cell r="A1112" t="str">
            <v>ZSD_SWAT_TR_AKT</v>
          </cell>
          <cell r="B1112" t="str">
            <v>R3_ADAC-Tabellen_SD_MM</v>
          </cell>
          <cell r="C1112" t="str">
            <v>R3_ADAC-Tabellen_SD_MM.xlsx</v>
          </cell>
          <cell r="D1112" t="str">
            <v>ETM Bewertung bis 2027</v>
          </cell>
        </row>
        <row r="1113">
          <cell r="A1113" t="str">
            <v>ZSD_SWAT_TR_ART</v>
          </cell>
          <cell r="B1113" t="str">
            <v>R3_ADAC-Tabellen_SD_MM</v>
          </cell>
          <cell r="C1113" t="str">
            <v>R3_ADAC-Tabellen_SD_MM.xlsx</v>
          </cell>
          <cell r="D1113" t="str">
            <v>ETM Bewertung bis 2027</v>
          </cell>
        </row>
        <row r="1114">
          <cell r="A1114" t="str">
            <v>ZSD_T171</v>
          </cell>
          <cell r="B1114" t="str">
            <v>R3_ADAC-Tabellen_SD_MM</v>
          </cell>
          <cell r="C1114" t="str">
            <v>R3_ADAC-Tabellen_SD_MM.xlsx</v>
          </cell>
          <cell r="D1114" t="str">
            <v>ETM Bewertung bis 2027</v>
          </cell>
        </row>
        <row r="1115">
          <cell r="A1115" t="str">
            <v>ZSD_V_SWA_T171</v>
          </cell>
          <cell r="B1115" t="str">
            <v>R3_ADAC-Tabellen_SD_MM</v>
          </cell>
          <cell r="C1115" t="str">
            <v>R3_ADAC-Tabellen_SD_MM.xlsx</v>
          </cell>
          <cell r="D1115" t="str">
            <v>ETM Bewertung bis 2027</v>
          </cell>
        </row>
        <row r="1116">
          <cell r="A1116" t="str">
            <v>ZSD_TOL</v>
          </cell>
          <cell r="B1116" t="str">
            <v>R3_ADAC-Tabellen_SD_MM</v>
          </cell>
          <cell r="C1116" t="str">
            <v>R3_ADAC-Tabellen_SD_MM.xlsx</v>
          </cell>
          <cell r="D1116" t="str">
            <v>Ja</v>
          </cell>
        </row>
        <row r="1117">
          <cell r="A1117" t="str">
            <v>ZSD_TOL_IN</v>
          </cell>
          <cell r="B1117" t="str">
            <v>R3_ADAC-Tabellen_SD_MM</v>
          </cell>
          <cell r="C1117" t="str">
            <v>R3_ADAC-Tabellen_SD_MM.xlsx</v>
          </cell>
          <cell r="D1117" t="str">
            <v>Ja</v>
          </cell>
        </row>
        <row r="1118">
          <cell r="A1118" t="str">
            <v>ZSD_TOL1</v>
          </cell>
          <cell r="B1118" t="str">
            <v>R3_ADAC-Tabellen_SD_MM</v>
          </cell>
          <cell r="C1118" t="str">
            <v>R3_ADAC-Tabellen_SD_MM.xlsx</v>
          </cell>
          <cell r="D1118" t="str">
            <v>Ja</v>
          </cell>
        </row>
        <row r="1119">
          <cell r="A1119" t="str">
            <v>ZSD_TOL2</v>
          </cell>
          <cell r="B1119" t="str">
            <v>R3_ADAC-Tabellen_SD_MM</v>
          </cell>
          <cell r="C1119" t="str">
            <v>R3_ADAC-Tabellen_SD_MM.xlsx</v>
          </cell>
          <cell r="D1119" t="str">
            <v>Ja</v>
          </cell>
        </row>
        <row r="1120">
          <cell r="A1120" t="str">
            <v>ZSD_TOL4</v>
          </cell>
          <cell r="B1120" t="str">
            <v>R3_ADAC-Tabellen_SD_MM</v>
          </cell>
          <cell r="C1120" t="str">
            <v>R3_ADAC-Tabellen_SD_MM.xlsx</v>
          </cell>
          <cell r="D1120" t="str">
            <v>Ja</v>
          </cell>
        </row>
        <row r="1121">
          <cell r="A1121" t="str">
            <v>ZSD_TOL5</v>
          </cell>
          <cell r="B1121" t="str">
            <v>R3_ADAC-Tabellen_SD_MM</v>
          </cell>
          <cell r="C1121" t="str">
            <v>R3_ADAC-Tabellen_SD_MM.xlsx</v>
          </cell>
          <cell r="D1121" t="str">
            <v>Ja</v>
          </cell>
        </row>
        <row r="1122">
          <cell r="A1122" t="str">
            <v>ZSD_TOL6</v>
          </cell>
          <cell r="B1122" t="str">
            <v>R3_ADAC-Tabellen_SD_MM</v>
          </cell>
          <cell r="C1122" t="str">
            <v>R3_ADAC-Tabellen_SD_MM.xlsx</v>
          </cell>
          <cell r="D1122" t="str">
            <v>Ja</v>
          </cell>
        </row>
        <row r="1123">
          <cell r="A1123" t="str">
            <v>ZSD_TOL7</v>
          </cell>
          <cell r="B1123" t="str">
            <v>R3_ADAC-Tabellen_SD_MM</v>
          </cell>
          <cell r="C1123" t="str">
            <v>R3_ADAC-Tabellen_SD_MM.xlsx</v>
          </cell>
          <cell r="D1123" t="str">
            <v>Ja</v>
          </cell>
        </row>
        <row r="1124">
          <cell r="A1124" t="str">
            <v>ZSD_TOL8</v>
          </cell>
          <cell r="B1124" t="str">
            <v>R3_ADAC-Tabellen_SD_MM</v>
          </cell>
          <cell r="C1124" t="str">
            <v>R3_ADAC-Tabellen_SD_MM.xlsx</v>
          </cell>
          <cell r="D1124" t="str">
            <v>Ja</v>
          </cell>
        </row>
        <row r="1125">
          <cell r="A1125" t="str">
            <v>ZSD_TOL9</v>
          </cell>
          <cell r="B1125" t="str">
            <v>R3_ADAC-Tabellen_SD_MM</v>
          </cell>
          <cell r="C1125" t="str">
            <v>R3_ADAC-Tabellen_SD_MM.xlsx</v>
          </cell>
          <cell r="D1125" t="str">
            <v>Ja</v>
          </cell>
        </row>
        <row r="1126">
          <cell r="A1126" t="str">
            <v>ZSD_TOLL</v>
          </cell>
          <cell r="B1126" t="str">
            <v>R3_ADAC-Tabellen_SD_MM</v>
          </cell>
          <cell r="C1126" t="str">
            <v>R3_ADAC-Tabellen_SD_MM.xlsx</v>
          </cell>
          <cell r="D1126" t="str">
            <v>Ja</v>
          </cell>
        </row>
        <row r="1127">
          <cell r="A1127" t="str">
            <v>ZSD_TOLS</v>
          </cell>
          <cell r="B1127" t="str">
            <v>R3_ADAC-Tabellen_SD_MM</v>
          </cell>
          <cell r="C1127" t="str">
            <v>R3_ADAC-Tabellen_SD_MM.xlsx</v>
          </cell>
          <cell r="D1127" t="str">
            <v>Ja</v>
          </cell>
        </row>
        <row r="1128">
          <cell r="A1128" t="str">
            <v>ZSD_TOLT</v>
          </cell>
          <cell r="B1128" t="str">
            <v>R3_ADAC-Tabellen_SD_MM</v>
          </cell>
          <cell r="C1128" t="str">
            <v>R3_ADAC-Tabellen_SD_MM.xlsx</v>
          </cell>
          <cell r="D1128" t="str">
            <v>Ja</v>
          </cell>
        </row>
        <row r="1129">
          <cell r="A1129" t="str">
            <v>ZSD_SN1</v>
          </cell>
          <cell r="B1129" t="str">
            <v>R3_ADAC-Tabellen_SD_MM</v>
          </cell>
          <cell r="C1129" t="str">
            <v>R3_ADAC-Tabellen_SD_MM.xlsx</v>
          </cell>
          <cell r="D1129" t="str">
            <v>Ja</v>
          </cell>
        </row>
        <row r="1130">
          <cell r="A1130" t="str">
            <v>ZSD_SN3</v>
          </cell>
          <cell r="B1130" t="str">
            <v>R3_ADAC-Tabellen_SD_MM</v>
          </cell>
          <cell r="C1130" t="str">
            <v>R3_ADAC-Tabellen_SD_MM.xlsx</v>
          </cell>
          <cell r="D1130" t="str">
            <v>Ja</v>
          </cell>
        </row>
        <row r="1131">
          <cell r="A1131" t="str">
            <v>ZSD_SN4</v>
          </cell>
          <cell r="B1131" t="str">
            <v>R3_ADAC-Tabellen_SD_MM</v>
          </cell>
          <cell r="C1131" t="str">
            <v>R3_ADAC-Tabellen_SD_MM.xlsx</v>
          </cell>
          <cell r="D1131" t="str">
            <v>Ja</v>
          </cell>
        </row>
        <row r="1132">
          <cell r="A1132" t="str">
            <v>ZSD_SN5</v>
          </cell>
          <cell r="B1132" t="str">
            <v>R3_ADAC-Tabellen_SD_MM</v>
          </cell>
          <cell r="C1132" t="str">
            <v>R3_ADAC-Tabellen_SD_MM.xlsx</v>
          </cell>
          <cell r="D1132" t="str">
            <v>Ja</v>
          </cell>
        </row>
        <row r="1133">
          <cell r="A1133" t="str">
            <v>ZSD_KUNGRP</v>
          </cell>
          <cell r="B1133" t="str">
            <v>R3_ADAC-Tabellen_SD_MM</v>
          </cell>
          <cell r="C1133" t="str">
            <v>R3_ADAC-Tabellen_SD_MM.xlsx</v>
          </cell>
          <cell r="D1133" t="str">
            <v>Ja</v>
          </cell>
        </row>
        <row r="1134">
          <cell r="A1134" t="str">
            <v>ZSD_VST_IA</v>
          </cell>
          <cell r="B1134" t="str">
            <v>R3_ADAC-Tabellen_SD_MM</v>
          </cell>
          <cell r="C1134" t="str">
            <v>R3_ADAC-Tabellen_SD_MM.xlsx</v>
          </cell>
          <cell r="D1134" t="str">
            <v>Ja</v>
          </cell>
        </row>
        <row r="1135">
          <cell r="A1135" t="str">
            <v>ZSD_VST_MENUE</v>
          </cell>
          <cell r="B1135" t="str">
            <v>R3_ADAC-Tabellen_SD_MM</v>
          </cell>
          <cell r="C1135" t="str">
            <v>R3_ADAC-Tabellen_SD_MM.xlsx</v>
          </cell>
          <cell r="D1135" t="str">
            <v>Ja</v>
          </cell>
        </row>
        <row r="1136">
          <cell r="A1136" t="str">
            <v>ZMM_VST_ARTFORM</v>
          </cell>
          <cell r="B1136" t="str">
            <v>R3_ADAC-Tabellen_SD_MM</v>
          </cell>
          <cell r="C1136" t="str">
            <v>R3_ADAC-Tabellen_SD_MM.xlsx</v>
          </cell>
          <cell r="D1136" t="str">
            <v>Ja</v>
          </cell>
        </row>
        <row r="1137">
          <cell r="A1137" t="str">
            <v>ZMM_KST</v>
          </cell>
          <cell r="B1137" t="str">
            <v>R3_ADAC-Tabellen_SD_MM</v>
          </cell>
          <cell r="C1137" t="str">
            <v>R3_ADAC-Tabellen_SD_MM.xlsx</v>
          </cell>
          <cell r="D1137" t="str">
            <v>Ja</v>
          </cell>
        </row>
        <row r="1138">
          <cell r="A1138" t="str">
            <v>ZMM_MAT1</v>
          </cell>
          <cell r="B1138" t="str">
            <v>R3_ADAC-Tabellen_SD_MM</v>
          </cell>
          <cell r="C1138" t="str">
            <v>R3_ADAC-Tabellen_SD_MM.xlsx</v>
          </cell>
          <cell r="D1138" t="str">
            <v>Ja</v>
          </cell>
        </row>
        <row r="1139">
          <cell r="A1139" t="str">
            <v>ZMM_MAT2</v>
          </cell>
          <cell r="B1139" t="str">
            <v>R3_ADAC-Tabellen_SD_MM</v>
          </cell>
          <cell r="C1139" t="str">
            <v>R3_ADAC-Tabellen_SD_MM.xlsx</v>
          </cell>
          <cell r="D1139" t="str">
            <v>Ja</v>
          </cell>
        </row>
        <row r="1140">
          <cell r="A1140" t="str">
            <v>ZMM_MAT3</v>
          </cell>
          <cell r="B1140" t="str">
            <v>R3_ADAC-Tabellen_SD_MM</v>
          </cell>
          <cell r="C1140" t="str">
            <v>R3_ADAC-Tabellen_SD_MM.xlsx</v>
          </cell>
          <cell r="D1140" t="str">
            <v>Ja</v>
          </cell>
        </row>
        <row r="1141">
          <cell r="A1141" t="str">
            <v>ZSD_T179</v>
          </cell>
          <cell r="B1141" t="str">
            <v>R3_ADAC-Tabellen_SD_MM</v>
          </cell>
          <cell r="C1141" t="str">
            <v>R3_ADAC-Tabellen_SD_MM.xlsx</v>
          </cell>
          <cell r="D1141" t="str">
            <v>Ja</v>
          </cell>
        </row>
        <row r="1142">
          <cell r="A1142" t="str">
            <v>ZSD_TVMS</v>
          </cell>
          <cell r="B1142" t="str">
            <v>R3_ADAC-Tabellen_SD_MM</v>
          </cell>
          <cell r="C1142" t="str">
            <v>R3_ADAC-Tabellen_SD_MM.xlsx</v>
          </cell>
          <cell r="D1142" t="str">
            <v>Ja</v>
          </cell>
        </row>
        <row r="1143">
          <cell r="A1143" t="str">
            <v>ZMM_T023</v>
          </cell>
          <cell r="B1143" t="str">
            <v>R3_ADAC-Tabellen_SD_MM</v>
          </cell>
          <cell r="C1143" t="str">
            <v>R3_ADAC-Tabellen_SD_MM.xlsx</v>
          </cell>
          <cell r="D1143" t="str">
            <v>Ja</v>
          </cell>
        </row>
        <row r="1144">
          <cell r="A1144" t="str">
            <v>ZMM_T024</v>
          </cell>
          <cell r="B1144" t="str">
            <v>R3_ADAC-Tabellen_SD_MM</v>
          </cell>
          <cell r="C1144" t="str">
            <v>R3_ADAC-Tabellen_SD_MM.xlsx</v>
          </cell>
          <cell r="D1144" t="str">
            <v>Ja</v>
          </cell>
        </row>
        <row r="1145">
          <cell r="A1145" t="str">
            <v>ZMM_T024L</v>
          </cell>
          <cell r="B1145" t="str">
            <v>R3_ADAC-Tabellen_SD_MM</v>
          </cell>
          <cell r="C1145" t="str">
            <v>R3_ADAC-Tabellen_SD_MM.xlsx</v>
          </cell>
          <cell r="D1145" t="str">
            <v>Ja</v>
          </cell>
        </row>
        <row r="1146">
          <cell r="A1146" t="str">
            <v>ZMM_T024D</v>
          </cell>
          <cell r="B1146" t="str">
            <v>R3_ADAC-Tabellen_SD_MM</v>
          </cell>
          <cell r="C1146" t="str">
            <v>R3_ADAC-Tabellen_SD_MM.xlsx</v>
          </cell>
          <cell r="D1146" t="str">
            <v>Ja</v>
          </cell>
        </row>
        <row r="1147">
          <cell r="A1147" t="str">
            <v>ZMM_T024N</v>
          </cell>
          <cell r="B1147" t="str">
            <v>R3_ADAC-Tabellen_SD_MM</v>
          </cell>
          <cell r="C1147" t="str">
            <v>R3_ADAC-Tabellen_SD_MM.xlsx</v>
          </cell>
          <cell r="D1147" t="str">
            <v>Ja</v>
          </cell>
        </row>
        <row r="1148">
          <cell r="A1148" t="str">
            <v>ZMM_WEPR</v>
          </cell>
          <cell r="B1148" t="str">
            <v>R3_ADAC-Tabellen_SD_MM</v>
          </cell>
          <cell r="C1148" t="str">
            <v>R3_ADAC-Tabellen_SD_MM.xlsx</v>
          </cell>
          <cell r="D1148" t="str">
            <v>Nein</v>
          </cell>
        </row>
        <row r="1149">
          <cell r="A1149" t="str">
            <v>ZMM_ISEG</v>
          </cell>
          <cell r="B1149" t="str">
            <v>R3_ADAC-Tabellen_SD_MM</v>
          </cell>
          <cell r="C1149" t="str">
            <v>R3_ADAC-Tabellen_SD_MM.xlsx</v>
          </cell>
          <cell r="D1149" t="str">
            <v>Nein</v>
          </cell>
        </row>
        <row r="1150">
          <cell r="A1150" t="str">
            <v>ZMM_LA1</v>
          </cell>
          <cell r="B1150" t="str">
            <v>R3_ADAC-Tabellen_SD_MM</v>
          </cell>
          <cell r="C1150" t="str">
            <v>R3_ADAC-Tabellen_SD_MM.xlsx</v>
          </cell>
          <cell r="D1150" t="str">
            <v>Ja</v>
          </cell>
        </row>
        <row r="1151">
          <cell r="A1151" t="str">
            <v>ZMM_LA2</v>
          </cell>
          <cell r="B1151" t="str">
            <v>R3_ADAC-Tabellen_SD_MM</v>
          </cell>
          <cell r="C1151" t="str">
            <v>R3_ADAC-Tabellen_SD_MM.xlsx</v>
          </cell>
          <cell r="D1151" t="str">
            <v>Ja</v>
          </cell>
        </row>
        <row r="1152">
          <cell r="A1152" t="str">
            <v>ZMM_LA3</v>
          </cell>
          <cell r="B1152" t="str">
            <v>R3_ADAC-Tabellen_SD_MM</v>
          </cell>
          <cell r="C1152" t="str">
            <v>R3_ADAC-Tabellen_SD_MM.xlsx</v>
          </cell>
          <cell r="D1152" t="str">
            <v>Ja</v>
          </cell>
        </row>
        <row r="1153">
          <cell r="A1153" t="str">
            <v>ZMM_LA4</v>
          </cell>
          <cell r="B1153" t="str">
            <v>R3_ADAC-Tabellen_SD_MM</v>
          </cell>
          <cell r="C1153" t="str">
            <v>R3_ADAC-Tabellen_SD_MM.xlsx</v>
          </cell>
          <cell r="D1153" t="str">
            <v>Ja</v>
          </cell>
        </row>
        <row r="1154">
          <cell r="A1154" t="str">
            <v>ZMM_LA5</v>
          </cell>
          <cell r="B1154" t="str">
            <v>R3_ADAC-Tabellen_SD_MM</v>
          </cell>
          <cell r="C1154" t="str">
            <v>R3_ADAC-Tabellen_SD_MM.xlsx</v>
          </cell>
          <cell r="D1154" t="str">
            <v>Ja</v>
          </cell>
        </row>
        <row r="1155">
          <cell r="A1155" t="str">
            <v>ZMM_LA6</v>
          </cell>
          <cell r="B1155" t="str">
            <v>R3_ADAC-Tabellen_SD_MM</v>
          </cell>
          <cell r="C1155" t="str">
            <v>R3_ADAC-Tabellen_SD_MM.xlsx</v>
          </cell>
          <cell r="D1155" t="str">
            <v>Ja</v>
          </cell>
        </row>
        <row r="1156">
          <cell r="A1156" t="str">
            <v>ZMM_LA8</v>
          </cell>
          <cell r="B1156" t="str">
            <v>R3_ADAC-Tabellen_SD_MM</v>
          </cell>
          <cell r="C1156" t="str">
            <v>R3_ADAC-Tabellen_SD_MM.xlsx</v>
          </cell>
          <cell r="D1156" t="str">
            <v>Ja</v>
          </cell>
        </row>
        <row r="1157">
          <cell r="A1157" t="str">
            <v>ZMM_LA8K</v>
          </cell>
          <cell r="B1157" t="str">
            <v>R3_ADAC-Tabellen_SD_MM</v>
          </cell>
          <cell r="C1157" t="str">
            <v>R3_ADAC-Tabellen_SD_MM.xlsx</v>
          </cell>
          <cell r="D1157" t="str">
            <v>Ja</v>
          </cell>
        </row>
        <row r="1158">
          <cell r="A1158" t="str">
            <v>ZMM_LA8P</v>
          </cell>
          <cell r="B1158" t="str">
            <v>R3_ADAC-Tabellen_SD_MM</v>
          </cell>
          <cell r="C1158" t="str">
            <v>R3_ADAC-Tabellen_SD_MM.xlsx</v>
          </cell>
          <cell r="D1158" t="str">
            <v>Ja</v>
          </cell>
        </row>
        <row r="1159">
          <cell r="A1159" t="str">
            <v>ZMM_LAG</v>
          </cell>
          <cell r="B1159" t="str">
            <v>R3_ADAC-Tabellen_SD_MM</v>
          </cell>
          <cell r="C1159" t="str">
            <v>R3_ADAC-Tabellen_SD_MM.xlsx</v>
          </cell>
          <cell r="D1159" t="str">
            <v>Ja</v>
          </cell>
        </row>
        <row r="1160">
          <cell r="A1160" t="str">
            <v>ZMM_LAGP</v>
          </cell>
          <cell r="B1160" t="str">
            <v>R3_ADAC-Tabellen_SD_MM</v>
          </cell>
          <cell r="C1160" t="str">
            <v>R3_ADAC-Tabellen_SD_MM.xlsx</v>
          </cell>
          <cell r="D1160" t="str">
            <v>Ja</v>
          </cell>
        </row>
        <row r="1161">
          <cell r="A1161" t="str">
            <v>ZMM_BEST_BUKRS</v>
          </cell>
          <cell r="B1161" t="str">
            <v>R3_ADAC-Tabellen_SD_MM</v>
          </cell>
          <cell r="C1161" t="str">
            <v>R3_ADAC-Tabellen_SD_MM.xlsx</v>
          </cell>
          <cell r="D1161" t="str">
            <v>Nein</v>
          </cell>
        </row>
        <row r="1162">
          <cell r="A1162" t="str">
            <v>ZMM_BEST_ECLASS</v>
          </cell>
          <cell r="B1162" t="str">
            <v>R3_ADAC-Tabellen_SD_MM</v>
          </cell>
          <cell r="C1162" t="str">
            <v>R3_ADAC-Tabellen_SD_MM.xlsx</v>
          </cell>
          <cell r="D1162" t="str">
            <v>Nein</v>
          </cell>
        </row>
        <row r="1163">
          <cell r="A1163" t="str">
            <v>ZMM_BEST_ECLASSV</v>
          </cell>
          <cell r="B1163" t="str">
            <v>R3_ADAC-Tabellen_SD_MM</v>
          </cell>
          <cell r="C1163" t="str">
            <v>R3_ADAC-Tabellen_SD_MM.xlsx</v>
          </cell>
          <cell r="D1163" t="str">
            <v>Nein</v>
          </cell>
        </row>
        <row r="1164">
          <cell r="A1164" t="str">
            <v>ZMM_BEST_KTGRP1</v>
          </cell>
          <cell r="B1164" t="str">
            <v>R3_ADAC-Tabellen_SD_MM</v>
          </cell>
          <cell r="C1164" t="str">
            <v>R3_ADAC-Tabellen_SD_MM.xlsx</v>
          </cell>
          <cell r="D1164" t="str">
            <v>Nein</v>
          </cell>
        </row>
        <row r="1165">
          <cell r="A1165" t="str">
            <v>ZMM_BEST_LIFNR</v>
          </cell>
          <cell r="B1165" t="str">
            <v>R3_ADAC-Tabellen_SD_MM</v>
          </cell>
          <cell r="C1165" t="str">
            <v>R3_ADAC-Tabellen_SD_MM.xlsx</v>
          </cell>
          <cell r="D1165" t="str">
            <v>Nein</v>
          </cell>
        </row>
        <row r="1166">
          <cell r="A1166" t="str">
            <v>ZMM_BEST_LIFNRV</v>
          </cell>
          <cell r="B1166" t="str">
            <v>R3_ADAC-Tabellen_SD_MM</v>
          </cell>
          <cell r="C1166" t="str">
            <v>R3_ADAC-Tabellen_SD_MM.xlsx</v>
          </cell>
          <cell r="D1166" t="str">
            <v>Nein</v>
          </cell>
        </row>
        <row r="1167">
          <cell r="A1167" t="str">
            <v>ZMM_RG_DATEI</v>
          </cell>
          <cell r="B1167" t="str">
            <v>R3_ADAC-Tabellen_SD_MM</v>
          </cell>
          <cell r="C1167" t="str">
            <v>R3_ADAC-Tabellen_SD_MM.xlsx</v>
          </cell>
          <cell r="D1167" t="str">
            <v>tbd</v>
          </cell>
        </row>
        <row r="1168">
          <cell r="A1168" t="str">
            <v>ZMM_RG_IM_FEHLER</v>
          </cell>
          <cell r="B1168" t="str">
            <v>R3_ADAC-Tabellen_SD_MM</v>
          </cell>
          <cell r="C1168" t="str">
            <v>R3_ADAC-Tabellen_SD_MM.xlsx</v>
          </cell>
          <cell r="D1168" t="str">
            <v>tbd</v>
          </cell>
        </row>
        <row r="1169">
          <cell r="A1169" t="str">
            <v>ZMM_RG_STEU</v>
          </cell>
          <cell r="B1169" t="str">
            <v>R3_ADAC-Tabellen_SD_MM</v>
          </cell>
          <cell r="C1169" t="str">
            <v>R3_ADAC-Tabellen_SD_MM.xlsx</v>
          </cell>
          <cell r="D1169" t="str">
            <v>tbd</v>
          </cell>
        </row>
        <row r="1170">
          <cell r="A1170" t="str">
            <v>ZSD_PARAM</v>
          </cell>
          <cell r="B1170" t="str">
            <v>R3_ADAC-Tabellen_SD_MM</v>
          </cell>
          <cell r="C1170" t="str">
            <v>R3_ADAC-Tabellen_SD_MM.xlsx</v>
          </cell>
          <cell r="D1170" t="str">
            <v>tbd</v>
          </cell>
        </row>
        <row r="1171">
          <cell r="A1171" t="str">
            <v>ZMM_ADRN2_NEU</v>
          </cell>
          <cell r="B1171" t="str">
            <v>R3_ADAC-Tabellen_SD_MM</v>
          </cell>
          <cell r="C1171" t="str">
            <v>R3_ADAC-Tabellen_SD_MM.xlsx</v>
          </cell>
          <cell r="D1171" t="str">
            <v>tbd</v>
          </cell>
        </row>
        <row r="1172">
          <cell r="A1172" t="str">
            <v>ZRE_HDV0</v>
          </cell>
          <cell r="B1172" t="str">
            <v>R3_ADAC-Tabellen_SD_MM</v>
          </cell>
          <cell r="C1172" t="str">
            <v>R3_ADAC-Tabellen_SD_MM.xlsx</v>
          </cell>
          <cell r="D1172" t="str">
            <v>tbd</v>
          </cell>
        </row>
        <row r="1173">
          <cell r="A1173" t="str">
            <v>ZRE_HDV1</v>
          </cell>
          <cell r="B1173" t="str">
            <v>R3_ADAC-Tabellen_SD_MM</v>
          </cell>
          <cell r="C1173" t="str">
            <v>R3_ADAC-Tabellen_SD_MM.xlsx</v>
          </cell>
          <cell r="D1173" t="str">
            <v>tbd</v>
          </cell>
        </row>
        <row r="1174">
          <cell r="A1174" t="str">
            <v>ZFI_56</v>
          </cell>
          <cell r="B1174" t="str">
            <v>R3_ADAC-Tabellen_SD_MM</v>
          </cell>
          <cell r="C1174" t="str">
            <v>R3_ADAC-Tabellen_SD_MM.xlsx</v>
          </cell>
          <cell r="D1174" t="str">
            <v>tbd</v>
          </cell>
        </row>
        <row r="1175">
          <cell r="A1175" t="str">
            <v>ZFI_FIRMEN01</v>
          </cell>
          <cell r="B1175" t="str">
            <v>R3_ADAC-Tabellen_SD_MM</v>
          </cell>
          <cell r="C1175" t="str">
            <v>R3_ADAC-Tabellen_SD_MM.xlsx</v>
          </cell>
          <cell r="D1175" t="str">
            <v>tbd</v>
          </cell>
        </row>
        <row r="1176">
          <cell r="A1176" t="str">
            <v>ZFI_AUSL_KONTO</v>
          </cell>
          <cell r="B1176" t="str">
            <v>R3_ADAC-Tabellen_SD_MM</v>
          </cell>
          <cell r="C1176" t="str">
            <v>R3_ADAC-Tabellen_SD_MM.xlsx</v>
          </cell>
          <cell r="D1176" t="str">
            <v>tbd</v>
          </cell>
        </row>
        <row r="1177">
          <cell r="A1177" t="str">
            <v>ZFI_AUSL_KOSTL</v>
          </cell>
          <cell r="B1177" t="str">
            <v>R3_ADAC-Tabellen_SD_MM</v>
          </cell>
          <cell r="C1177" t="str">
            <v>R3_ADAC-Tabellen_SD_MM.xlsx</v>
          </cell>
          <cell r="D1177" t="str">
            <v>tbd</v>
          </cell>
        </row>
        <row r="1178">
          <cell r="A1178" t="str">
            <v>ZFI_AUSL_MAT</v>
          </cell>
          <cell r="B1178" t="str">
            <v>R3_ADAC-Tabellen_SD_MM</v>
          </cell>
          <cell r="C1178" t="str">
            <v>R3_ADAC-Tabellen_SD_MM.xlsx</v>
          </cell>
          <cell r="D1178" t="str">
            <v>tbd</v>
          </cell>
        </row>
        <row r="1179">
          <cell r="A1179" t="str">
            <v>ZFI_AUSL_STEUKZ</v>
          </cell>
          <cell r="B1179" t="str">
            <v>R3_ADAC-Tabellen_SD_MM</v>
          </cell>
          <cell r="C1179" t="str">
            <v>R3_ADAC-Tabellen_SD_MM.xlsx</v>
          </cell>
          <cell r="D1179" t="str">
            <v>tbd</v>
          </cell>
        </row>
        <row r="1180">
          <cell r="A1180" t="str">
            <v>ZCA_ENTW</v>
          </cell>
          <cell r="B1180" t="str">
            <v>R3_ADAC-Tabellen_SD_MM</v>
          </cell>
          <cell r="C1180" t="str">
            <v>R3_ADAC-Tabellen_SD_MM.xlsx</v>
          </cell>
          <cell r="D1180" t="str">
            <v>tbd</v>
          </cell>
        </row>
        <row r="1181">
          <cell r="A1181" t="str">
            <v>ZFI_SKR2</v>
          </cell>
          <cell r="B1181" t="str">
            <v>R3_ADAC-Tabellen_SD_MM</v>
          </cell>
          <cell r="C1181" t="str">
            <v>R3_ADAC-Tabellen_SD_MM.xlsx</v>
          </cell>
          <cell r="D1181" t="str">
            <v>tbd</v>
          </cell>
        </row>
        <row r="1182">
          <cell r="A1182" t="str">
            <v>ZFI_KOSTL</v>
          </cell>
          <cell r="B1182" t="str">
            <v>R3_ADAC-Tabellen_SD_MM</v>
          </cell>
          <cell r="C1182" t="str">
            <v>R3_ADAC-Tabellen_SD_MM.xlsx</v>
          </cell>
          <cell r="D1182" t="str">
            <v>tbd</v>
          </cell>
        </row>
        <row r="1183">
          <cell r="A1183" t="str">
            <v>ZFI_DEBI</v>
          </cell>
          <cell r="B1183" t="str">
            <v>R3_ADAC-Tabellen_SD_MM</v>
          </cell>
          <cell r="C1183" t="str">
            <v>R3_ADAC-Tabellen_SD_MM.xlsx</v>
          </cell>
          <cell r="D1183" t="str">
            <v>tbd</v>
          </cell>
        </row>
        <row r="1184">
          <cell r="A1184" t="str">
            <v>zsd_shoimp</v>
          </cell>
          <cell r="B1184" t="str">
            <v>R3_ADAC-Tabellen_SD_MM</v>
          </cell>
          <cell r="C1184" t="str">
            <v>R3_ADAC-Tabellen_SD_MM.xlsx</v>
          </cell>
          <cell r="D1184" t="str">
            <v>Ja</v>
          </cell>
        </row>
        <row r="1185">
          <cell r="A1185" t="str">
            <v>zsd_shokat</v>
          </cell>
          <cell r="B1185" t="str">
            <v>R3_ADAC-Tabellen_SD_MM</v>
          </cell>
          <cell r="C1185" t="str">
            <v>R3_ADAC-Tabellen_SD_MM.xlsx</v>
          </cell>
          <cell r="D1185" t="str">
            <v>Ja</v>
          </cell>
        </row>
        <row r="1186">
          <cell r="A1186" t="str">
            <v>zsd_shoexp</v>
          </cell>
          <cell r="B1186" t="str">
            <v>R3_ADAC-Tabellen_SD_MM</v>
          </cell>
          <cell r="C1186" t="str">
            <v>R3_ADAC-Tabellen_SD_MM.xlsx</v>
          </cell>
          <cell r="D1186" t="str">
            <v>Ja</v>
          </cell>
        </row>
        <row r="1187">
          <cell r="A1187" t="str">
            <v>zsd_shoimp</v>
          </cell>
          <cell r="B1187" t="str">
            <v>R3_ADAC-Tabellen_SD_MM</v>
          </cell>
          <cell r="C1187" t="str">
            <v>R3_ADAC-Tabellen_SD_MM.xlsx</v>
          </cell>
          <cell r="D1187" t="str">
            <v>Ja</v>
          </cell>
        </row>
        <row r="1188">
          <cell r="A1188" t="str">
            <v>zsd_nmg_kun</v>
          </cell>
          <cell r="B1188" t="str">
            <v>R3_ADAC-Tabellen_SD_MM</v>
          </cell>
          <cell r="C1188" t="str">
            <v>R3_ADAC-Tabellen_SD_MM.xlsx</v>
          </cell>
          <cell r="D1188" t="str">
            <v>Ja</v>
          </cell>
        </row>
        <row r="1189">
          <cell r="A1189" t="str">
            <v>z_sd_versand_kostl</v>
          </cell>
          <cell r="B1189" t="str">
            <v>R3_ADAC-Tabellen_SD_MM</v>
          </cell>
          <cell r="C1189" t="str">
            <v>R3_ADAC-Tabellen_SD_MM.xlsx</v>
          </cell>
          <cell r="D1189" t="str">
            <v>Ja</v>
          </cell>
        </row>
        <row r="1190">
          <cell r="A1190" t="str">
            <v>zsd_shoexpsta</v>
          </cell>
          <cell r="B1190" t="str">
            <v>R3_ADAC-Tabellen_SD_MM</v>
          </cell>
          <cell r="C1190" t="str">
            <v>R3_ADAC-Tabellen_SD_MM.xlsx</v>
          </cell>
          <cell r="D1190" t="str">
            <v>Ja</v>
          </cell>
        </row>
        <row r="1191">
          <cell r="A1191" t="str">
            <v>z_sd_auftr_erfasser</v>
          </cell>
          <cell r="B1191" t="str">
            <v>R3_ADAC-Tabellen_SD_MM</v>
          </cell>
          <cell r="C1191" t="str">
            <v>R3_ADAC-Tabellen_SD_MM.xlsx</v>
          </cell>
          <cell r="D1191" t="str">
            <v>Ja</v>
          </cell>
        </row>
        <row r="1192">
          <cell r="A1192" t="str">
            <v>zsd_adin01_exit</v>
          </cell>
          <cell r="B1192" t="str">
            <v>R3_ADAC-Tabellen_SD_MM</v>
          </cell>
          <cell r="C1192" t="str">
            <v>R3_ADAC-Tabellen_SD_MM.xlsx</v>
          </cell>
          <cell r="D1192" t="str">
            <v>Ja</v>
          </cell>
        </row>
        <row r="1193">
          <cell r="A1193" t="str">
            <v>zsd_shop_stat</v>
          </cell>
          <cell r="B1193" t="str">
            <v>R3_ADAC-Tabellen_SD_MM</v>
          </cell>
          <cell r="C1193" t="str">
            <v>R3_ADAC-Tabellen_SD_MM.xlsx</v>
          </cell>
          <cell r="D1193" t="str">
            <v>Ja</v>
          </cell>
        </row>
        <row r="1194">
          <cell r="A1194" t="str">
            <v>zsd_addn01_exit</v>
          </cell>
          <cell r="B1194" t="str">
            <v>R3_ADAC-Tabellen_SD_MM</v>
          </cell>
          <cell r="C1194" t="str">
            <v>R3_ADAC-Tabellen_SD_MM.xlsx</v>
          </cell>
          <cell r="D1194" t="str">
            <v>Ja</v>
          </cell>
        </row>
        <row r="1195">
          <cell r="A1195" t="str">
            <v>zsd_adin01_exit</v>
          </cell>
          <cell r="B1195" t="str">
            <v>R3_ADAC-Tabellen_SD_MM</v>
          </cell>
          <cell r="C1195" t="str">
            <v>R3_ADAC-Tabellen_SD_MM.xlsx</v>
          </cell>
          <cell r="D1195" t="str">
            <v>Ja</v>
          </cell>
        </row>
        <row r="1196">
          <cell r="A1196" t="str">
            <v>zsd_ador01_exit</v>
          </cell>
          <cell r="B1196" t="str">
            <v>R3_ADAC-Tabellen_SD_MM</v>
          </cell>
          <cell r="C1196" t="str">
            <v>R3_ADAC-Tabellen_SD_MM.xlsx</v>
          </cell>
          <cell r="D1196" t="str">
            <v>Ja</v>
          </cell>
        </row>
        <row r="1197">
          <cell r="A1197" t="str">
            <v>zsd_lagkom</v>
          </cell>
          <cell r="B1197" t="str">
            <v>R3_ADAC-Tabellen_SD_MM</v>
          </cell>
          <cell r="C1197" t="str">
            <v>R3_ADAC-Tabellen_SD_MM.xlsx</v>
          </cell>
          <cell r="D1197" t="str">
            <v>Ja</v>
          </cell>
        </row>
        <row r="1198">
          <cell r="A1198" t="str">
            <v>zsd_nast</v>
          </cell>
          <cell r="B1198" t="str">
            <v>R3_ADAC-Tabellen_SD_MM</v>
          </cell>
          <cell r="C1198" t="str">
            <v>R3_ADAC-Tabellen_SD_MM.xlsx</v>
          </cell>
          <cell r="D1198" t="str">
            <v>Ja</v>
          </cell>
        </row>
        <row r="1199">
          <cell r="A1199" t="str">
            <v>zsd_tola10</v>
          </cell>
          <cell r="B1199" t="str">
            <v>R3_ADAC-Tabellen_SD_MM</v>
          </cell>
          <cell r="C1199" t="str">
            <v>R3_ADAC-Tabellen_SD_MM.xlsx</v>
          </cell>
          <cell r="D1199" t="str">
            <v>Ja</v>
          </cell>
        </row>
        <row r="1200">
          <cell r="A1200" t="str">
            <v>zsd_waagels</v>
          </cell>
          <cell r="B1200" t="str">
            <v>R3_ADAC-Tabellen_SD_MM</v>
          </cell>
          <cell r="C1200" t="str">
            <v>R3_ADAC-Tabellen_SD_MM.xlsx</v>
          </cell>
          <cell r="D1200" t="str">
            <v>Ja</v>
          </cell>
        </row>
        <row r="1201">
          <cell r="A1201" t="str">
            <v>z_print_smart</v>
          </cell>
          <cell r="B1201" t="str">
            <v>R3_ADAC-Tabellen_SD_MM</v>
          </cell>
          <cell r="C1201" t="str">
            <v>R3_ADAC-Tabellen_SD_MM.xlsx</v>
          </cell>
          <cell r="D1201" t="str">
            <v>Ja</v>
          </cell>
        </row>
        <row r="1202">
          <cell r="A1202" t="str">
            <v>zsd_shokun_nm</v>
          </cell>
          <cell r="B1202" t="str">
            <v>R3_ADAC-Tabellen_SD_MM</v>
          </cell>
          <cell r="C1202" t="str">
            <v>R3_ADAC-Tabellen_SD_MM.xlsx</v>
          </cell>
          <cell r="D1202" t="str">
            <v>Ja</v>
          </cell>
        </row>
        <row r="1203">
          <cell r="A1203" t="str">
            <v>rv61a600</v>
          </cell>
          <cell r="B1203" t="str">
            <v>R3_ADAC-Tabellen_SD_MM</v>
          </cell>
          <cell r="C1203" t="str">
            <v>R3_ADAC-Tabellen_SD_MM.xlsx</v>
          </cell>
          <cell r="D1203" t="str">
            <v>Ja</v>
          </cell>
        </row>
        <row r="1204">
          <cell r="A1204" t="str">
            <v>zmv45afzz_save_document_prepar</v>
          </cell>
          <cell r="B1204" t="str">
            <v>R3_ADAC-Tabellen_SD_MM</v>
          </cell>
          <cell r="C1204" t="str">
            <v>R3_ADAC-Tabellen_SD_MM.xlsx</v>
          </cell>
          <cell r="D1204" t="str">
            <v>Ja</v>
          </cell>
        </row>
        <row r="1205">
          <cell r="A1205" t="str">
            <v>zxvvfzzz</v>
          </cell>
          <cell r="B1205" t="str">
            <v>R3_ADAC-Tabellen_SD_MM</v>
          </cell>
          <cell r="C1205" t="str">
            <v>R3_ADAC-Tabellen_SD_MM.xlsx</v>
          </cell>
          <cell r="D1205" t="str">
            <v>Ja</v>
          </cell>
        </row>
        <row r="1206">
          <cell r="A1206" t="str">
            <v>zsd_mar_admin</v>
          </cell>
          <cell r="B1206" t="str">
            <v>R3_ADAC-Tabellen_SD_MM</v>
          </cell>
          <cell r="C1206" t="str">
            <v>R3_ADAC-Tabellen_SD_MM.xlsx</v>
          </cell>
          <cell r="D1206" t="str">
            <v>Ja</v>
          </cell>
        </row>
        <row r="1207">
          <cell r="A1207" t="str">
            <v>zsd_mar_basis</v>
          </cell>
          <cell r="B1207" t="str">
            <v>R3_ADAC-Tabellen_SD_MM</v>
          </cell>
          <cell r="C1207" t="str">
            <v>R3_ADAC-Tabellen_SD_MM.xlsx</v>
          </cell>
          <cell r="D1207" t="str">
            <v>Ja</v>
          </cell>
        </row>
        <row r="1208">
          <cell r="A1208" t="str">
            <v>zsd_sern_lf</v>
          </cell>
          <cell r="B1208" t="str">
            <v>R3_ADAC-Tabellen_SD_MM</v>
          </cell>
          <cell r="C1208" t="str">
            <v>R3_ADAC-Tabellen_SD_MM.xlsx</v>
          </cell>
          <cell r="D1208" t="str">
            <v>Ja</v>
          </cell>
        </row>
        <row r="1209">
          <cell r="A1209" t="str">
            <v>zsd_tola00</v>
          </cell>
          <cell r="B1209" t="str">
            <v>R3_ADAC-Tabellen_SD_MM</v>
          </cell>
          <cell r="C1209" t="str">
            <v>R3_ADAC-Tabellen_SD_MM.xlsx</v>
          </cell>
          <cell r="D1209" t="str">
            <v>Ja</v>
          </cell>
        </row>
        <row r="1210">
          <cell r="A1210" t="str">
            <v>zsd_tola40</v>
          </cell>
          <cell r="B1210" t="str">
            <v>R3_ADAC-Tabellen_SD_MM</v>
          </cell>
          <cell r="C1210" t="str">
            <v>R3_ADAC-Tabellen_SD_MM.xlsx</v>
          </cell>
          <cell r="D1210" t="str">
            <v>Ja</v>
          </cell>
        </row>
        <row r="1211">
          <cell r="A1211" t="str">
            <v>zsd_tola50</v>
          </cell>
          <cell r="B1211" t="str">
            <v>R3_ADAC-Tabellen_SD_MM</v>
          </cell>
          <cell r="C1211" t="str">
            <v>R3_ADAC-Tabellen_SD_MM.xlsx</v>
          </cell>
          <cell r="D1211" t="str">
            <v>Ja</v>
          </cell>
        </row>
        <row r="1212">
          <cell r="A1212" t="str">
            <v>zsd_tola95</v>
          </cell>
          <cell r="B1212" t="str">
            <v>R3_ADAC-Tabellen_SD_MM</v>
          </cell>
          <cell r="C1212" t="str">
            <v>R3_ADAC-Tabellen_SD_MM.xlsx</v>
          </cell>
          <cell r="D1212" t="str">
            <v>Ja</v>
          </cell>
        </row>
        <row r="1213">
          <cell r="A1213" t="str">
            <v>zsd_tolai0</v>
          </cell>
          <cell r="B1213" t="str">
            <v>R3_ADAC-Tabellen_SD_MM</v>
          </cell>
          <cell r="C1213" t="str">
            <v>R3_ADAC-Tabellen_SD_MM.xlsx</v>
          </cell>
          <cell r="D1213" t="str">
            <v>Ja</v>
          </cell>
        </row>
        <row r="1214">
          <cell r="A1214" t="str">
            <v>z_sd_tol_erm_best_menge</v>
          </cell>
          <cell r="B1214" t="str">
            <v>R3_ADAC-Tabellen_SD_MM</v>
          </cell>
          <cell r="C1214" t="str">
            <v>R3_ADAC-Tabellen_SD_MM.xlsx</v>
          </cell>
          <cell r="D1214" t="str">
            <v>Ja</v>
          </cell>
        </row>
        <row r="1215">
          <cell r="A1215" t="str">
            <v>zsd_lagkom2</v>
          </cell>
          <cell r="B1215" t="str">
            <v>R3_ADAC-Tabellen_SD_MM</v>
          </cell>
          <cell r="C1215" t="str">
            <v>R3_ADAC-Tabellen_SD_MM.xlsx</v>
          </cell>
          <cell r="D1215" t="str">
            <v>Ja</v>
          </cell>
        </row>
        <row r="1216">
          <cell r="A1216" t="str">
            <v>zsd_sernbu</v>
          </cell>
          <cell r="B1216" t="str">
            <v>R3_ADAC-Tabellen_SD_MM</v>
          </cell>
          <cell r="C1216" t="str">
            <v>R3_ADAC-Tabellen_SD_MM.xlsx</v>
          </cell>
          <cell r="D1216" t="str">
            <v>Ja</v>
          </cell>
        </row>
        <row r="1217">
          <cell r="A1217" t="str">
            <v>zsd_sern_top</v>
          </cell>
          <cell r="B1217" t="str">
            <v>R3_ADAC-Tabellen_SD_MM</v>
          </cell>
          <cell r="C1217" t="str">
            <v>R3_ADAC-Tabellen_SD_MM.xlsx</v>
          </cell>
          <cell r="D1217" t="str">
            <v>Ja</v>
          </cell>
        </row>
        <row r="1218">
          <cell r="A1218" t="str">
            <v>zsd_sern_p00</v>
          </cell>
          <cell r="B1218" t="str">
            <v>R3_ADAC-Tabellen_SD_MM</v>
          </cell>
          <cell r="C1218" t="str">
            <v>R3_ADAC-Tabellen_SD_MM.xlsx</v>
          </cell>
          <cell r="D1218" t="str">
            <v>Ja</v>
          </cell>
        </row>
        <row r="1219">
          <cell r="A1219" t="str">
            <v>zsd_sern_import</v>
          </cell>
          <cell r="B1219" t="str">
            <v>R3_ADAC-Tabellen_SD_MM</v>
          </cell>
          <cell r="C1219" t="str">
            <v>R3_ADAC-Tabellen_SD_MM.xlsx</v>
          </cell>
          <cell r="D1219" t="str">
            <v>Ja</v>
          </cell>
        </row>
        <row r="1220">
          <cell r="A1220" t="str">
            <v>zsd_vst_ea</v>
          </cell>
          <cell r="B1220" t="str">
            <v>R3_ADAC-Tabellen_SD_MM</v>
          </cell>
          <cell r="C1220" t="str">
            <v>R3_ADAC-Tabellen_SD_MM.xlsx</v>
          </cell>
          <cell r="D1220" t="str">
            <v>Ja</v>
          </cell>
        </row>
        <row r="1221">
          <cell r="A1221" t="str">
            <v>zmm_vst_we</v>
          </cell>
          <cell r="B1221" t="str">
            <v>R3_ADAC-Tabellen_SD_MM</v>
          </cell>
          <cell r="C1221" t="str">
            <v>R3_ADAC-Tabellen_SD_MM.xlsx</v>
          </cell>
          <cell r="D1221" t="str">
            <v>Ja</v>
          </cell>
        </row>
        <row r="1222">
          <cell r="A1222" t="str">
            <v>zsd_vst_menue_alv</v>
          </cell>
          <cell r="B1222" t="str">
            <v>R3_ADAC-Tabellen_SD_MM</v>
          </cell>
          <cell r="C1222" t="str">
            <v>R3_ADAC-Tabellen_SD_MM.xlsx</v>
          </cell>
          <cell r="D1222" t="str">
            <v>Ja</v>
          </cell>
        </row>
        <row r="1223">
          <cell r="A1223" t="str">
            <v>zmm_mm01</v>
          </cell>
          <cell r="B1223" t="str">
            <v>R3_ADAC-Tabellen_SD_MM</v>
          </cell>
          <cell r="C1223" t="str">
            <v>R3_ADAC-Tabellen_SD_MM.xlsx</v>
          </cell>
          <cell r="D1223" t="str">
            <v>Ja</v>
          </cell>
        </row>
        <row r="1224">
          <cell r="A1224" t="str">
            <v>zmm_mm60</v>
          </cell>
          <cell r="B1224" t="str">
            <v>R3_ADAC-Tabellen_SD_MM</v>
          </cell>
          <cell r="C1224" t="str">
            <v>R3_ADAC-Tabellen_SD_MM.xlsx</v>
          </cell>
          <cell r="D1224" t="str">
            <v>Ja</v>
          </cell>
        </row>
        <row r="1225">
          <cell r="A1225" t="str">
            <v>zsdd_tourset_reichw</v>
          </cell>
          <cell r="B1225" t="str">
            <v>R3_ADAC-Tabellen_SD_MM</v>
          </cell>
          <cell r="C1225" t="str">
            <v>R3_ADAC-Tabellen_SD_MM.xlsx</v>
          </cell>
          <cell r="D1225" t="str">
            <v>Ja</v>
          </cell>
        </row>
        <row r="1226">
          <cell r="A1226" t="str">
            <v>zmm_mm60_logwin</v>
          </cell>
          <cell r="B1226" t="str">
            <v>R3_ADAC-Tabellen_SD_MM</v>
          </cell>
          <cell r="C1226" t="str">
            <v>R3_ADAC-Tabellen_SD_MM.xlsx</v>
          </cell>
          <cell r="D1226" t="str">
            <v>tbd</v>
          </cell>
        </row>
        <row r="1227">
          <cell r="A1227" t="str">
            <v>zmm_mar1_aendbeleg</v>
          </cell>
          <cell r="B1227" t="str">
            <v>R3_ADAC-Tabellen_SD_MM</v>
          </cell>
          <cell r="C1227" t="str">
            <v>R3_ADAC-Tabellen_SD_MM.xlsx</v>
          </cell>
          <cell r="D1227" t="str">
            <v>Ja</v>
          </cell>
        </row>
        <row r="1228">
          <cell r="A1228" t="str">
            <v>zmm_mar1_bestand_history</v>
          </cell>
          <cell r="B1228" t="str">
            <v>R3_ADAC-Tabellen_SD_MM</v>
          </cell>
          <cell r="C1228" t="str">
            <v>R3_ADAC-Tabellen_SD_MM.xlsx</v>
          </cell>
          <cell r="D1228" t="str">
            <v>Ja</v>
          </cell>
        </row>
        <row r="1229">
          <cell r="A1229" t="str">
            <v>zsd_tourset_reichw</v>
          </cell>
          <cell r="B1229" t="str">
            <v>R3_ADAC-Tabellen_SD_MM</v>
          </cell>
          <cell r="C1229" t="str">
            <v>R3_ADAC-Tabellen_SD_MM.xlsx</v>
          </cell>
          <cell r="D1229" t="str">
            <v>Ja</v>
          </cell>
        </row>
        <row r="1230">
          <cell r="A1230" t="str">
            <v>zmm_mm00</v>
          </cell>
          <cell r="B1230" t="str">
            <v>R3_ADAC-Tabellen_SD_MM</v>
          </cell>
          <cell r="C1230" t="str">
            <v>R3_ADAC-Tabellen_SD_MM.xlsx</v>
          </cell>
          <cell r="D1230" t="str">
            <v>Ja</v>
          </cell>
        </row>
        <row r="1231">
          <cell r="A1231" t="str">
            <v>zmm_lag</v>
          </cell>
          <cell r="B1231" t="str">
            <v>R3_ADAC-Tabellen_SD_MM</v>
          </cell>
          <cell r="C1231" t="str">
            <v>R3_ADAC-Tabellen_SD_MM.xlsx</v>
          </cell>
          <cell r="D1231" t="str">
            <v>tbd</v>
          </cell>
        </row>
        <row r="1232">
          <cell r="A1232" t="str">
            <v>zmm_wpvob</v>
          </cell>
          <cell r="B1232" t="str">
            <v>R3_ADAC-Tabellen_SD_MM</v>
          </cell>
          <cell r="C1232" t="str">
            <v>R3_ADAC-Tabellen_SD_MM.xlsx</v>
          </cell>
          <cell r="D1232" t="str">
            <v>Nein</v>
          </cell>
        </row>
        <row r="1233">
          <cell r="A1233" t="str">
            <v>zsd_wpvlief</v>
          </cell>
          <cell r="B1233" t="str">
            <v>R3_ADAC-Tabellen_SD_MM</v>
          </cell>
          <cell r="C1233" t="str">
            <v>R3_ADAC-Tabellen_SD_MM.xlsx</v>
          </cell>
          <cell r="D1233" t="str">
            <v>Nein</v>
          </cell>
        </row>
        <row r="1234">
          <cell r="A1234" t="str">
            <v>zsd_wpv_prisma</v>
          </cell>
          <cell r="B1234" t="str">
            <v>R3_ADAC-Tabellen_SD_MM</v>
          </cell>
          <cell r="C1234" t="str">
            <v>R3_ADAC-Tabellen_SD_MM.xlsx</v>
          </cell>
          <cell r="D1234" t="str">
            <v>Nein</v>
          </cell>
        </row>
        <row r="1235">
          <cell r="A1235" t="str">
            <v>zmm_lps</v>
          </cell>
          <cell r="B1235" t="str">
            <v>R3_ADAC-Tabellen_SD_MM</v>
          </cell>
          <cell r="C1235" t="str">
            <v>R3_ADAC-Tabellen_SD_MM.xlsx</v>
          </cell>
          <cell r="D1235" t="str">
            <v>Ja</v>
          </cell>
        </row>
        <row r="1236">
          <cell r="A1236" t="str">
            <v>zmm_best_xml_import</v>
          </cell>
          <cell r="B1236" t="str">
            <v>R3_ADAC-Tabellen_SD_MM</v>
          </cell>
          <cell r="C1236" t="str">
            <v>R3_ADAC-Tabellen_SD_MM.xlsx</v>
          </cell>
          <cell r="D1236" t="str">
            <v>Nein</v>
          </cell>
        </row>
        <row r="1237">
          <cell r="A1237" t="str">
            <v>z_mm_best_ergaenzen</v>
          </cell>
          <cell r="B1237" t="str">
            <v>R3_ADAC-Tabellen_SD_MM</v>
          </cell>
          <cell r="C1237" t="str">
            <v>R3_ADAC-Tabellen_SD_MM.xlsx</v>
          </cell>
          <cell r="D1237" t="str">
            <v>Nein</v>
          </cell>
        </row>
        <row r="1238">
          <cell r="A1238" t="str">
            <v>zmm_best_frgfbchk</v>
          </cell>
          <cell r="B1238" t="str">
            <v>R3_ADAC-Tabellen_SD_MM</v>
          </cell>
          <cell r="C1238" t="str">
            <v>R3_ADAC-Tabellen_SD_MM.xlsx</v>
          </cell>
          <cell r="D1238" t="str">
            <v>Nein</v>
          </cell>
        </row>
        <row r="1239">
          <cell r="A1239" t="str">
            <v>zmm_best_liste</v>
          </cell>
          <cell r="B1239" t="str">
            <v>R3_ADAC-Tabellen_SD_MM</v>
          </cell>
          <cell r="C1239" t="str">
            <v>R3_ADAC-Tabellen_SD_MM.xlsx</v>
          </cell>
          <cell r="D1239" t="str">
            <v>Nein</v>
          </cell>
        </row>
        <row r="1240">
          <cell r="A1240" t="str">
            <v>zmm_best_menue</v>
          </cell>
          <cell r="B1240" t="str">
            <v>R3_ADAC-Tabellen_SD_MM</v>
          </cell>
          <cell r="C1240" t="str">
            <v>R3_ADAC-Tabellen_SD_MM.xlsx</v>
          </cell>
          <cell r="D1240" t="str">
            <v>Nein</v>
          </cell>
        </row>
        <row r="1241">
          <cell r="A1241" t="str">
            <v>zmm_best_anlegen</v>
          </cell>
          <cell r="B1241" t="str">
            <v>R3_ADAC-Tabellen_SD_MM</v>
          </cell>
          <cell r="C1241" t="str">
            <v>R3_ADAC-Tabellen_SD_MM.xlsx</v>
          </cell>
          <cell r="D1241" t="str">
            <v>Nein</v>
          </cell>
        </row>
        <row r="1242">
          <cell r="A1242" t="str">
            <v>zmm_best_pruefen</v>
          </cell>
          <cell r="B1242" t="str">
            <v>R3_ADAC-Tabellen_SD_MM</v>
          </cell>
          <cell r="C1242" t="str">
            <v>R3_ADAC-Tabellen_SD_MM.xlsx</v>
          </cell>
          <cell r="D1242" t="str">
            <v>Nein</v>
          </cell>
        </row>
        <row r="1243">
          <cell r="A1243" t="str">
            <v>z_mm_best_find_kto</v>
          </cell>
          <cell r="B1243" t="str">
            <v>R3_ADAC-Tabellen_SD_MM</v>
          </cell>
          <cell r="C1243" t="str">
            <v>R3_ADAC-Tabellen_SD_MM.xlsx</v>
          </cell>
          <cell r="D1243" t="str">
            <v>Nein</v>
          </cell>
        </row>
        <row r="1244">
          <cell r="A1244" t="str">
            <v>zmm_rg_aendbelg</v>
          </cell>
          <cell r="B1244" t="str">
            <v>R3_ADAC-Tabellen_SD_MM</v>
          </cell>
          <cell r="C1244" t="str">
            <v>R3_ADAC-Tabellen_SD_MM.xlsx</v>
          </cell>
          <cell r="D1244" t="str">
            <v>tbd</v>
          </cell>
        </row>
        <row r="1245">
          <cell r="A1245" t="str">
            <v>zmm_rg_btci</v>
          </cell>
          <cell r="B1245" t="str">
            <v>R3_ADAC-Tabellen_SD_MM</v>
          </cell>
          <cell r="C1245" t="str">
            <v>R3_ADAC-Tabellen_SD_MM.xlsx</v>
          </cell>
          <cell r="D1245" t="str">
            <v>tbd</v>
          </cell>
        </row>
        <row r="1246">
          <cell r="A1246" t="str">
            <v>zmm_rg_import</v>
          </cell>
          <cell r="B1246" t="str">
            <v>R3_ADAC-Tabellen_SD_MM</v>
          </cell>
          <cell r="C1246" t="str">
            <v>R3_ADAC-Tabellen_SD_MM.xlsx</v>
          </cell>
          <cell r="D1246" t="str">
            <v>tbd</v>
          </cell>
        </row>
        <row r="1247">
          <cell r="A1247" t="str">
            <v>zmm_rg_liste</v>
          </cell>
          <cell r="B1247" t="str">
            <v>R3_ADAC-Tabellen_SD_MM</v>
          </cell>
          <cell r="C1247" t="str">
            <v>R3_ADAC-Tabellen_SD_MM.xlsx</v>
          </cell>
          <cell r="D1247" t="str">
            <v>tbd</v>
          </cell>
        </row>
        <row r="1248">
          <cell r="A1248" t="str">
            <v>zmm_rg_pruefen</v>
          </cell>
          <cell r="B1248" t="str">
            <v>R3_ADAC-Tabellen_SD_MM</v>
          </cell>
          <cell r="C1248" t="str">
            <v>R3_ADAC-Tabellen_SD_MM.xlsx</v>
          </cell>
          <cell r="D1248" t="str">
            <v>tbd</v>
          </cell>
        </row>
        <row r="1249">
          <cell r="A1249" t="str">
            <v>zfi_vorst2</v>
          </cell>
          <cell r="B1249" t="str">
            <v>R3_ADAC-Tabellen_SD_MM</v>
          </cell>
          <cell r="C1249" t="str">
            <v>R3_ADAC-Tabellen_SD_MM.xlsx</v>
          </cell>
          <cell r="D1249" t="str">
            <v>tbd</v>
          </cell>
        </row>
        <row r="1250">
          <cell r="A1250" t="str">
            <v>zfi_vstkor</v>
          </cell>
          <cell r="B1250" t="str">
            <v>R3_ADAC-Tabellen_SD_MM</v>
          </cell>
          <cell r="C1250" t="str">
            <v>R3_ADAC-Tabellen_SD_MM.xlsx</v>
          </cell>
          <cell r="D1250" t="str">
            <v>tbd</v>
          </cell>
        </row>
        <row r="1251">
          <cell r="A1251" t="str">
            <v>zsd_lrgr_i1</v>
          </cell>
          <cell r="B1251" t="str">
            <v>R3_ADAC-Tabellen_SD_MM</v>
          </cell>
          <cell r="C1251" t="str">
            <v>R3_ADAC-Tabellen_SD_MM.xlsx</v>
          </cell>
          <cell r="D1251" t="str">
            <v>tbd</v>
          </cell>
        </row>
        <row r="1252">
          <cell r="A1252" t="str">
            <v>zfi_ausl_bel_hist</v>
          </cell>
          <cell r="B1252" t="str">
            <v>R3_ADAC-Tabellen_SD_MM</v>
          </cell>
          <cell r="C1252" t="str">
            <v>R3_ADAC-Tabellen_SD_MM.xlsx</v>
          </cell>
          <cell r="D1252" t="str">
            <v>tbd</v>
          </cell>
        </row>
        <row r="1253">
          <cell r="A1253" t="str">
            <v>zfi_ausl_liste</v>
          </cell>
          <cell r="B1253" t="str">
            <v>R3_ADAC-Tabellen_SD_MM</v>
          </cell>
          <cell r="C1253" t="str">
            <v>R3_ADAC-Tabellen_SD_MM.xlsx</v>
          </cell>
          <cell r="D1253" t="str">
            <v>tbd</v>
          </cell>
        </row>
        <row r="1254">
          <cell r="A1254" t="str">
            <v>zfi_ausl_bel</v>
          </cell>
          <cell r="B1254" t="str">
            <v>R3_ADAC-Tabellen_SD_MM</v>
          </cell>
          <cell r="C1254" t="str">
            <v>R3_ADAC-Tabellen_SD_MM.xlsx</v>
          </cell>
          <cell r="D1254" t="str">
            <v>tbd</v>
          </cell>
        </row>
        <row r="1255">
          <cell r="A1255" t="str">
            <v>zfi_ausl_menue</v>
          </cell>
          <cell r="B1255" t="str">
            <v>R3_ADAC-Tabellen_SD_MM</v>
          </cell>
          <cell r="C1255" t="str">
            <v>R3_ADAC-Tabellen_SD_MM.xlsx</v>
          </cell>
          <cell r="D1255" t="str">
            <v>tbd</v>
          </cell>
        </row>
        <row r="1256">
          <cell r="A1256" t="str">
            <v>zca_call_ta</v>
          </cell>
          <cell r="B1256" t="str">
            <v>R3_ADAC-Tabellen_SD_MM</v>
          </cell>
          <cell r="C1256" t="str">
            <v>R3_ADAC-Tabellen_SD_MM.xlsx</v>
          </cell>
          <cell r="D1256" t="str">
            <v>tbd</v>
          </cell>
        </row>
        <row r="1257">
          <cell r="A1257" t="str">
            <v>zca_call_ta1</v>
          </cell>
          <cell r="B1257" t="str">
            <v>R3_ADAC-Tabellen_SD_MM</v>
          </cell>
          <cell r="C1257" t="str">
            <v>R3_ADAC-Tabellen_SD_MM.xlsx</v>
          </cell>
          <cell r="D1257" t="str">
            <v>tbd</v>
          </cell>
        </row>
        <row r="1258">
          <cell r="A1258" t="str">
            <v>zsd_swaf</v>
          </cell>
          <cell r="B1258" t="str">
            <v>R3_ADAC-Tabellen_SD_MM</v>
          </cell>
          <cell r="C1258" t="str">
            <v>R3_ADAC-Tabellen_SD_MM.xlsx</v>
          </cell>
          <cell r="D1258" t="str">
            <v>tbd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eul, Kilian" id="{8EBA9B96-29FE-4C8D-8517-7C321573D7B3}" userId="S::Kilian.Breul-extern@adac.de::1a1aac77-ace7-4039-b632-93bf8a399cc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616204976854" createdVersion="8" refreshedVersion="8" minRefreshableVersion="3" recordCount="660" xr:uid="{BD43AE6B-A658-4489-B66B-8A6AFDC1D45B}">
  <cacheSource type="worksheet">
    <worksheetSource ref="A1:J661" sheet="Z-Programme"/>
  </cacheSource>
  <cacheFields count="10">
    <cacheField name="Z-Programm R/3_x000a_(insgesamt 654)" numFmtId="0">
      <sharedItems/>
    </cacheField>
    <cacheField name="vorhanden_x000a_EQA" numFmtId="0">
      <sharedItems/>
    </cacheField>
    <cacheField name="Übernahme _x000a_in S/4_x000a_geplant" numFmtId="0">
      <sharedItems count="3">
        <s v="Nein"/>
        <s v="Ja"/>
        <s v="Offen"/>
      </sharedItems>
    </cacheField>
    <cacheField name="USR_x000a_CALM" numFmtId="0">
      <sharedItems containsBlank="1"/>
    </cacheField>
    <cacheField name="Welle 1" numFmtId="0">
      <sharedItems containsBlank="1" count="2">
        <m/>
        <s v="Ja"/>
      </sharedItems>
    </cacheField>
    <cacheField name="Welle 2" numFmtId="0">
      <sharedItems containsBlank="1" count="5">
        <m/>
        <s v="Nein"/>
        <s v="Nein "/>
        <s v="Ja"/>
        <s v="?"/>
      </sharedItems>
    </cacheField>
    <cacheField name="Welle 3 ff" numFmtId="0">
      <sharedItems containsBlank="1" count="5">
        <m/>
        <s v="Ja"/>
        <s v="Nein"/>
        <s v="?"/>
        <s v="x"/>
      </sharedItems>
    </cacheField>
    <cacheField name="Coding_x000a_Zahlwege" numFmtId="0">
      <sharedItems containsBlank="1"/>
    </cacheField>
    <cacheField name="Klärung _x000a_durch" numFmtId="0">
      <sharedItems containsBlank="1"/>
    </cacheField>
    <cacheField name="Beschreibu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618470601854" createdVersion="8" refreshedVersion="8" minRefreshableVersion="3" recordCount="660" xr:uid="{C557336E-47E2-4EA3-BBCE-7238D619F633}">
  <cacheSource type="worksheet">
    <worksheetSource ref="A1:J661" sheet="Z-Programme (2)"/>
  </cacheSource>
  <cacheFields count="10">
    <cacheField name="Z-Programm R/3_x000a_(insgesamt 654)" numFmtId="0">
      <sharedItems count="659">
        <s v="Z_CLEAN_EVTTAB"/>
        <s v="Z_IDOC_STATUS_SET"/>
        <s v="Z_INFO_PRICING_SERVICES_USER"/>
        <s v="Z_REPAIR_ADRNR_1"/>
        <s v="Z_SAPMZSWA"/>
        <s v="Z_SAPMZSWA_MENUE"/>
        <s v="Z_SAPMZSWAT"/>
        <s v="Z0SAP_12"/>
        <s v="ZAA_ANLAGENTR_COPY_LANGTEXT"/>
        <s v="ZAA_ANLAGENTRANSFER"/>
        <s v="ZAA_CO_KONTIERUNG"/>
        <s v="ZAA_INVE01"/>
        <s v="ZAA_INVE06"/>
        <s v="ZAA_INVE07"/>
        <s v="ZAA_MASS_DOWN"/>
        <s v="ZAA_MASS_UP"/>
        <s v="ZAA_RAHIST01"/>
        <s v="ZAA_RAPOST2010"/>
        <s v="ZAA_STAMMDAT_ALV"/>
        <s v="ZACAC_DATA_TRANSFER"/>
        <s v="ZACAC_DSITEMS"/>
        <s v="ZBC_ADDR_CHECK"/>
        <s v="ZBC_AL_REORG_OUT"/>
        <s v="ZBC_AL_REORG_RETURN"/>
        <s v="ZBC_AL_REORG_VTABS"/>
        <s v="ZBC_ANONYM_ZQ1"/>
        <s v="ZBC_BDCLOG_ALV"/>
        <s v="ZBC_BDCLOG_ARCHIVE"/>
        <s v="ZBC_BDCLOG_ARCHIVE_FIX"/>
        <s v="ZBC_BELEG_VOLUME"/>
        <s v="ZBC_CALL_PROCEDURE"/>
        <s v="ZBC_CHECK_NRIV"/>
        <s v="ZBC_COPY_DATASET"/>
        <s v="ZBC_EVENT_RAISE"/>
        <s v="ZBC_EXCELTABUPLOAD"/>
        <s v="ZBC_F110_JOBCTRL"/>
        <s v="ZBC_F110_SPOOL_UPDATE"/>
        <s v="ZBC_FILE_DELETE"/>
        <s v="ZBC_FILE_EVENT_RAISE"/>
        <s v="ZBC_GET_WORKLOAD_STATISTIC"/>
        <s v="ZBC_JOB_ABORT"/>
        <s v="ZBC_JOBCONTROL"/>
        <s v="ZBC_LOEVM_DEBI_KREDI"/>
        <s v="ZBC_LOEVM_DEBI_KREDI_2"/>
        <s v="ZBC_LOGO_SWITCH"/>
        <s v="ZBC_MAESTRO"/>
        <s v="ZBC_NACH_UPDATE_TESTSYSTEM"/>
        <s v="ZBC_NOTFALLUSERAKTIEVIERUNG"/>
        <s v="ZBC_OREA_COA"/>
        <s v="ZBC_OREA_COA_NACHVERARBEITUNG"/>
        <s v="ZBC_OREA_COA_TEST"/>
        <s v="ZBC_OREA_COA_USER_LOESCHEN"/>
        <s v="ZBC_OREA_FREIGEBER_TEST"/>
        <s v="ZBC_SET_TVARVC"/>
        <s v="ZBC_SPERR_STAMM_DS"/>
        <s v="ZBC_SPOOL_ARCHIV"/>
        <s v="ZBC_SPOOL_OUTPUT"/>
        <s v="ZBC_SPOOL_PCOUNT"/>
        <s v="ZBC_ST03N"/>
        <s v="ZBC_TAB_EXPIMP"/>
        <s v="ZBC_TABELLEN_TRANSFER"/>
        <s v="ZBC_USERINAKTIVIERUNG"/>
        <s v="ZBC_VARIANT_LIST"/>
        <s v="ZBC_VARIANT_LIST_ALV"/>
        <s v="ZBC_ZEMAREP_FRGREORG"/>
        <s v="ZBC_ZEMAREP_GET"/>
        <s v="ZBC_ZEMAREP_USER"/>
        <s v="ZBC_ZEMAREP_USERCHG_REO"/>
        <s v="ZBC_ZEMAREP_USRGUELT"/>
        <s v="ZBC_ZRSLG_SERVERS_1692951"/>
        <s v="ZBC_ZRUTDDLSLDEL_2163340"/>
        <s v="ZCA_MAIL2"/>
        <s v="ZCA_MAPPCHECK"/>
        <s v="ZCA_TEST_GOS"/>
        <s v="ZCA_WARTEN"/>
        <s v="ZCMFIFU1"/>
        <s v="ZCO_ABSTIMMUNG"/>
        <s v="ZCO_ABSTIMMUNG_ARCHIVLINK"/>
        <s v="ZCO_ABSTIMMUNG_PRUEFUNG"/>
        <s v="ZCO_ABZUG_KSTPROJEKT_UMSETZUNG"/>
        <s v="ZCO_AVM_DATENABZUG"/>
        <s v="ZCO_BEWEGUNGSDATEN_ERGRE"/>
        <s v="ZCO_DATENABZUG_PCA"/>
        <s v="ZCO_DRUCKER_SPOOL"/>
        <s v="ZCO_ERGEBNISRECHNUNG"/>
        <s v="ZCO_HIERARCHIEPRUEFUNG"/>
        <s v="ZCO_IA_ABRECHNUNGSSCHEMA"/>
        <s v="ZCO_ILV_AUSWERT"/>
        <s v="ZCO_ILV_AUTOMABHAK"/>
        <s v="ZCO_ILV_FI"/>
        <s v="ZCO_ILV_KENNZAHL"/>
        <s v="ZCO_ILV_KONVERT"/>
        <s v="ZCO_ILV_LIZENZVERRECHNUNG"/>
        <s v="ZCO_ILV_PCDATEIUEBERNAHME"/>
        <s v="ZCO_ILV_POSTPROT_AKT"/>
        <s v="ZCO_ILV_SAMMLER_LOESCHEN"/>
        <s v="ZCO_ILV_STS"/>
        <s v="ZCO_ILV_VORPROGRAMM"/>
        <s v="ZCO_KALC_DRUCK"/>
        <s v="ZCO_KENNZAHLEN_ABZUG"/>
        <s v="ZCO_KENNZAHLEN_IMPORT"/>
        <s v="ZCO_KENNZAHLEN_START"/>
        <s v="ZCO_KOSTENARTEN_ERGRE"/>
        <s v="ZCO_KOSTENSTELLENEXPORT"/>
        <s v="ZCO_KSTABZUG_AVM"/>
        <s v="ZCO_KSTABZUG_LOGA"/>
        <s v="ZCO_KSTABZUG_LOGA_FIX"/>
        <s v="ZCO_KSTABZUG_PAM"/>
        <s v="ZCO_LEISTUNGSARTEN"/>
        <s v="ZCO_LEISTUNGSARTENSTAMM"/>
        <s v="ZCO_PBPLAN"/>
        <s v="ZCO_PCAABZUG"/>
        <s v="ZCO_PFC_MASS_CHANGE"/>
        <s v="ZCO_PLANUNGSSCHNITTSTELLE"/>
        <s v="ZCO_PPLEIHZEITARBEIT"/>
        <s v="ZCO_PPPLAN"/>
        <s v="ZCO_PPSAPDIFFERENZ"/>
        <s v="ZCO_PROFICENTERANLAGE"/>
        <s v="ZCO_PROFITCENTER"/>
        <s v="ZCO_PRUEFUNG_STAMM_ORGA"/>
        <s v="ZCO_RGGBS000"/>
        <s v="ZCO_SOLVENCY_PCR"/>
        <s v="ZCO_VORSTEUERKORREKTUR"/>
        <s v="ZCO_ZEMAREP_KST_ABZUG"/>
        <s v="ZCOFI_VERTRAGSVERWALTUNG_ABZUG"/>
        <s v="ZDELESDUS"/>
        <s v="ZDELESDUS_RENUM"/>
        <s v="ZFA_GITT01"/>
        <s v="ZFI_AANALYZE01"/>
        <s v="ZFI_ABZUG_ANLA"/>
        <s v="ZFI_ABZUG_DEBI"/>
        <s v="ZFI_ABZUG_DEBKRED"/>
        <s v="ZFI_ABZUG_DEBREP"/>
        <s v="ZFI_ABZUG_GLT3"/>
        <s v="ZFI_ABZUG_KRED"/>
        <s v="ZFI_ABZUG_SAKO"/>
        <s v="ZFI_ADAM_KONTENABSTIMMUNG"/>
        <s v="ZFI_AIRP01"/>
        <s v="ZFI_AL_REBHIS_DEL"/>
        <s v="ZFI_ANLA_AENDERN_INVKENNZ"/>
        <s v="ZFI_ANLAGENZUGANG_ATTACH"/>
        <s v="ZFI_ANLAGENZUGANG_UPLOAD"/>
        <s v="ZFI_ANZ_REISE_PBS"/>
        <s v="ZFI_ARCHLINK_PARTNERBELEG"/>
        <s v="ZFI_ARCID_FIDOCS"/>
        <s v="ZFI_ARFILES_DEL"/>
        <s v="ZFI_AS91_GKS"/>
        <s v="ZFI_AUSBUCHUNG_PROV_REPORT"/>
        <s v="ZFI_AUSL_BEL"/>
        <s v="ZFI_AUSL_BEL_HIST"/>
        <s v="ZFI_AUSL_LISTE"/>
        <s v="ZFI_AUSL_MENUE"/>
        <s v="ZFI_AUSUMS"/>
        <s v="ZFI_AUSW_BESTELL_RECH_FI_ACE"/>
        <s v="ZFI_AVIS_UPLOAD"/>
        <s v="ZFI_AVIS_WIEDERHOLUNG"/>
        <s v="ZFI_AVIS01"/>
        <s v="ZFI_AVM_AOBJD"/>
        <s v="ZFI_AVM_AOBJR"/>
        <s v="ZFI_AVM_AOBJW"/>
        <s v="ZFI_AVM_UMBUCHUNG"/>
        <s v="ZFI_AVM_UPLOAD_AUFNR_KFZ"/>
        <s v="ZFI_AVM_VERSICHERUNG"/>
        <s v="ZFI_AVMBR01"/>
        <s v="ZFI_AVMBR02"/>
        <s v="ZFI_AVMBR04"/>
        <s v="ZFI_AVMBROKER_ABSTIMM_SUPP"/>
        <s v="ZFI_AVMBROKER_ABSTIMMUNG"/>
        <s v="ZFI_BARCO_DEL"/>
        <s v="ZFI_BARCO_DISP"/>
        <s v="ZFI_BARCO_ERF"/>
        <s v="ZFI_BARCO_ERFM"/>
        <s v="ZFI_BARCO_LOE"/>
        <s v="ZFI_BARCO_RUECK"/>
        <s v="ZFI_BARCO_ZUO"/>
        <s v="ZFI_BAZFSB"/>
        <s v="ZFI_BE2000"/>
        <s v="ZFI_BE2000_MIG"/>
        <s v="ZFI_BELEGABR_ANZ"/>
        <s v="ZFI_BELEGABR_ILV2"/>
        <s v="ZFI_BELEGE_PG"/>
        <s v="ZFI_BELEGVERFOLGUNG"/>
        <s v="ZFI_BELEGZEILEN_EXPORT_CSV"/>
        <s v="ZFI_BETEST"/>
        <s v="ZFI_BIC_ABGLEICH"/>
        <s v="ZFI_BLBCUR"/>
        <s v="ZFI_BSCARD"/>
        <s v="ZFI_BSCARD_SETTLEMENT"/>
        <s v="ZFI_BSCARD_TIMDATA"/>
        <s v="ZFI_BSCARD_UMBUCHUNG"/>
        <s v="ZFI_BU_RUECKLASTSCHRIFT"/>
        <s v="ZFI_CCS_AUSWERT"/>
        <s v="ZFI_CCS_DRUCKE"/>
        <s v="ZFI_CHECK_IBAN2"/>
        <s v="ZFI_COMPUTOP"/>
        <s v="ZFI_COPY_TEXT_DATASET"/>
        <s v="ZFI_CTR_ZBEL01"/>
        <s v="ZFI_CTR_ZBEL02"/>
        <s v="ZFI_CUR_REORG"/>
        <s v="ZFI_DATENABZUG_VITA"/>
        <s v="ZFI_DATEV_EXP"/>
        <s v="ZFI_DATEV_IMP"/>
        <s v="ZFI_DATEV_RK"/>
        <s v="ZFI_DATEV01"/>
        <s v="ZFI_DEB_BKORM"/>
        <s v="ZFI_DEB_REABT"/>
        <s v="ZFI_DEB_ZAHLLAUF_ZUFALL"/>
        <s v="ZFI_DEBI_EPGGKTO"/>
        <s v="ZFI_DEBI_POSZAHLWEG"/>
        <s v="ZFI_DEBITOR_EINZELPOSTEN_AKT"/>
        <s v="ZFI_DEBREP_ANZMAHN"/>
        <s v="ZFI_DEBREP_AUSBUCH"/>
        <s v="ZFI_DEBREP_BELPOS"/>
        <s v="ZFI_DEBREP_UMSATZ"/>
        <s v="ZFI_DEL_INKO_COCKPI2"/>
        <s v="ZFI_DEL_LOEVM_DEB_KRED"/>
        <s v="ZFI_DELETE_DUNNING_RUN"/>
        <s v="ZFI_DOCATTACH_COPY"/>
        <s v="ZFI_DOCATTACH_REPORT"/>
        <s v="ZFI_DOPO40"/>
        <s v="ZFI_DRUCK_CONTAINER"/>
        <s v="ZFI_DSS34BDSG"/>
        <s v="ZFI_ELFE03"/>
        <s v="ZFI_ELMO02"/>
        <s v="ZFI_ELMO03"/>
        <s v="ZFI_ELSY_SCHNITTSTELLE"/>
        <s v="ZFI_EPOK30"/>
        <s v="ZFI_ERGSL"/>
        <s v="ZFI_ETIS02"/>
        <s v="ZFI_ETM_REFERENZKORREKTUR"/>
        <s v="ZFI_ETM_UMBUCHUNG_KASSE"/>
        <s v="ZFI_ETM_ZAHLARTEN"/>
        <s v="ZFI_EVER_EXPORT_STAMM"/>
        <s v="ZFI_EVER_IMPORT_VORGANG"/>
        <s v="ZFI_EXCEL_UPLOAD"/>
        <s v="ZFI_EXPORT_WP"/>
        <s v="ZFI_EXSCH1"/>
        <s v="ZFI_F_03_KONTEN_UEBERGREIFEND"/>
        <s v="ZFI_F110_DTA"/>
        <s v="ZFI_FAHR00"/>
        <s v="ZFI_FELDSTATUS_AUSWERTUNG"/>
        <s v="ZFI_FILE_FOR_ABSTIMMTOOL"/>
        <s v="ZFI_FK02_AVIS"/>
        <s v="ZFI_FORMAT_SAM"/>
        <s v="ZFI_FW_SELVAR"/>
        <s v="ZFI_GAUABR"/>
        <s v="ZFI_GLT3_AUSWERTUNG"/>
        <s v="ZFI_GLT3_DELETE"/>
        <s v="ZFI_HEORE1"/>
        <s v="ZFI_HEPRIS"/>
        <s v="ZFI_HEPRIS_R3"/>
        <s v="ZFI_HFP057"/>
        <s v="ZFI_INKASSO"/>
        <s v="ZFI_INKASSO_EOS"/>
        <s v="ZFI_INKO_COCKPIT"/>
        <s v="ZFI_INKO_COCKPIT_KORREKTUR"/>
        <s v="ZFI_INKO_ZAHLUNG"/>
        <s v="ZFI_INKO_ZAHLUNG_EOS"/>
        <s v="ZFI_INKO00"/>
        <s v="ZFI_INKO00_EOS"/>
        <s v="ZFI_INKO03"/>
        <s v="ZFI_INKO03_EOS"/>
        <s v="ZFI_INKO04"/>
        <s v="ZFI_INKO04_EOS"/>
        <s v="ZFI_INKO05"/>
        <s v="ZFI_INKO05_EOS"/>
        <s v="ZFI_INTCOMP_VERDICHT"/>
        <s v="ZFI_IVAN_AI_DUPL"/>
        <s v="ZFI_IVAN_TABCHECK"/>
        <s v="ZFI_IVAN_UMB"/>
        <s v="ZFI_IVAN00"/>
        <s v="ZFI_KABU01"/>
        <s v="ZFI_KONSOLID01"/>
        <s v="ZFI_KRED_EPGGKTO"/>
        <s v="ZFI_KUNREGV"/>
        <s v="ZFI_LAEX01"/>
        <s v="ZFI_LAGSTA"/>
        <s v="ZFI_LAVA_INKASSO"/>
        <s v="ZFI_LAVA_RUECK"/>
        <s v="ZFI_LAVA01"/>
        <s v="ZFI_LIDE_DOP"/>
        <s v="ZFI_LIQUI_ARCHIV"/>
        <s v="ZFI_LIQUI_ARCHIV_KONTEN"/>
        <s v="ZFI_LIQUI_MANUELL_UPDATE"/>
        <s v="ZFI_LIQUI_PERFIRMA"/>
        <s v="ZFI_LIQUI_VALUTA_SUMMEN"/>
        <s v="ZFI_LIQUI_VALUTA_SUMMEN_AUFBAU"/>
        <s v="ZFI_LIQUIDITAET"/>
        <s v="ZFI_LIQUIDITAET_VALUTA_BELEGE"/>
        <s v="ZFI_LOGA_REISEKOSTEN"/>
        <s v="ZFI_LOGA_STAMMDATEN"/>
        <s v="ZFI_LOGA01"/>
        <s v="ZFI_LRG_ANZ1"/>
        <s v="ZFI_LZBKZ"/>
        <s v="ZFI_LZBKZ_BELEGE_CHECK"/>
        <s v="ZFI_MAHNABR_ILV"/>
        <s v="ZFI_MAHNHIST_ALV"/>
        <s v="ZFI_MAHNRHYTHMUS"/>
        <s v="ZFI_MAHNS_LOESCH"/>
        <s v="ZFI_MAHNS_LOESCH2"/>
        <s v="ZFI_MAHNS_MAHNV"/>
        <s v="ZFI_MAHNSTAPEL"/>
        <s v="ZFI_MAHNSTATISTIK"/>
        <s v="ZFI_MAHNSTOPP"/>
        <s v="ZFI_MAHNSTOPP_ABZUG"/>
        <s v="ZFI_MAHNSTOPP_SETZEN"/>
        <s v="ZFI_MAHNSTOPP2"/>
        <s v="ZFI_MAHNVORSCHLAG"/>
        <s v="ZFI_MASSENAENDERUNG_VERTDAT"/>
        <s v="ZFI_MAUS10"/>
        <s v="ZFI_MONATSABSCHLUSS_UPLOAD"/>
        <s v="ZFI_NEUBAU_ANLAGENLIST"/>
        <s v="ZFI_NEUBAU_ANLIST_GJ"/>
        <s v="ZFI_NR_STAND_KOPIEREN"/>
        <s v="ZFI_PAYMENT_AVIS"/>
        <s v="ZFI_PAYPAL"/>
        <s v="ZFI_PDF_REISEKOSTEN"/>
        <s v="ZFI_PERBIT"/>
        <s v="ZFI_PHONE_ABRECHNUNG"/>
        <s v="ZFI_PLZORT"/>
        <s v="ZFI_PORTA_01"/>
        <s v="ZFI_PRINT_INVOICE"/>
        <s v="ZFI_PRISMA_AGW"/>
        <s v="ZFI_RAPS_ABSTIMMUNG"/>
        <s v="ZFI_RAPS01"/>
        <s v="ZFI_RATE01"/>
        <s v="ZFI_RATEN_RUECK01"/>
        <s v="ZFI_RATEN_UEBERGABE"/>
        <s v="ZFI_RATENZINS"/>
        <s v="ZFI_RATENZINS_DRUCKPGM"/>
        <s v="ZFI_REB_CHECK"/>
        <s v="ZFI_REB_DISPIMAGE"/>
        <s v="ZFI_REB_P_ARCH_PROC_SHEETS"/>
        <s v="ZFI_REB_P_ARCHIVE_LEDGER"/>
        <s v="ZFI_REB_P_ARCHIVE_LEDGER_DEL"/>
        <s v="ZFI_REB_P_ARCHIVE_SHEETS"/>
        <s v="ZFI_REB_P_CHANGE_DEVCL"/>
        <s v="ZFI_REB_P_CONNECTION_REB"/>
        <s v="ZFI_REB_P_DOC_CHECK"/>
        <s v="ZFI_REB_P_DOC_CHECK2"/>
        <s v="ZFI_REB_P_LEDGER"/>
        <s v="ZFI_REB_P_LEDGER_CALL"/>
        <s v="ZFI_REB_P_UPDATE_ZAHLLAUF"/>
        <s v="ZFI_REBHIS_ARCHCHECK"/>
        <s v="ZFI_RECHNUNG_WUERTH"/>
        <s v="ZFI_REGZAHL"/>
        <s v="ZFI_RFAWVZ40_OHNE_LZBKZ"/>
        <s v="ZFI_RFBABL00"/>
        <s v="ZFI_RFBILA00"/>
        <s v="ZFI_RFCASH20"/>
        <s v="ZFI_RFDABL00"/>
        <s v="ZFI_RFDABL00_ALT"/>
        <s v="ZFI_RFKABL00"/>
        <s v="ZFI_RFSEPA02"/>
        <s v="ZFI_RSTTAB"/>
        <s v="ZFI_SAKO_IMMO"/>
        <s v="ZFI_SALDEN_CLUBS"/>
        <s v="ZFI_SALDEN_GLT0_TO_GLT3"/>
        <s v="ZFI_SALDEN_MITBUCHKONTO"/>
        <s v="ZFI_SAM_VBR_LISTE"/>
        <s v="ZFI_SAPF150D2"/>
        <s v="ZFI_SAPF150D2_OLD"/>
        <s v="ZFI_SCHECKDB"/>
        <s v="ZFI_SD_UM"/>
        <s v="ZFI_SEPA_MIG_IBAN"/>
        <s v="ZFI_SEPA_PRENOTE"/>
        <s v="ZFI_SEPA_Prenote_incl"/>
        <s v="ZFI_SGSS_EXPORT"/>
        <s v="ZFI_SGSS_IMPORT"/>
        <s v="ZFI_SOLVENCY_BIL"/>
        <s v="ZFI_SPIDER_BESTELLNR_GET_FI"/>
        <s v="ZFI_SPIDER_DOCID_GET_FI"/>
        <s v="ZFI_SPOOL_PDF"/>
        <s v="ZFI_SPOOL_UPDATE"/>
        <s v="ZFI_SS_BEGRU"/>
        <s v="ZFI_SS_CONVERT_KUNNR"/>
        <s v="ZFI_SS_FB01"/>
        <s v="ZFI_SS_FB0100"/>
        <s v="ZFI_SS_FB0101"/>
        <s v="ZFI_SS_FB01P2"/>
        <s v="ZFI_SS_FB01P3"/>
        <s v="ZFI_SS_FB01PT"/>
        <s v="ZFI_SS_FX01"/>
        <s v="ZFI_SS_SEPAMAND"/>
        <s v="ZFI_SS_TSFBLO"/>
        <s v="ZFI_SS_TSXX00"/>
        <s v="ZFI_SS_TSXX01"/>
        <s v="ZFI_STEUER_ANL_VIEW"/>
        <s v="ZFI_SWA_LIEF_GUT"/>
        <s v="ZFI_SWA_LIEF_RUECK"/>
        <s v="ZFI_SYNC_STAMMDATEN"/>
        <s v="ZFI_T27CHECK"/>
        <s v="ZFI_T27CHECK_MIG"/>
        <s v="ZFI_T29CHECK"/>
        <s v="ZFI_TB05FO"/>
        <s v="ZFI_UMB_KASSENBUCH"/>
        <s v="ZFI_UPD_RATEN"/>
        <s v="ZFI_UPDATE_COCKPIT_ZAHLUNG"/>
        <s v="ZFI_UPDATE_ZFBDT"/>
        <s v="ZFI_UPLOAD_ADAMTAB_MIG"/>
        <s v="ZFI_UPLOAD_IVANTAB"/>
        <s v="ZFI_VARTA_GUT"/>
        <s v="ZFI_VARTA_LIFNR"/>
        <s v="ZFI_VBUND_ADRESS"/>
        <s v="ZFI_VERLAG_AMA"/>
        <s v="ZFI_VERLAG_THM"/>
        <s v="ZFI_VLSALD"/>
        <s v="ZFI_VORST_AW"/>
        <s v="ZFI_VORST_UPD_ZFI_M_ZZVKV"/>
        <s v="ZFI_VORST2"/>
        <s v="ZFI_VORST3"/>
        <s v="ZFI_VORST4"/>
        <s v="ZFI_VSTKOR"/>
        <s v="ZFI_VTE_SCHLEIFE"/>
        <s v="ZFI_WOMO_ZUORDANZ"/>
        <s v="ZFI_ZAHLLAUF_AUSWERT"/>
        <s v="ZFI_ZAHLLAUF_BETRAG"/>
        <s v="ZFI_ZAHLLAUF_SICH"/>
        <s v="ZFI_ZAHLLAUF_VORSYSTEM"/>
        <s v="ZFI_ZAHLLAUF_ZUFALL"/>
        <s v="ZFI_ZAHLUNGSMITTEILUNGEN"/>
        <s v="ZFI_ZAHLV_ALV"/>
        <s v="ZFI_ZAHLV_DDF"/>
        <s v="ZFI_ZAHLV_RAHMEN"/>
        <s v="ZFI_ZAHLV_RAHMEN_FB"/>
        <s v="ZFI_ZAHLV_SEL"/>
        <s v="ZFI_ZF140_CASH"/>
        <s v="ZFI_ZML_CHECK"/>
        <s v="ZFI_ZML_COCKPIT"/>
        <s v="ZFI_ZML_COPGEN"/>
        <s v="ZFI_ZML_DEAKT"/>
        <s v="ZFI_ZML_DEL"/>
        <s v="ZFI_ZML_FILL"/>
        <s v="ZFI_ZML_INIT"/>
        <s v="ZFI_ZML_KALENDER"/>
        <s v="ZFI_ZML_SCHED"/>
        <s v="ZIM_LST_IMAUFTRAG01"/>
        <s v="ZIM_MASN_FREIGABE"/>
        <s v="ZIM_MASNANFORD_IMPORT"/>
        <s v="ZIM_UPD_IMAUFTRAG01"/>
        <s v="ZMEPOCORR1"/>
        <s v="ZMM_AIS_OFFBEST"/>
        <s v="ZMM_ARTNUM"/>
        <s v="ZMM_BEST_ANLEGEN"/>
        <s v="ZMM_BEST_AUSW"/>
        <s v="ZMM_BEST_ERGAENZEN"/>
        <s v="ZMM_BEST_EXPORT_KOSTL"/>
        <s v="ZMM_BEST_EXPORT_KTGRP2"/>
        <s v="ZMM_BEST_FRGFBCHK"/>
        <s v="ZMM_BEST_KTOFIND"/>
        <s v="ZMM_BEST_LISTE"/>
        <s v="ZMM_BEST_MENUE"/>
        <s v="ZMM_BEST_PRUEFEN"/>
        <s v="ZMM_BEST_XML_IMPORT"/>
        <s v="ZMM_BESTAND_NOERPEL"/>
        <s v="ZMM_BESTELLDRUCK"/>
        <s v="ZMM_EINA_OHNE_LIEFERANT_LOEKZ"/>
        <s v="ZMM_EINKAUFSSEGMENT_ANLEGEN"/>
        <s v="ZMM_INFORECORD_COPY"/>
        <s v="ZMM_INTR00"/>
        <s v="ZMM_INVBEW"/>
        <s v="ZMM_INVBEW_BIP"/>
        <s v="ZMM_INVDIF"/>
        <s v="ZMM_LAG"/>
        <s v="ZMM_LAGV"/>
        <s v="ZMM_LAPS10"/>
        <s v="ZMM_LAPS20"/>
        <s v="ZMM_LAPS30"/>
        <s v="ZMM_LAPS40"/>
        <s v="ZMM_LAPS45"/>
        <s v="ZMM_LAPS52"/>
        <s v="ZMM_LAPS60"/>
        <s v="ZMM_LAPS70"/>
        <s v="ZMM_LAPS73"/>
        <s v="ZMM_LAPS75"/>
        <s v="ZMM_LAPSDR"/>
        <s v="ZMM_LAPSMP"/>
        <s v="ZMM_MAR1_AENDBELG"/>
        <s v="ZMM_MAR1_BESTAND_HISTORY"/>
        <s v="ZMM_MAT_AENDERUNGEN"/>
        <s v="ZMM_MATREORG"/>
        <s v="ZMM_MI04"/>
        <s v="ZMM_MI31"/>
        <s v="ZMM_MM00"/>
        <s v="ZMM_MM01"/>
        <s v="ZMM_MM60"/>
        <s v="ZMM_PARTNER_COPY"/>
        <s v="ZMM_RG_AENDBELG"/>
        <s v="ZMM_RG_BTCI"/>
        <s v="ZMM_RG_IMPORT"/>
        <s v="ZMM_RG_LISTE"/>
        <s v="ZMM_RG_MAIL"/>
        <s v="ZMM_RG_MENUE"/>
        <s v="ZMM_RG_PRUEFEN"/>
        <s v="ZMM_RM08RELEASE"/>
        <s v="ZMM_STBWCHECK"/>
        <s v="ZMM_VST_WE"/>
        <s v="ZMM_WPVOB"/>
        <s v="ZMV45AFZZ_SAVE_DOCUMENT_PREPAR"/>
        <s v="ZPWCXTRACT_DEV"/>
        <s v="ZRE_BSID_IMKEY_CLEAR"/>
        <s v="ZRE_DRUCK_CONTAINER"/>
        <s v="ZRE_HDVM"/>
        <s v="ZRE_MIETBLATT"/>
        <s v="ZRE_OBJEKTBLATT"/>
        <s v="ZRE_STVARV_UPDATE"/>
        <s v="ZRGGBR000"/>
        <s v="ZRSADRADRV"/>
        <s v="ZRSADRADRV_MASS"/>
        <s v="ZSBBSS_TBTCO_HOCHSETZEN"/>
        <s v="ZSBBSS_TBTCS_HOCHSETZEN"/>
        <s v="ZSBBSS_TPRI_PAR_LOESCHEN"/>
        <s v="ZSD_ADIN01_EXIT"/>
        <s v="ZSD_ALV_GROUP_TEMP"/>
        <s v="ZSD_AUFRUE"/>
        <s v="ZSD_AUFT_MAT"/>
        <s v="ZSD_BESTAND_COPY"/>
        <s v="ZSD_COND_LOEKZ"/>
        <s v="ZSD_INTR00"/>
        <s v="ZSD_KASSENID_UPLOAD"/>
        <s v="ZSD_KONDITION_COPY"/>
        <s v="ZSD_KUNVZ"/>
        <s v="ZSD_LAGKOM"/>
        <s v="ZSD_LAGKOM2"/>
        <s v="ZSD_LIEF_WOCHTAG"/>
        <s v="ZSD_LOGM"/>
        <s v="ZSD_LRG_AOBJD"/>
        <s v="ZSD_LRG_AOBJR"/>
        <s v="ZSD_LRG_AOBJW"/>
        <s v="ZSD_LRG_CHECK_EINSAETZE_EXT"/>
        <s v="ZSD_LRG_CHECK_EINSAETZE_INT"/>
        <s v="ZSD_LRG_DF01"/>
        <s v="ZSD_LRG_DFUE_CK"/>
        <s v="ZSD_LRG_KASSEN_DAV_AUSWERTUNG"/>
        <s v="ZSD_LRG_OP"/>
        <s v="ZSD_LRGA"/>
        <s v="ZSD_LRGD"/>
        <s v="ZSD_LRGE"/>
        <s v="ZSD_LRGF"/>
        <s v="ZSD_LRGK"/>
        <s v="ZSD_LRGL_01"/>
        <s v="ZSD_LRGM"/>
        <s v="ZSD_LRGN"/>
        <s v="ZSD_LRGP"/>
        <s v="ZSD_LRGR"/>
        <s v="ZSD_LRGS"/>
        <s v="ZSD_MAR_ADMIN"/>
        <s v="ZSD_MAR_BASIS"/>
        <s v="ZSD_MAR_BELEGHIS"/>
        <s v="ZSD_MAR_DRUCK"/>
        <s v="ZSD_MAR_FI"/>
        <s v="ZSD_MAR_IMPORT"/>
        <s v="ZSD_MAR_RECH_EMAIL_SEND"/>
        <s v="ZSD_MAR_USR_STAT"/>
        <s v="ZSD_MARA"/>
        <s v="ZSD_MARM"/>
        <s v="ZSD_MARR"/>
        <s v="ZSD_MARV"/>
        <s v="ZSD_MM_RE_STATISTIK"/>
        <s v="ZSD_NAST"/>
        <s v="ZSD_NAST_ARCHIV"/>
        <s v="ZSD_NAST_MAR"/>
        <s v="ZSD_NMGKUN"/>
        <s v="ZSD_SERN"/>
        <s v="ZSD_SERN_IMPORT"/>
        <s v="ZSD_SERN10"/>
        <s v="ZSD_SERNBU"/>
        <s v="ZSD_SHOEXP"/>
        <s v="ZSD_SHOEXPSTA"/>
        <s v="ZSD_SHOIMP"/>
        <s v="ZSD_SHOKUN_MM"/>
        <s v="ZSD_SHOP_STAT"/>
        <s v="ZSD_SPOOL"/>
        <s v="ZSD_STAMMSATZANLAGE_SWA_FAHRER"/>
        <s v="ZSD_SWA_BEST_ANZ"/>
        <s v="ZSD_SWA_BEST_EDI"/>
        <s v="ZSD_SWA_BEST_WE"/>
        <s v="ZSD_SWA_BESTAND"/>
        <s v="ZSD_SWA_BESTAND_COPY"/>
        <s v="ZSD_SWA_BEWEGUNGEN"/>
        <s v="ZSD_SWA_DIALOGE"/>
        <s v="ZSD_SWA_DOWNLOAD_LAGERORTE"/>
        <s v="ZSD_SWA_ENTSORGUNG"/>
        <s v="ZSD_SWA_INV"/>
        <s v="ZSD_SWA_INV_LIST"/>
        <s v="ZSD_SWA_INV_MEMO"/>
        <s v="ZSD_SWA_INV_SIK"/>
        <s v="ZSD_SWA_LAGERABGANG_UMB"/>
        <s v="ZSD_SWA_LAGERABGANG_VERK"/>
        <s v="ZSD_SWA_LISTELAGAB"/>
        <s v="ZSD_SWA_MEMOFAHRER"/>
        <s v="ZSD_SWA_MEMONYM"/>
        <s v="ZSD_SWA_MINMAX"/>
        <s v="ZSD_SWA_PARTNER_COPY"/>
        <s v="ZSD_SWA_PREIS_COPY"/>
        <s v="ZSD_SWA_PROV"/>
        <s v="ZSD_SWA_RECHERCHE"/>
        <s v="ZSD_SWA_TR_AOBJD"/>
        <s v="ZSD_SWA_TR_AOBJR"/>
        <s v="ZSD_SWA_TR_AOBJW"/>
        <s v="ZSD_SWA_VERBUCHEN_BEST"/>
        <s v="ZSD_SWA_VERK_ANZ"/>
        <s v="ZSD_SWA_VERK_ANZ2"/>
        <s v="ZSD_SWA_VERK_NABU"/>
        <s v="ZSD_SWAT_REPAIR"/>
        <s v="ZSD_SWAT_TABCHECK"/>
        <s v="ZSD_SWAT_TERMINALBELEG"/>
        <s v="ZSD_SWAT01"/>
        <s v="ZSD_TAB_REORG"/>
        <s v="ZSD_TOL_PROV_LIF_SYNC"/>
        <s v="ZSD_TOLA00"/>
        <s v="ZSD_TOLA05"/>
        <s v="ZSD_TOLA10"/>
        <s v="ZSD_TOLA20"/>
        <s v="ZSD_TOLA25"/>
        <s v="ZSD_TOLA30"/>
        <s v="ZSD_TOLA35"/>
        <s v="ZSD_TOLA40"/>
        <s v="ZSD_TOLA41"/>
        <s v="ZSD_TOLA42"/>
        <s v="ZSD_TOLA43"/>
        <s v="ZSD_TOLA44"/>
        <s v="ZSD_TOLA45"/>
        <s v="ZSD_TOLA46"/>
        <s v="ZSD_TOLA48"/>
        <s v="ZSD_TOLA50"/>
        <s v="ZSD_TOLA60"/>
        <s v="ZSD_TOLA65"/>
        <s v="ZSD_TOLA70"/>
        <s v="ZSD_TOLA71"/>
        <s v="ZSD_TOLA77"/>
        <s v="ZSD_TOLA80"/>
        <s v="ZSD_TOLA90"/>
        <s v="ZSD_TOLA95"/>
        <s v="ZSD_TOURSET_BI"/>
        <s v="ZSD_TOURSET_REICHW"/>
        <s v="ZSD_VD01"/>
        <s v="ZSD_VST_MENUE_ALV"/>
        <s v="ZSD_VSTABR"/>
        <s v="ZSD_VSTEA"/>
        <s v="ZSD_VSTM"/>
        <s v="ZSD_WAAGELS"/>
        <s v="ZSD_WAWI_ABZUG"/>
        <s v="ZSD_WAWI_FAHRER_TRANSCODE"/>
        <s v="ZSD_WPV_PRISMA"/>
        <s v="ZSD_WPV_RUECK"/>
        <s v="ZSD_WPVLIEF"/>
        <s v="ZSD_ZEKEAPC"/>
        <s v="ZSLA_SCU3_CHECK_08"/>
        <s v="ZTR_CONFIRM_LETTER"/>
        <s v="ZTR_FDES_TRANSFER_FC"/>
        <s v="ZTR_FF9"/>
        <s v="ZTR_FLQSUM_FC_DEL"/>
        <s v="ZTR_IF_SCD_NPV"/>
        <s v="ZTR_MIRROR_COMPARE"/>
        <s v="ZTR_REP_CALL_FF9"/>
        <s v="ZVIM_ANALYTICS_SELECT_OPTION"/>
        <s v="ZVIM_OAC3_UPDATE_ARCHIV"/>
        <s v="ZXVVFU02"/>
      </sharedItems>
    </cacheField>
    <cacheField name="vorhanden_x000a_EQA" numFmtId="0">
      <sharedItems count="2">
        <s v="Nein"/>
        <s v="Ja"/>
      </sharedItems>
    </cacheField>
    <cacheField name="Übernahme _x000a_in S/4_x000a_geplant" numFmtId="0">
      <sharedItems count="3">
        <s v="Nein"/>
        <s v="Ja"/>
        <s v="Offen"/>
      </sharedItems>
    </cacheField>
    <cacheField name="USR_x000a_CALM" numFmtId="0">
      <sharedItems containsBlank="1"/>
    </cacheField>
    <cacheField name="Welle 1" numFmtId="0">
      <sharedItems containsBlank="1" count="2">
        <m/>
        <s v="Ja"/>
      </sharedItems>
    </cacheField>
    <cacheField name="Welle 2" numFmtId="0">
      <sharedItems containsBlank="1" count="5">
        <m/>
        <s v="Nein"/>
        <s v="Nein "/>
        <s v="Ja"/>
        <s v="?"/>
      </sharedItems>
    </cacheField>
    <cacheField name="Welle 3 ff" numFmtId="0">
      <sharedItems containsBlank="1" count="5">
        <m/>
        <s v="Ja"/>
        <s v="Nein"/>
        <s v="?"/>
        <s v="x"/>
      </sharedItems>
    </cacheField>
    <cacheField name="Coding_x000a_Zahlwege" numFmtId="0">
      <sharedItems containsBlank="1"/>
    </cacheField>
    <cacheField name="Klärung _x000a_durch" numFmtId="0">
      <sharedItems containsBlank="1"/>
    </cacheField>
    <cacheField name="Beschreibung" numFmtId="0">
      <sharedItems containsBlank="1" count="625">
        <s v="Hilfsprogramm zur Bereinigung Inkonsistenzen in Jobtabelle BTCEVTJOB"/>
        <s v="Idoc Status auf erledigt setzen (nur BuKrs 1000)"/>
        <s v="Z_INFO_PRICING_SERVICES_USER lt. SAP Hinweis 1786263"/>
        <s v="Reparatur der Adressinkonsistenz in Tabelle VBPA und KNA1"/>
        <s v="Programm SAPMZSWA - Batterieservice"/>
        <s v="Menü Batterieservice"/>
        <s v="Modulpool: Elektronisches Bezahlen SWA-Terminal (Straßenwacht)"/>
        <s v="Datendatei-View: Geplante Abschreibungen auf Anlagen"/>
        <s v="Anlagentransfer Langtexte kopieren"/>
        <s v="Anlagentransfer"/>
        <s v="Änderung von Innenaufträgen/Kostenstellen in Anlagen"/>
        <s v="Inventurliste nach Anlagennummern / Anlagentext"/>
        <s v="Inventurliste nach Kostenrechnungsobjekten"/>
        <s v="Anlagenstamm Massenänderung: Download"/>
        <s v="Massenänderung Anlagenstamm: Upload CSV-Datei"/>
        <s v="Anlagenhistorie"/>
        <s v="Buchen der Abschreibungen"/>
        <s v="Stammdaten-Auswertung ALV-Liste ( mehrzeilig )"/>
        <s v="Übernahme von Debitoren-/Kreditorenrechnungen in die Accrual Engine"/>
        <s v="Anzeigen von Abgrenzungsobjekten + kd.eigene Parameter"/>
        <s v="Reparaturprogramm: Prüfen Debitoren auf fehlende Adresse-Einträge in Archivierung"/>
        <s v="Archivelink Reorganisation - Erstellen Löschdatei und Tabelle für's Löschen von Sätzen in den Verknüpfungstabellen"/>
        <s v="Archivelink Reorganisation - Rückantwort NE-Databridge"/>
        <s v="Archivelink Reorganisation - Pflege der Verknüpfungstabellen"/>
        <s v="Anonymisierungstool in Q Systemen"/>
        <s v="Archivierte BDC Mappenprotokolle anzeigen"/>
        <s v="BDC Mappenprotokolle archivieren"/>
        <s v="BDC Mappenprotokolle archiv Objekte importieren"/>
        <s v="Ermittlung von Beleganzahl / -wert je Buchungskreis als Basis für Verteilschlüssel SAP Systempreis Verteilung"/>
        <s v="Aufruf einer &quot;Stored Procedure&quot; in der Berichtswesendatenbank"/>
        <s v="mit diesem Programm können Nummernkreise auf Fehler geprüft werden und freie Intervalle ermittelt werden."/>
        <s v="Wird benötigt für ELMO für Dateiaufstellung für Netz HG105C. Es ist eine Kopie von ZFI_COPY_TEXT_DATASET ergänzt mit Archivierungsfunktionalität"/>
        <s v="Auslösen eines Kundenereignisses"/>
        <s v="Generischer Upload von Excel-Tabellen in R/3-Tabellen"/>
        <s v="Zahllauf Folgeverarbeitungssteuerung"/>
        <s v="Update von Spool-Datasets (Zahllaufversion)"/>
        <s v="Dateienlöschung über Report ZBC_FILE_DELETE"/>
        <s v="Dateieneventauslösung"/>
        <s v="Download Workload Statistics"/>
        <s v="Job Abbrechen wenn eine Liste best. String enthält"/>
        <m/>
        <s v="Programm zur Pflege der Löschvormerkung für Debitoren und Kreditoren"/>
        <s v="Setzen Löschvormerkung anhand Tage ohne Buchungen"/>
        <s v="Logo-Clicks ein/ausschalten -&gt; gehört zu OREA"/>
        <s v="ZBC_MAESTRO"/>
        <s v="Update Tabelle NACH im Test-System (&quot;Sofort ausgeben&quot;, &quot;Ausgabegerät&quot;) -&gt; klären mit Arvato"/>
        <s v="Programm zur automatischen Userinaktivierung"/>
        <s v="Füllen der COA-Tabellen"/>
        <s v="Nachverarbeitung der Freigabehierarchie"/>
        <s v="Testutils -&gt; OREA "/>
        <s v="Löschen von einzelnen Usern aus der COA"/>
        <s v="Test des Freigeberfunktionsbausteins"/>
        <s v="Parameter in TVARVC belegen und updaten"/>
        <s v="Datenschutz: Pflege Berechtigungsgruppe im Stammsatz"/>
        <s v="Drucklistenarchivierung"/>
        <s v="Zusätzliches Ausgeben / Senden von Spoollisten"/>
        <s v="Ermittlung Seitenanzahl und Ausgabe von Spool-Datasets"/>
        <s v="Auswertung Systemlast"/>
        <s v="ZBC_TAB_EXPIMP Tabellen Exportieren/Importieren"/>
        <s v="Programm ZBC_TABELLEN_TRANSFER"/>
        <s v="Reportvarianten-Scanfunktionalität"/>
        <s v="Reorg Tabelle ZBC_ZEMAREP_FRG"/>
        <s v="lesen zemarep"/>
        <s v="ZEMAREP User-Pflege"/>
        <s v="Anzeige/Löschen Tabelle ZREP_USERCHG"/>
        <s v="user gültigkeit prüfen"/>
        <s v="Korrekturprogramm Upgrade SNOTE 2164430"/>
        <s v="Globale Routinen Luftrettung"/>
        <s v="Mappenstatus"/>
        <s v="Testprogramm"/>
        <s v="Warten n Minuten (max. 30)"/>
        <s v="OSS: 156239 Report Datenaufbau Banksalden"/>
        <s v="Abstimmung Intercompany"/>
        <s v="FI: Archiv_Link_Rechnungsbeleg: FI-Rechnungsdruck"/>
        <s v="Prüfung der CO/FI-Abstimmung"/>
        <s v="Programm ZCO_ABZUG_KSTPROJEKT_UMSETZUNG"/>
        <s v="Kostenarten- / Profitcenter-Datenabzug"/>
        <s v="Initialization und At Selection Screen"/>
        <s v="Datenabzug Controlling für die Ergebnisrechnung"/>
        <s v="Programm ZCO_HIERARCHIEPRUEFUNG"/>
        <s v="Abrechnungsschema in vorhandenen Aufträgen aktualisieren"/>
        <s v="Abstimmung SAPCO mit Sachkonten ILV aus SAP-FI"/>
        <s v="Programm ZCO_ILV_AUTOMABHAK"/>
        <s v="Auswertung FI-Buchungen für ILV"/>
        <s v="Programm ZCO_ILV_KENNZAHLEN"/>
        <s v="Konvertierung ILV-Schnittstelle: Alte -&gt; Neue Struktur"/>
        <s v="Übernahme der Dateien für die ILV"/>
        <s v="Buchungsprotokolltabelle aktualisieren"/>
        <s v="Sammeldateiloeschung"/>
        <s v="Programm ZCO_ILV"/>
        <s v="Vorprogramm zur ILV"/>
        <s v="KALC FI Belegdaten für den Druck exportieren"/>
        <s v="Kennzahlen Abzug (Export)"/>
        <s v="Kennzahlen Istschnittstelle Import"/>
        <s v="Programm ZCO_KENNZAHLEN_START"/>
        <s v="Kostenarten und Kostenartengruppen"/>
        <s v="Auftrag- und Kostenstellenstammdaten: SQL-DB, TERMIKON, RACF, IBLA."/>
        <s v="Kostenstellenabzug für AVM"/>
        <s v="Kostenstellenabzug für Loga"/>
        <s v="Kostenstellenabzug für PAM -Übergangslösung für DV-Reporting"/>
        <s v="Lesen Leistungsarten"/>
        <s v="Leistungsartenstamm"/>
        <s v="Personalplanung Planungsabzug"/>
        <s v="Profitcenterabzug für Kostenstellen"/>
        <s v="Programm ZCO_PFC_MASS_CHANGE"/>
        <s v="Programm ZCO_PLANUNGSSCHNITTSTELLE"/>
        <s v="Personalplanung Leih-/Zeitarbeit"/>
        <s v="Abzug Personalplanung für Differenzbildung"/>
        <s v="Anlage von Proficentern aus der Kostenstellenrechnung"/>
        <s v="Profitcenter und Profitcentergruppen"/>
        <s v="Programm ZCO_PRUEFUNG_STAMM_ORGA"/>
        <s v="ZCO Exit Routinen für Substitutionen: Belegsubstitutionen"/>
        <s v="Solvency II - Schnittstelle Profit-Center-Werte"/>
        <s v="CO Vorsteuerkorrektur"/>
        <s v="Programm ZCO_ZEMAREP_KST_ABZUG"/>
        <s v="Programm ZCOFI_VERTRAGSVERWALTUNG_ABZUG"/>
        <s v="Löschen Benutzerdaten in Tabelle ESDUS"/>
        <s v="Anlagengitter Sonderversion mit Verm.St.Kz"/>
        <s v="Ermittlung fehlerhafter Kontierungsobjekte in FI/AA"/>
        <s v="Abzug von Anlagenwerten und -bewegungen"/>
        <s v="Abzug von Debitoren-Stammdaten und -Salden"/>
        <s v="Abzug Debitoren und Kreditoren für MDM, S/4Hana"/>
        <s v="Abzug Export-Tabelle Debitorenreporting"/>
        <s v="Abzug von Kontensalden aus GLT3"/>
        <s v="Abzug von Kreditoren-Stammdaten und -Salden"/>
        <s v="Abzug von Sachkonten-Stammdaten und -Salden"/>
        <s v="ADAM KONTENABSTIMMUNG"/>
        <s v="Verbuchung AIRPLUS-Daten"/>
        <s v="Archivelink Reorganisation - Erstellen Löschdatei"/>
        <s v="Änderung Anlagenstammsatz: Inventurkennzeichen"/>
        <s v="Anhang von Ursrungsbeleg an Anlagenzugang umhängen"/>
        <s v="Upload und Verbuchung Anlagenzugang-Daten"/>
        <s v="Anzahl Reisen für interne Leistungsverrechnung"/>
        <s v="FI: Archiv_Link_Partnerbeleg: FI-Rechnungsdruck"/>
        <s v="Verknüpfung FI Beleg zu Archiv-ID"/>
        <s v="Archiv-Files löschen"/>
        <s v="as91"/>
        <s v="Report Ausbuchungen für Provisionsrückforderungen"/>
        <s v="FUA-Auslagen Belegerfassung"/>
        <s v="FUP-Auslagen Beleg-Historie"/>
        <s v="FUA-Auslagen Listen"/>
        <s v="Menü FUA Auslagen"/>
        <s v="Elektronischer Kontoauszug: Modifikation Auszug.txt und Umsatz.txt"/>
        <s v="FI: Liste Bestellungen / Rechnungen / FI-Beleg / ACE"/>
        <s v="AVIS_UPLOAD - Erfassungshilfe zur Verbuchung von eingehenden Avisen"/>
        <s v="Zahlungsträger-Korrespondenz zum generischen Zahlungsträgerprogramm"/>
        <s v="Erstellen Datei für PORTA-Avise (Bukrs 1000)"/>
        <s v="Löschprogramm: ZFI_AVMBR_BKOPF"/>
        <s v="Archivanzeige: ZFI_AVMBR_BKOPF"/>
        <s v="Archiv-Schreibprogramm ... ZFI_AVMBR_BKOPF"/>
        <s v="AVM : BUKRS-übergreifende Umbuchung"/>
        <s v="Upload Excel (.xls) in Tabelle ZFI_AVM_AUFNRKFZ"/>
        <s v="Umbuchung Zahlungseingänge für Versicherungsfälle Autovermietung"/>
        <s v="Datenübernahme vom AVM-BROKER-System"/>
        <s v="Aufbau Buchungen mit Daten vom AVM-BROKER-System"/>
        <s v="Zahlungsmitteilung aus SAP für AVM-BROKER-Vorgänge"/>
        <s v="Import-Schnittstelle DeltaMaster --&gt; SAP (Abstimmtool)"/>
        <s v="Export-Schnittstelle SAP --&gt; DeltaMaster (Abstimmtool)"/>
        <s v="Barcodes löschen"/>
        <s v="Auflistung Barcode-Einträge"/>
        <s v="Barcode nachträglich anlegen"/>
        <s v="Barcodesätze löschen"/>
        <s v="Barcode-Rückmeldungen entgegennehmen"/>
        <s v="Verknüpfungstabellen zu Barcode erstellen"/>
        <s v="Abstimmsu.pr. für BAZ-Bänder von BLB Format DTAUSNEU für Schecksamm.bu"/>
        <s v="Kontierungsprogramm Bestand 2000"/>
        <s v="Kontierungsprogramm Bestand 2000, Migration ADAM 2.0"/>
        <s v="Programm: ZFI_BELEGABR_ANZ - Anzeige der Belegstatistiktabelle"/>
        <s v="Belegpostenermittlung ILV und Statistik"/>
        <s v="Programm ZFI_BELEGE_PG"/>
        <s v="FI - Belegverfolgung Eingang - Zahlung"/>
        <s v="Belegzeilen als CSV exportieren"/>
        <s v="ZFBE2000 aus der R/2 (nur als Hilfe)"/>
        <s v="BIC Abgleich"/>
        <s v="Import Devisenkurse BLB"/>
        <s v="Verbuchung BS-CARD Kreditkarte ( EPA-Avis )"/>
        <s v="B&amp;SCard: TIMDATA-Avis-Verarbeitung (EC)"/>
        <s v="B+S EC- / Kreditkartenzahlungen Umbuchungen"/>
        <s v="Wiedereinbuchung Rücklastschriften"/>
        <s v="Auswertung CCS Drucke"/>
        <s v="Ermittlung CCS Drucke"/>
        <s v="FI: Diverse Prüfungen zur IBAN"/>
        <s v="Verbuchung COMPUTOP Kreditkarte ( Settlement-Avis )"/>
        <s v="Kopieren Dataset im Text-Modus"/>
        <s v="Auflistung debitorischer / kreditorischer Auszahlungsbelege"/>
        <s v="Sachkontenbelegliste zur Auszahlungskontrolle"/>
        <s v="ZFI_CUR_REORG"/>
        <s v="Abzug Tabellen für Vita-Migration R2 (BuKrs 6100)"/>
        <s v="DATEV-Export-Schnittstelle - Buchungsstapel"/>
        <s v="DATEV: Schnittstelle zur Verbuchung DATEV-Buchungsstapel"/>
        <s v="FI: Datev Reisekostenschnittstelle"/>
        <s v="Datev-Schnittstelle"/>
        <s v="Erstellen  Zahlungsanforderungen Debitoren für Rechnungen/Gutschriften"/>
        <s v="Stammsatz und Postenänderung bei Figl-Schreiben"/>
        <s v="Prüfliste Zahllauf - Zufallsauswertung"/>
        <s v="Debitoren Summen nach Gegenkonto"/>
        <s v="Auswertung OP Debitoren mit unterschiedlichen Postenzahlwegen"/>
        <s v="Debitorenposten mit Aktenzeichen in NAME4"/>
        <s v="Debitorenreporting: Ermittlung Anzahl Mahnungen"/>
        <s v="Debitorenreporting: Ausbuchungen Debitoren"/>
        <s v="Debitorenreporting: Ermittlung Belegposten maschinell / manuell"/>
        <s v="Debitorenreporting: Umsatz Debitoren"/>
        <s v="Löschen Tabelle ZFI_INKO_COCKPI2"/>
        <s v="Löschvormerkung Stammdaten entfernen"/>
        <s v="Mahnlauf löschen"/>
        <s v="Anhänge zwischen Belegen kopieren (eigentlich Welle 1)"/>
        <s v="Auswertung Belege mit Anhang"/>
        <s v="Gesperrte Debitoren nach Stationen LRG"/>
        <s v="Druckcontainer für Standardformulardruck"/>
        <s v="DATENSCHUTZ-GRUNDVERORDNUNG (DSGVO)"/>
        <s v="Elfe Kostenstellenbericht"/>
        <s v="Verarbeitung ELMO-Rechnungen"/>
        <s v="Monatlicher Kostenstellenbericht ELMO"/>
        <s v="Überführung Inhouse-Daten der Telefonrechnungen (ELSY)"/>
        <s v="Kontroll-Liste Reisekosten AirPlus"/>
        <s v="Überführung Inhouse-Daten der Telefonrechnungen (ELFE)"/>
        <s v="Programm ZFI_ETM_REFERENZKORREKTUR"/>
        <s v="Umbuchung Kassenbuchung für Ersatzteilmanagement"/>
        <s v="Ermitteln Zahlarten unterschiedlich zu Verkauf Kasse"/>
        <s v="Export Ever-Stammdaten (Bukrs, Konten, Kst, IA)"/>
        <s v="Import Ever-Vorgänge"/>
        <s v="SAP-Tabelle laden mit Daten einer CSV-Datei"/>
        <s v="Datenexport  aus SAP für Prüfungszwecke"/>
        <s v="Verarbeitung externer Schnittstellen -&gt; Standardschnittstelle"/>
        <s v="Kontenübergreifendes Ausziffern"/>
        <s v="SEPA - SAP-FI - DTA-Übersichtsliste"/>
        <s v="Aktivierung Fahrzeugsausrüstung (PAN) Kto 99100"/>
        <s v="Auswertung Feldstatus ADAC"/>
        <s v="Datei für Abstimmtool erzeugen"/>
        <s v="Aktualisieren AVIS-Info PORTA-Partner mit FK02"/>
        <s v="Interface SAP --&gt; FORMAT Sanktionsmonitor"/>
        <s v="Selektionsvariablen für Fremdwährungsbewertung"/>
        <s v="Monatsabrechnung an die Regionalclubs"/>
        <s v="Intercompany-Abstimmung und IDL-Ausgabe GLT3"/>
        <s v="Löschen von Einträge Tabelle GLT3 (Konsolidierungsvorbereitungsledger)"/>
        <s v="Schnittstelle ORESSA  ----&gt;  SAP"/>
        <s v="Schnittstelle Prisma-Provisionsabrechnung"/>
        <s v="Zahlungseingangsverarbeitung Luftrettungseinsätze"/>
        <s v="Inkasso-Abschlüsse"/>
        <s v="Pflege Inkasso Zwischentabelle"/>
        <s v="Korrektur derTabelle ZFI_INKO_COCKPIT"/>
        <s v="zfi_inko_zahlung"/>
        <s v="Zahlung EOS"/>
        <s v="Übergabe Inkassounternehmen - Mahndaten säumiger Zahler"/>
        <s v="EOS : Übergabe mit neuer Struktur"/>
        <s v="Rückmeldeverarbeitung der Aktenzeichen"/>
        <s v="Rückmeldeverarbeitung der Inkassonummer"/>
        <s v="BI: Rückmeldung Aktenzeichen: Update Debitoren Stammsatz"/>
        <s v="BI: belegen Segmenttext mit Aktenkennzeichen"/>
        <s v="Intercompany Einzelposten"/>
        <s v="zfi_ivan_a und i duplizieren"/>
        <s v="IVAN Tabellenprüfung"/>
        <s v="IVAN Umbuchungsreport für Gaue"/>
        <s v="IVAN-Versorgung"/>
        <s v="KABUCO Abrechnung der Büromaterialbestellung"/>
        <s v="Umschlüsselung für MIS-ZEUS"/>
        <s v="Kreditoren Summen nach Gegenkonto"/>
        <s v="Kundenregulierungsverhalten"/>
        <s v="Erstellen  ZE-Datei für LAVA"/>
        <s v="ZFLAGSTA - Lager-Umschlagshäufigkeit bezogen auf 1 Jahr"/>
        <s v="Programm ZFI_LAVA_INKASSO"/>
        <s v="Rückläufer-Meldung an LAVA"/>
        <s v="LAVA-Schnittstelle-Kontierungsprogramm"/>
        <s v="FI: Doublettenprüfung Kreditoren/Debitoren"/>
        <s v="Valutarische Summen Belegen für Liqui - mit Archivanbindung"/>
        <s v="Nachträglicher Aufbau von neu hinzugekommen Konten mit Archiv"/>
        <s v="Updaten der Einträge für aktuellen Monat in Tabelle ZFI_L_Manuel_v"/>
        <s v="Liquidität Gesamt: Auswertung Valutarisch je Firma"/>
        <s v="Ermittlung Valutarischer Summen aus Beleg-Positionen"/>
        <s v="Nachträglicher Aufbau von neu hinzugekommen Konten"/>
        <s v="Berichtswesen Disposition - Liquidität Gesamt"/>
        <s v="Liquidität Gesamt: Auswertung Valutarisch"/>
        <s v="Schnittstelle Reisekostenabrechnung - LOGA"/>
        <s v="Anlage bzw. Pflege Kreditoren-Stammsätze aus LOGA"/>
        <s v="LOGA: Schnittstelle zur Verbuchung Gehalt und MA-Darlehen"/>
        <s v="Monatliche Liste der geleisteten Anzahlungen nach Stationen"/>
        <s v="Erweiterung Debitoren-/Kreditoren-Stammdaten um Subscreen für LZBKZ"/>
        <s v="AWV-Meldung: Ermittlung fehlende LZB-Kennzeichen in FI-Belegen"/>
        <s v="Ermittlung Anzahl Mahnungen für Interne Leistungsverrechnung"/>
        <s v="Mahnhistorie"/>
        <s v="Mahnsperrenpflege mit Steuerung über Tabelle ZFI_MAHNRHYTHMUS"/>
        <s v="Löschen Mahnstopp"/>
        <s v="Löschen Mahnsperreinträge (MAHNS)  / Mahnstatuspflege (MAHNV)"/>
        <s v="Bildung Mahnstapel in Mahnlauf"/>
        <s v="Pflege-Protokoll ZFI_MAHNSTATISTIK"/>
        <s v="Pflege Mahnstopp"/>
        <s v="Datenabzug Mahnstopp"/>
        <s v="Mahnvorschlag: Ausnahmefälle"/>
        <s v="Massenänderung Vertragsdatum"/>
        <s v="Offene Posten mit Langtext"/>
        <s v="Upload und Verbuchung Monatsabschluß-Daten"/>
        <s v="Neubau Anlagenliste"/>
        <s v="Neubau Anlagenliste mehrere Geschäftsjahre"/>
        <s v="Programm ZFI_NR_STAND_KOPIEREN"/>
        <s v="Zahlungsavissteuerung (Das ist eine Tabelle)"/>
        <s v="Verbuchung PayPal Zahlungen"/>
        <s v="Ehrenamt : Reisekosten und Vergütung"/>
        <s v="FI: Schnittstelle nach Perbit (Verwaltung Leih- und Zeitarbeiter)"/>
        <s v="Telefonabrechnung"/>
        <s v="Unterprogramm zur Korrektur Postleitzahl/Ort"/>
        <s v="Bereitstellen PARIS-Daten für Avis-Abfrage"/>
        <s v="Programm ZFI_PRINT_INVOICE"/>
        <s v="Prisma Agentur Werbeprovision Schnittstelle"/>
        <s v="SAP RAPS: Datenbereitstellung für Abstimmdreieck"/>
        <s v="RAPS: Provisionsschnittstelle"/>
        <s v="Forderungsumbuchung bei Ratenzahlern"/>
        <s v="ZFI_RATEN_RUECKMELDUNG"/>
        <s v="ZFI_RATEN_UEBERGABE"/>
        <s v="Ermittlung und Verbuchung Ratenzins"/>
        <s v="Druckprogramm für ZFI_RATENZINS"/>
        <s v="REB: Vorgangserinnerung und Überfälligkeitsliste"/>
        <s v="Anzeige EVER-Eingangsrechnungen"/>
        <s v="Archivierung ProzessSheets"/>
        <s v="Archivierung von Belegen des Rechnungseingangsbuches"/>
        <s v="Job zum Archivieren der Freigabesheets"/>
        <s v="Programm /SER/CHANGE_DEVCLASS"/>
        <s v="Job zur Nachbearbeitung Verknüpfungen REB-Einträge"/>
        <s v="Lücken in der Belegnummernvergabe - Rechnungseingangsbuch"/>
        <s v="Lücken in der Belegnummernvergabe"/>
        <s v="InvoiceMaster Control"/>
        <s v="Programm ZFI_REB_P_LEDGER_CALL"/>
        <s v="Job für Update Daten nach Zahllauf"/>
        <s v="zu archivierende Vorgänge ermitteln"/>
        <s v="FI: zfi_rechnung_würth erstellen Schnittstellen"/>
        <s v="Regresse: Täglicher Lauf: Zahlungen umbuchen"/>
        <s v="Meldungen AWV Z4 - LZB-Kennzeichen fehlt!!!"/>
        <s v="Änderungsanzeige Belege"/>
        <s v="Bilanz/GuV"/>
        <s v="Kassenbuchjournal - ALV-Grid"/>
        <s v="Änderungsanzeige Debitoren"/>
        <s v="Änderungsanzeige Debitoren  ## Alt ##"/>
        <s v="Änderungsanzeige Kreditoren"/>
        <s v="Aufbau der Verwaltung offener Posten nach Stammsatzänderung"/>
        <s v="Ermittlung Rückstellungstableau"/>
        <s v="Anzeige Sachkonten Einzelposten mit Immobilienobjekten WE und NKSCHL"/>
        <s v="Saldenliste Clubs DEBITOREN-REPORT"/>
        <s v="Übernahme Saldovortrag aus GLT0 in GLT3 (Konsolid.vorbereitungsledger)"/>
        <s v="FI: Saldenliste Mitbuchkonto"/>
        <s v="Sanktionsprüfung: Auswertung für Versicherungen (VBR)"/>
        <s v="FI Mahnen - Druckprogramm"/>
        <s v="FI: Anzeigeprogramm ScheckDB"/>
        <s v="Umbuchungen von Erlösbuchungen"/>
        <s v="SEPA-Migration: Anlage von IBAN's"/>
        <s v="SEPA: Prenotification erzeugen (Lastschriftankündigung)"/>
        <s v="SGSS-Export-Schnittstelle"/>
        <s v="SGSS-Import-Schnittstelle"/>
        <s v="Solvency II - Schnittstelle Bilanzwerte"/>
        <s v="FI-Belege aus Bestellnummern von SPIDER lesen"/>
        <s v="DOC_ID zu Spider FI-Belegen"/>
        <s v="Ablage von Spoollisten in PDF-Format"/>
        <s v="Update von Spool-Datasets"/>
        <s v="Rücknahme der Berechtigungsgruppe im Stammsatz (Datenschutz)"/>
        <s v="Konvertierung der Debitorennummer im Feld KUNNR"/>
        <s v="Standardschnittstelle für Belegerfassung und Stammsatzpflege"/>
        <s v="Batch-Input Standardschnittstelle FB01"/>
        <s v="Standardschnittstelle: Auswertung Protokolltabelle ZFI_SS11"/>
        <s v="Standardschnittstelle Mappenstatus setzen in ZFI_SS11"/>
        <s v="Standardschnittstelle Ermittlung der gebuchten Belegsummen"/>
        <s v="Standardschnittstelle für Stammsatzpflege aus CSV-Datei"/>
        <s v="Pflege von Mandatsdaten"/>
        <s v="Standardschnittstelle Löschen Einträge in Protokolltabellen"/>
        <s v="Standardschnittstelle Stammsatzanlage Konvertierung ins interne Format"/>
        <s v="Standardschnittstelle Stammsatzanlage Mappenerstellung"/>
        <s v="FI: Auswertung steuerrelevante Änderungen Anlagen"/>
        <s v="FI: Ersatzteilservice/Batterieservice - Gutschriftsanzeige"/>
        <s v="FI: SWA Lieferanten Rückmeldung Verarbeiten"/>
        <s v="Stammdaten synchronisieren (FDGRV,BEGRU,MASAB,BUSAB,LZBKZ,WBRSL)"/>
        <s v="Bestand 2000Tabellenprüfung"/>
        <s v="Prüfprogramm für Kontierungstabellen LAVA"/>
        <s v="Automatische Forderungsausbuchung"/>
        <s v="Kassenbuchung in Partner erstellen"/>
        <s v="FI Update des ZFBDT der Ratenzahler"/>
        <s v="Aktualisierung Tabelle ZFI_INKO_COCKPIT,ZFI_INKO_COCKPI2 für Zahlung"/>
        <s v="FI: Update Zahlungsfristenbasisidatum"/>
        <s v="Hochladen Excel in Kontierungstabellen für Migration ADAM 2.0"/>
        <s v="Hochladen Excel in IVAN-Tabellen"/>
        <s v="FI: VARTA Erzeugen Gutschriftsanzeige"/>
        <s v="FI: Varta Einlesen der Lieferscheinnr"/>
        <s v="Adressprüfung VBUND - CPD-Belege und Stammsätze"/>
        <s v="Verlagsschnittstelle SAP"/>
        <s v="Verlag Erlösumbuchung Travel House Media"/>
        <s v="Cash-Concentration: Salden nach Valutadatum "/>
        <s v="Auswertung Vorsteuerkorrektur nach X-Schlüsseln, aus RE-FX und HAC"/>
        <s v="Tabellenpflege ZFI_M_ZZVKV  Beleganzeige incl. Vorsteuerkorrekturbeleg"/>
        <s v="Monatliche Abstimmung Vorsteuerkorrektur"/>
        <s v="VST-Korrektur   / Postenanzeige  mit VST-Korrektur"/>
        <s v="VST-Korrektur Beleganzeige mit Korrekturbeleg"/>
        <s v="Tägliche Vorsteuerkorrektur aus der Belegdatenbank"/>
        <s v="Erzeugung Schleifenbuchung für VTE (BuKrs 1000) "/>
        <s v="AVM:Wohnmobile:Zuordnung:Anzahlungen"/>
        <s v="Auswertung Zahllaufdaten - nach Kontengruppen"/>
        <s v="Prüfliste Zahllauf - Betragsauswertung"/>
        <s v="Sicherung Zahllaufdaten"/>
        <s v="Zahlungsliste: Zahlläufe nach Vorsystemen"/>
        <s v="Zahlungsmitteilungen"/>
        <s v="Zahlverhalten - ALV"/>
        <s v="Zahlverhalten - Selektion"/>
        <s v="Durchschn. Zahlverhalten: Rahmenprogramm"/>
        <s v="Durchschnittliches Zahlverhalten: Neurechnen Kunde"/>
        <s v="Programm Z_I_ZF140_CASH"/>
        <s v="Prüfen Mahn-/Zahlläufe -&gt; Zahl- Mahncockpit bereits übernommen und im EEA vorhanden"/>
        <s v="Cockpit für automatische Mahn-/Zahlläufe"/>
        <s v="automatisiertem Zahllauf - Jobs, Events, Variablen"/>
        <s v="Zahlläufe deaktivieren"/>
        <s v="Mahn/Zahllauf - Löschprogramm"/>
        <s v="Füllen der Zahllauf-Steuertabelle mit Daten"/>
        <s v="Zahllauf-Steuerung initalisieren"/>
        <s v="Mahn- und Zahllauf-Kalender"/>
        <s v="scheduler für Zahlläufe"/>
        <s v="X-Schlüssel Vergleichsliste  IM-Auftrag und des anford. CO-Objektes"/>
        <s v="Freigabe von Maßnahmenanforderungen"/>
        <s v="Import von Maßnahmenanforderungen - EXCEL-Datei"/>
        <s v="Pflege des anfordernden CO-Objekt und X-Schlüsssel im IM-Auftrag"/>
        <s v="bestellungen auswerten"/>
        <s v="Freie Artikelnummern ermitteln"/>
        <s v="Einkauf Mercateo Bestellung anlegen"/>
        <s v="Bestell-Auswertung"/>
        <s v="Einkauf Mercateo Bestellungen ergänzen (Mapping durchführen)"/>
        <s v="ZEK Bestellungen Stammdaten (Kst, IA) export"/>
        <s v="ZEK Mercateo Kostenarten-Export"/>
        <s v="Mercateo-Bestellungen: Fachbereichsfreigabe prüfen"/>
        <s v="Mercateo Kontenfindung Analyse"/>
        <s v="Bestell-Schnittststelle, Bestellungs-Liste"/>
        <s v="Menü Bestell-Schnittstelle"/>
        <s v="Einkauf Mercateo Bestellungen prüfen"/>
        <s v="Einkauf Mercateo XML import"/>
        <s v="Noerpel-Artikelbestände einlesen  (Update zmm_mar1)"/>
        <s v="Containerprogramm für Erweiterungen ZMM_BESTELLDRUCK"/>
        <s v="Infosätze Lösch-Kz. setzen(für Reorg), Lieferant bereits reorganisiert"/>
        <s v="Einkaufssegment für Kreditor anlegen"/>
        <s v="MM Einkaufsinfosätze kopieren"/>
        <s v="Intrastatmeldungen für Einkäufe"/>
        <s v="Inventur-Bewertungsliste"/>
        <s v="Programm ZMM_INVBEW_BIP"/>
        <s v="Inventur-Differenzen auswerten (mit Vergleich zum Vorjahr)"/>
        <s v="ZMM_LAG: Lagerauskunft"/>
        <s v="Verbrauchswerte zum akt. Jahr und zu Vorjahren anzeigen"/>
        <s v="LPS: Lagerstammdaten Übersicht"/>
        <s v="LPS: Stellplätze Stammdaten / Übersicht"/>
        <s v="LPS: Artikel Stammdaten / Bestände"/>
        <s v="LPS: Artikel-Bewegungen"/>
        <s v="LPS: Tages-Protokoll / Artikel-Bewegungen"/>
        <s v="Lagergeld Abrechnung über CO"/>
        <s v="LPS: Reorganisiation"/>
        <s v="LPS: Artikel-Analyse  (Umschlags-Häufigkeit)"/>
        <s v="LPS: Bewegungs-Analyse"/>
        <s v="LPS: Artikel-Analyse (Mengen-Analyse)"/>
        <s v="LPS: Druck-Programm"/>
        <s v="LPS: Hauptprogramm"/>
        <s v="zmm_mar1: Änderungsbelege"/>
        <s v="Bestandsdifferenz-Historie anzeigen"/>
        <s v="Material-Stamm Änderungs-Belege ausgeben"/>
        <s v="Material-Stamm-Reorg (incl. Infosätze + Orderbuch)"/>
        <s v="Inventur: Zählmengen erfasen"/>
        <s v="Inventurbeleg erstellen  (Vorselektion für mi31)"/>
        <s v="Materialstammpfege: Festlegung der Regeln"/>
        <s v="ADAC-Material anlegen"/>
        <s v="Material-Verzeichnis"/>
        <s v="Kreditorenstammsatz Einkaufssicht kopieren"/>
        <s v="MM-Rg.Schnittst, Änderungs-Belege schreiben, lesen"/>
        <s v="MM-Rg.Schnittst, Rechnung buchen (MIRO)"/>
        <s v="MM-Rg.Schnittst, Datei-Import"/>
        <s v="MM-Rg.Schnittst, Rechnungs-Liste"/>
        <s v="MM-Rg.Schnittst, MAIL-Benachrichtigung"/>
        <s v="Menü MM-Rechnungs-Schnittstelle"/>
        <s v="MM-Rg.Schnittst, Rechnung prüfen gegen Bestellung"/>
        <s v="Gesperrte Rechnungen freigeben"/>
        <s v="STBW-Artikel auf Bew.-Klasse, Preissteuerung &quot;S&quot; und Preis &quot;0&quot; prüfen"/>
        <s v="WE-Buchung für interne Druckerzeugnisse"/>
        <s v="Werbeprämien-Bestände, Verbräuche, Bestellungen"/>
        <s v="user exit"/>
        <s v="PwC extract tool"/>
        <s v="BSID-IMKEY clearen  (falls WE nicht von RE nach RE-FX migriert wurde)"/>
        <s v="Programm ZRE_DRUCK_CONTAINER"/>
        <s v="HDV-Menü RE-FX"/>
        <s v="RE:  Mieterstamm-Blatt RE-FX"/>
        <s v="RE:  Objekt-Stammblatt RE-FX"/>
        <s v="RE-FX: Pflege Datums-Werte f. Miete / Leerstand  STVARV"/>
        <s v="Exit routines for Rules: Belegsubstitutionen"/>
        <s v="Inkonsitenzenbearbeitung von KNA1/LFA1 mit ADRC (Snote 186910)"/>
        <s v="Tabelle ZSBBSS_TBTCO_HOCHSETZEN Joblaufdatum hochsetzen"/>
        <s v="Tabelle ZSBBSS_TBTCS_HOCHSETZEN Joblaufdatum hochsetzen"/>
        <s v="Tabelle ZSBBSS_TPRI_PAR_LOESCHEN PRIMM löschen"/>
        <s v="ALV_Gruppen anlegen  (temporärer Report)"/>
        <s v="Aufträge im Rückstand"/>
        <s v="Aufträge zu Material"/>
        <s v="Bestandsumbuchung Touring -&gt; ADAC Medien und Reise GmbH"/>
        <s v="SD: VK12-Konditionen, Löschkz. nach Mat-Reorg setzen"/>
        <s v="Intrastatmeldungen für Verkäufe"/>
        <s v="Programm ZSD_ETM_SWA_TERMINAL_UPLOAD"/>
        <s v="Copy Konditionen (Preise migrieren)"/>
        <s v="SD-Kunden-Verzeichnis"/>
        <s v="Kapazitätsliste, Kommissonierliste, Abgleich Außenlager &gt; Zentrale"/>
        <s v="Kommissionsliste Vignetten"/>
        <s v="Starten Lieferschein-Erstellg (RVV50R10C) mit Variante pro Wochentag"/>
        <s v="Logistik Einstiegsmenü"/>
        <s v="Löschprogramm: ZSD_LRG"/>
        <s v="Archivanzeige: ZSD_LRG"/>
        <s v="Archiv-Schreibprogramm ... ZSD_LRG"/>
        <s v="Check LRG Einsatznummern extern"/>
        <s v="Check LRG Einsatznummern intern"/>
        <s v="Maschineller Datenaustausch:Erzeugen Nachrichten Inhouse-Format"/>
        <s v="Auswertung:DFÜ-Einsätze"/>
        <s v="Auswertung Kassen und Datenannahmestellen"/>
        <s v="Offene Posten Luftrettung"/>
        <s v="LRG: Übernahme der Abrechnungen von LIKS (XD01, VA01)"/>
        <s v="LRG: Abrechnung im Dialog  (VA01, VF01)"/>
        <s v="LRG: Entwicklung einer Abrechnung"/>
        <s v="LRG: Fällige Fakturen erzeugen (VF01)"/>
        <s v="LRG: Kostenträger von LIKS übernehmen (XD01)"/>
        <s v="LRG: Monatsliste:"/>
        <s v="LRG: Einstiegsmenü"/>
        <s v="LRG: Nachfaktura"/>
        <s v="LRG: Pflege der Preislisten"/>
        <s v="Luftrettung Druckprogramm Rechnung"/>
        <s v="LRG: Statistiken"/>
        <s v="SD: Adminauswertung Manuelle Ausgangsrechnungen"/>
        <s v="MAR: AV + Rechnungslisten"/>
        <s v="MAR: Beleghistorie zu Entwurf"/>
        <s v="Manuelle Ausgangsrechnungen: Druckprogramm"/>
        <s v="MAR: Fehlende FI-Überleitungen"/>
        <s v="SD-MAR: Import-Schnittstelle für Ausgangsrechnungen"/>
        <s v="MAR User-Statistik"/>
        <s v="MAR: Artikelpflege + Produkthierarchie"/>
        <s v="Menüs für Manuelle Ausgangsrechnungen"/>
        <s v="MAR: Erfassen und Bearbeiten der Rechnungen"/>
        <s v="MAR: Arbeitsvorrat für den Fachbereich"/>
        <s v="Programm ZSD_MM_RE_STATISTIK"/>
        <s v="Update der Datei NAST für Lieferscheine und Rechnungen"/>
        <s v="Rechnungen archivieren"/>
        <s v="Programm ZSD_NAST_MAR   (Update ZMR2+ZMR5-Sätze)"/>
        <s v="Tabelle zsd_shokun mit Kundensätzen versorgen"/>
        <s v="Abwicklung von Lieferungen + Retouren mit Seriennummern-Produkten"/>
        <s v="Serien-Nummern importieren (vom Komissionier-Dienstleister)"/>
        <s v="Seriennummern: Reorganisation des Nummernbuchs"/>
        <s v="Seriennummern: Nummernbuch"/>
        <s v="Export Shop-Stammdaten"/>
        <s v="SD Shop: Update  ZSD_SHOSTA2,  Schreiben Status-Datei"/>
        <s v="Import IntraShop-Aufträge"/>
        <s v="Programm ZSD_SHOKUN_MM - ContainerProgramm Materialentahmeschein"/>
        <s v="Shop-Statistik"/>
        <s v="Ausdruck von SD-Dokumenten aus Spool-Datasets"/>
        <s v="Stammdatenanlage SWA-Fahrer (Daten aus Personalsystem)"/>
        <s v="Anzeigen Bestellungen"/>
        <s v="Bestell-Daten über EDI austauschen (Inhouse-Format erstellen)"/>
        <s v="Bestellungen und Wareneingänge"/>
        <s v="SWA-Vertrieb: Bestandsliste"/>
        <s v="SWA Umgliederung Bestand-Migration"/>
        <s v="FUA-Batterieservice: Materialbewegungen anzeigen"/>
        <s v="SWA-Vertrieb: Modulpool für diverse Dialoge"/>
        <s v="Programm ZSD_SWA_DOWNLOAD_LAGERORTE"/>
        <s v="Auswertungsreport: Entsorgung von Altbatterien"/>
        <s v="SWA Batterieservice: Inventurdaten erfassen"/>
        <s v="SWA: Batterie+Ersatzeil-Service: Inventurliste + Korrekturbuchungen"/>
        <s v="Auswertung MEMO-Felder"/>
        <s v="Batterieservice Lagerabgang verbuchen"/>
        <s v="Lagerabgang - Eigenbedarf - Absprung in Verkauf"/>
        <s v="Programm ZSD_SWA_LISTELAGAB - Liste Lagerabgäng"/>
        <s v="ZSD_SWA_MEMOFAHRER - Auswertung"/>
        <s v="Report ZSD_SWA_MEMONYM"/>
        <s v="Batterielager - Übernahme Min-Max-Bestände"/>
        <s v="SWA Umgliederung Partnerstammsatz-Migration"/>
        <s v="SWA Umgliederung Preis-Migration"/>
        <s v="SWA-Vertrieb: Handlingsabrechnung"/>
        <s v="Fahrer-Übersicht"/>
        <s v="Löschprogramm: ZSD_SWAT_TR_AKT"/>
        <s v="Archivanzeige: ZSD_SWAT_TR_AKT"/>
        <s v="Archiv-Schreibprogramm ... ZSD_SWAT_TR_AKT"/>
        <s v="zsd_swa_verbuchen_best"/>
        <s v="FUA-Batterieservice: Verkäufe anzeigen"/>
        <s v="Darstellung der Verkäufe je Abrechnungsnummer"/>
        <s v="SWA-Vertrieb: Nachbuchen von unvollständigen Aufträgen"/>
        <s v="ZSD_SWAT_TR_AKT reparieren"/>
        <s v="Terminal Tabellenprüfung"/>
        <s v="Prüfung Terminalbelege"/>
        <s v="Terminal zentrales Einleseprogramm"/>
        <s v="SD: Tabellen-Reorg"/>
        <s v="TOL: Kreditoren autom. zu Debitoren-Stammsatz anlegen"/>
        <s v="Verkaufstellen-Abrechnungen"/>
        <s v="Bestandsdifferenzen bei den Verkaufsstellen"/>
        <s v="Einstiegsmenü"/>
        <s v="Bestandsliste"/>
        <s v="TOL: Ermittlung optimaler Bestellmengen"/>
        <s v="Bestandsentwicklung bei den Verkaufsstellen"/>
        <s v="Verkaufsstellenliste"/>
        <s v="Übernahme der Daten von ARIS (Geschäftsstellen)"/>
        <s v="Übernahme der Videomaut-Daten"/>
        <s v="Übername der Videomaut-Einzelsätze in die VTP-Abrechnung"/>
        <s v="Abgleich Videomaut mit den von Gauen gemeldeten Mengen"/>
        <s v="Gezieltes Löschen von Import-Daten Videomaut"/>
        <s v="ADAC-Summen der verkauften Produkte"/>
        <s v="Umsetzen der Abrechnungsperiode"/>
        <s v="Verkaufs-Summen pro Kunde"/>
        <s v="Pflege der Artikellistung"/>
        <s v="Pflege der Preise und Provisionen  (VK12)"/>
        <s v="Produkt-Verkaufsliste"/>
        <s v="Abrechnung drucken und verbuchen:  VA01, VL01N, VF01, FB01"/>
        <s v="Umbuchung der Gau-Forderungen"/>
        <s v="TOLA Provisions-Gutschrift - Belegdaten für den Druck exportieren"/>
        <s v="Umbuchung von Beständen"/>
        <s v="Zurücksetzen des Buchungsstatus von ZSD_TOL"/>
        <s v="Vertragspartner-Abrechnung (FB01)"/>
        <s v="Tourset-BI,  Export Rechnungs-Daten (Vertriebsweg 30)"/>
        <s v="Tourset Verbrauchsprognose und Reichenweitenberechnung"/>
        <s v="Debitoren kopieren aus Ref.-VKORG nach  Buchungskreis 2900"/>
        <s v="VST-Menü ALV-Liste (vom Fachbereiche einstellbar)"/>
        <s v="ZSD_VSTABR:  VST-Monatsabrechnungen"/>
        <s v="Erst-Ausstattung VST (VA01)"/>
        <s v="Touristik Einstiegsmenü -&gt; Volker Niemann fragen"/>
        <s v="Ausgabe Lieferschein-Adressen für Waage,  Import Versand-Status"/>
        <s v="SWA-Kommunikationsplattform:Datenabzug SAP für WaWi-Server"/>
        <s v="Umschuesseln Fahrer: Integrationstest Versorg. Warenwirtschaftsserver"/>
        <s v="SD-Aufträge für Werbeprämien (TA: VA01)"/>
        <s v="Werbeprämien Rückstandsliste"/>
        <s v="Werbeprämien-Lieferungen"/>
        <s v="Übernahme Aufträge aus Access-Datenbank"/>
        <s v="Automatic checks and solution for most frequent issues in table loggin"/>
        <s v="Zahlungsplan"/>
        <s v="LQPL Transfer FDES to Forecast "/>
        <s v="Abgleich Bankkontenauszug-Avise"/>
        <s v="LQPL Transfer FDES to Forecast"/>
        <s v="Laden der Barwerttabelle"/>
        <s v="TRM: Abgleich Original- und Spiegelgeschäft"/>
        <s v="Texte der kundenspezifischen Selektionsfelder in VIM Analytics"/>
        <s v="Anpassung der ArchivID in der OAC3"/>
      </sharedItems>
    </cacheField>
  </cacheFields>
  <extLst>
    <ext xmlns:x14="http://schemas.microsoft.com/office/spreadsheetml/2009/9/main" uri="{725AE2AE-9491-48be-B2B4-4EB974FC3084}">
      <x14:pivotCacheDefinition pivotCacheId="496443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s v="Z_CLEAN_EVTTAB"/>
    <s v="Nein"/>
    <x v="0"/>
    <m/>
    <x v="0"/>
    <x v="0"/>
    <x v="0"/>
    <m/>
    <m/>
    <s v="Hilfsprogramm zur Bereinigung Inkonsistenzen in Jobtabelle BTCEVTJOB"/>
  </r>
  <r>
    <s v="Z_IDOC_STATUS_SET"/>
    <s v="Nein"/>
    <x v="1"/>
    <m/>
    <x v="0"/>
    <x v="1"/>
    <x v="1"/>
    <m/>
    <m/>
    <s v="Idoc Status auf erledigt setzen (nur BuKrs 1000)"/>
  </r>
  <r>
    <s v="Z_INFO_PRICING_SERVICES_USER"/>
    <s v="Nein"/>
    <x v="0"/>
    <m/>
    <x v="0"/>
    <x v="0"/>
    <x v="0"/>
    <m/>
    <m/>
    <s v="Z_INFO_PRICING_SERVICES_USER lt. SAP Hinweis 1786263"/>
  </r>
  <r>
    <s v="Z_REPAIR_ADRNR_1"/>
    <s v="Nein"/>
    <x v="0"/>
    <m/>
    <x v="0"/>
    <x v="0"/>
    <x v="0"/>
    <m/>
    <m/>
    <s v="Reparatur der Adressinkonsistenz in Tabelle VBPA und KNA1"/>
  </r>
  <r>
    <s v="Z_SAPMZSWA"/>
    <s v="Nein"/>
    <x v="1"/>
    <m/>
    <x v="0"/>
    <x v="2"/>
    <x v="1"/>
    <m/>
    <m/>
    <s v="Programm SAPMZSWA - Batterieservice"/>
  </r>
  <r>
    <s v="Z_SAPMZSWA_MENUE"/>
    <s v="Nein"/>
    <x v="1"/>
    <m/>
    <x v="0"/>
    <x v="2"/>
    <x v="1"/>
    <m/>
    <m/>
    <s v="Menü Batterieservice"/>
  </r>
  <r>
    <s v="Z_SAPMZSWAT"/>
    <s v="Nein"/>
    <x v="1"/>
    <m/>
    <x v="0"/>
    <x v="2"/>
    <x v="1"/>
    <m/>
    <m/>
    <s v="Modulpool: Elektronisches Bezahlen SWA-Terminal (Straßenwacht)"/>
  </r>
  <r>
    <s v="Z0SAP_12"/>
    <s v="Nein"/>
    <x v="0"/>
    <m/>
    <x v="0"/>
    <x v="0"/>
    <x v="0"/>
    <m/>
    <m/>
    <s v="Datendatei-View: Geplante Abschreibungen auf Anlagen"/>
  </r>
  <r>
    <s v="ZAA_ANLAGENTR_COPY_LANGTEXT"/>
    <s v="Nein"/>
    <x v="0"/>
    <m/>
    <x v="0"/>
    <x v="0"/>
    <x v="0"/>
    <m/>
    <m/>
    <s v="Anlagentransfer Langtexte kopieren"/>
  </r>
  <r>
    <s v="ZAA_ANLAGENTRANSFER"/>
    <s v="Nein"/>
    <x v="0"/>
    <m/>
    <x v="0"/>
    <x v="0"/>
    <x v="0"/>
    <m/>
    <m/>
    <s v="Anlagentransfer"/>
  </r>
  <r>
    <s v="ZAA_CO_KONTIERUNG"/>
    <s v="Nein"/>
    <x v="0"/>
    <m/>
    <x v="0"/>
    <x v="0"/>
    <x v="0"/>
    <m/>
    <m/>
    <s v="Änderung von Innenaufträgen/Kostenstellen in Anlagen"/>
  </r>
  <r>
    <s v="ZAA_INVE01"/>
    <s v="Nein"/>
    <x v="0"/>
    <m/>
    <x v="0"/>
    <x v="0"/>
    <x v="0"/>
    <m/>
    <m/>
    <s v="Inventurliste nach Anlagennummern / Anlagentext"/>
  </r>
  <r>
    <s v="ZAA_INVE06"/>
    <s v="Nein"/>
    <x v="0"/>
    <m/>
    <x v="0"/>
    <x v="0"/>
    <x v="0"/>
    <m/>
    <m/>
    <s v="Inventurliste nach Anlagennummern / Anlagentext"/>
  </r>
  <r>
    <s v="ZAA_INVE07"/>
    <s v="Nein"/>
    <x v="0"/>
    <m/>
    <x v="0"/>
    <x v="0"/>
    <x v="0"/>
    <m/>
    <m/>
    <s v="Inventurliste nach Kostenrechnungsobjekten"/>
  </r>
  <r>
    <s v="ZAA_MASS_DOWN"/>
    <s v="Nein"/>
    <x v="0"/>
    <s v="DEV-002"/>
    <x v="0"/>
    <x v="0"/>
    <x v="0"/>
    <m/>
    <m/>
    <s v="Anlagenstamm Massenänderung: Download"/>
  </r>
  <r>
    <s v="ZAA_MASS_UP"/>
    <s v="Nein"/>
    <x v="0"/>
    <s v="DEV-002"/>
    <x v="0"/>
    <x v="0"/>
    <x v="0"/>
    <m/>
    <m/>
    <s v="Massenänderung Anlagenstamm: Upload CSV-Datei"/>
  </r>
  <r>
    <s v="ZAA_RAHIST01"/>
    <s v="Nein"/>
    <x v="0"/>
    <m/>
    <x v="0"/>
    <x v="0"/>
    <x v="0"/>
    <m/>
    <m/>
    <s v="Anlagenhistorie"/>
  </r>
  <r>
    <s v="ZAA_RAPOST2010"/>
    <s v="Nein"/>
    <x v="0"/>
    <m/>
    <x v="0"/>
    <x v="0"/>
    <x v="0"/>
    <m/>
    <m/>
    <s v="Buchen der Abschreibungen"/>
  </r>
  <r>
    <s v="ZAA_STAMMDAT_ALV"/>
    <s v="Nein"/>
    <x v="0"/>
    <s v="DEV-002"/>
    <x v="0"/>
    <x v="0"/>
    <x v="0"/>
    <m/>
    <m/>
    <s v="Stammdaten-Auswertung ALV-Liste ( mehrzeilig )"/>
  </r>
  <r>
    <s v="ZACAC_DATA_TRANSFER"/>
    <s v="Ja"/>
    <x v="1"/>
    <s v="DEV-150"/>
    <x v="1"/>
    <x v="0"/>
    <x v="0"/>
    <m/>
    <m/>
    <s v="Übernahme von Debitoren-/Kreditorenrechnungen in die Accrual Engine"/>
  </r>
  <r>
    <s v="ZACAC_DSITEMS"/>
    <s v="Nein"/>
    <x v="0"/>
    <m/>
    <x v="0"/>
    <x v="0"/>
    <x v="0"/>
    <m/>
    <m/>
    <s v="Anzeigen von Abgrenzungsobjekten + kd.eigene Parameter"/>
  </r>
  <r>
    <s v="ZBC_ADDR_CHECK"/>
    <s v="Nein"/>
    <x v="0"/>
    <m/>
    <x v="0"/>
    <x v="0"/>
    <x v="0"/>
    <m/>
    <m/>
    <s v="Reparaturprogramm: Prüfen Debitoren auf fehlende Adresse-Einträge in Archivierung"/>
  </r>
  <r>
    <s v="ZBC_AL_REORG_OUT"/>
    <s v="Nein"/>
    <x v="1"/>
    <m/>
    <x v="0"/>
    <x v="3"/>
    <x v="2"/>
    <m/>
    <m/>
    <s v="Archivelink Reorganisation - Erstellen Löschdatei und Tabelle für's Löschen von Sätzen in den Verknüpfungstabellen"/>
  </r>
  <r>
    <s v="ZBC_AL_REORG_RETURN"/>
    <s v="Nein"/>
    <x v="1"/>
    <m/>
    <x v="0"/>
    <x v="3"/>
    <x v="2"/>
    <m/>
    <m/>
    <s v="Archivelink Reorganisation - Rückantwort NE-Databridge"/>
  </r>
  <r>
    <s v="ZBC_AL_REORG_VTABS"/>
    <s v="Nein"/>
    <x v="1"/>
    <m/>
    <x v="0"/>
    <x v="3"/>
    <x v="2"/>
    <m/>
    <m/>
    <s v="Archivelink Reorganisation - Pflege der Verknüpfungstabellen"/>
  </r>
  <r>
    <s v="ZBC_ANONYM_ZQ1"/>
    <s v="Nein"/>
    <x v="1"/>
    <m/>
    <x v="0"/>
    <x v="3"/>
    <x v="2"/>
    <m/>
    <m/>
    <s v="Anonymisierungstool in Q Systemen"/>
  </r>
  <r>
    <s v="ZBC_BDCLOG_ALV"/>
    <s v="Nein"/>
    <x v="1"/>
    <m/>
    <x v="0"/>
    <x v="3"/>
    <x v="2"/>
    <m/>
    <m/>
    <s v="Archivierte BDC Mappenprotokolle anzeigen"/>
  </r>
  <r>
    <s v="ZBC_BDCLOG_ARCHIVE"/>
    <s v="Nein"/>
    <x v="1"/>
    <m/>
    <x v="0"/>
    <x v="3"/>
    <x v="2"/>
    <m/>
    <m/>
    <s v="BDC Mappenprotokolle archivieren"/>
  </r>
  <r>
    <s v="ZBC_BDCLOG_ARCHIVE_FIX"/>
    <s v="Nein"/>
    <x v="1"/>
    <m/>
    <x v="0"/>
    <x v="3"/>
    <x v="2"/>
    <m/>
    <m/>
    <s v="BDC Mappenprotokolle archiv Objekte importieren"/>
  </r>
  <r>
    <s v="ZBC_BELEG_VOLUME"/>
    <s v="Nein"/>
    <x v="0"/>
    <m/>
    <x v="0"/>
    <x v="0"/>
    <x v="0"/>
    <m/>
    <m/>
    <s v="Ermittlung von Beleganzahl / -wert je Buchungskreis als Basis für Verteilschlüssel SAP Systempreis Verteilung"/>
  </r>
  <r>
    <s v="ZBC_CALL_PROCEDURE"/>
    <s v="Nein"/>
    <x v="0"/>
    <m/>
    <x v="0"/>
    <x v="0"/>
    <x v="0"/>
    <m/>
    <m/>
    <s v="Aufruf einer &quot;Stored Procedure&quot; in der Berichtswesendatenbank"/>
  </r>
  <r>
    <s v="ZBC_CHECK_NRIV"/>
    <s v="Nein"/>
    <x v="1"/>
    <m/>
    <x v="0"/>
    <x v="3"/>
    <x v="2"/>
    <m/>
    <m/>
    <s v="mit diesem Programm können Nummernkreise auf Fehler geprüft werden und freie Intervalle ermittelt werden."/>
  </r>
  <r>
    <s v="ZBC_COPY_DATASET"/>
    <s v="Nein"/>
    <x v="1"/>
    <m/>
    <x v="0"/>
    <x v="3"/>
    <x v="2"/>
    <m/>
    <m/>
    <s v="Wird benötigt für ELMO für Dateiaufstellung für Netz HG105C. Es ist eine Kopie von ZFI_COPY_TEXT_DATASET ergänzt mit Archivierungsfunktionalität"/>
  </r>
  <r>
    <s v="ZBC_EVENT_RAISE"/>
    <s v="Ja"/>
    <x v="1"/>
    <m/>
    <x v="1"/>
    <x v="0"/>
    <x v="0"/>
    <m/>
    <m/>
    <s v="Auslösen eines Kundenereignisses"/>
  </r>
  <r>
    <s v="ZBC_EXCELTABUPLOAD"/>
    <s v="Nein"/>
    <x v="0"/>
    <m/>
    <x v="0"/>
    <x v="0"/>
    <x v="0"/>
    <m/>
    <m/>
    <s v="Generischer Upload von Excel-Tabellen in R/3-Tabellen"/>
  </r>
  <r>
    <s v="ZBC_F110_JOBCTRL"/>
    <s v="Nein"/>
    <x v="2"/>
    <m/>
    <x v="0"/>
    <x v="4"/>
    <x v="3"/>
    <m/>
    <s v="J. Schaut"/>
    <s v="Zahllauf Folgeverarbeitungssteuerung"/>
  </r>
  <r>
    <s v="ZBC_F110_SPOOL_UPDATE"/>
    <s v="Nein"/>
    <x v="2"/>
    <m/>
    <x v="0"/>
    <x v="4"/>
    <x v="3"/>
    <m/>
    <s v="J. Schaut"/>
    <s v="Update von Spool-Datasets (Zahllaufversion)"/>
  </r>
  <r>
    <s v="ZBC_FILE_DELETE"/>
    <s v="Ja"/>
    <x v="1"/>
    <m/>
    <x v="1"/>
    <x v="0"/>
    <x v="0"/>
    <m/>
    <m/>
    <s v="Dateienlöschung über Report ZBC_FILE_DELETE"/>
  </r>
  <r>
    <s v="ZBC_FILE_EVENT_RAISE"/>
    <s v="Ja"/>
    <x v="1"/>
    <m/>
    <x v="1"/>
    <x v="0"/>
    <x v="0"/>
    <m/>
    <m/>
    <s v="Dateieneventauslösung"/>
  </r>
  <r>
    <s v="ZBC_GET_WORKLOAD_STATISTIC"/>
    <s v="Nein"/>
    <x v="0"/>
    <m/>
    <x v="0"/>
    <x v="0"/>
    <x v="0"/>
    <m/>
    <m/>
    <s v="Download Workload Statistics"/>
  </r>
  <r>
    <s v="ZBC_JOB_ABORT"/>
    <s v="Ja"/>
    <x v="1"/>
    <m/>
    <x v="1"/>
    <x v="0"/>
    <x v="0"/>
    <m/>
    <m/>
    <s v="Job Abbrechen wenn eine Liste best. String enthält"/>
  </r>
  <r>
    <s v="ZBC_JOBCONTROL"/>
    <s v="Nein"/>
    <x v="0"/>
    <m/>
    <x v="0"/>
    <x v="0"/>
    <x v="0"/>
    <m/>
    <m/>
    <m/>
  </r>
  <r>
    <s v="ZBC_LOEVM_DEBI_KREDI"/>
    <s v="Nein"/>
    <x v="0"/>
    <m/>
    <x v="0"/>
    <x v="0"/>
    <x v="0"/>
    <m/>
    <m/>
    <s v="Programm zur Pflege der Löschvormerkung für Debitoren und Kreditoren"/>
  </r>
  <r>
    <s v="ZBC_LOEVM_DEBI_KREDI_2"/>
    <s v="Nein"/>
    <x v="0"/>
    <m/>
    <x v="0"/>
    <x v="0"/>
    <x v="0"/>
    <m/>
    <m/>
    <s v="Setzen Löschvormerkung anhand Tage ohne Buchungen"/>
  </r>
  <r>
    <s v="ZBC_LOGO_SWITCH"/>
    <s v="Nein"/>
    <x v="0"/>
    <m/>
    <x v="0"/>
    <x v="0"/>
    <x v="0"/>
    <m/>
    <s v="P. Haisch"/>
    <s v="Logo-Clicks ein/ausschalten -&gt; gehört zu OREA"/>
  </r>
  <r>
    <s v="ZBC_MAESTRO"/>
    <s v="Nein"/>
    <x v="0"/>
    <m/>
    <x v="0"/>
    <x v="0"/>
    <x v="0"/>
    <m/>
    <m/>
    <s v="ZBC_MAESTRO"/>
  </r>
  <r>
    <s v="ZBC_NACH_UPDATE_TESTSYSTEM"/>
    <s v="Nein"/>
    <x v="2"/>
    <m/>
    <x v="0"/>
    <x v="4"/>
    <x v="3"/>
    <m/>
    <s v="Basis"/>
    <s v="Update Tabelle NACH im Test-System (&quot;Sofort ausgeben&quot;, &quot;Ausgabegerät&quot;) -&gt; klären mit Arvato"/>
  </r>
  <r>
    <s v="ZBC_NOTFALLUSERAKTIEVIERUNG"/>
    <s v="Nein"/>
    <x v="0"/>
    <m/>
    <x v="0"/>
    <x v="0"/>
    <x v="0"/>
    <m/>
    <m/>
    <s v="Programm zur automatischen Userinaktivierung"/>
  </r>
  <r>
    <s v="ZBC_OREA_COA"/>
    <s v="Ja"/>
    <x v="1"/>
    <s v="DEV-105"/>
    <x v="1"/>
    <x v="0"/>
    <x v="0"/>
    <m/>
    <m/>
    <s v="Füllen der COA-Tabellen"/>
  </r>
  <r>
    <s v="ZBC_OREA_COA_NACHVERARBEITUNG"/>
    <s v="Ja"/>
    <x v="1"/>
    <m/>
    <x v="1"/>
    <x v="0"/>
    <x v="0"/>
    <m/>
    <m/>
    <s v="Nachverarbeitung der Freigabehierarchie"/>
  </r>
  <r>
    <s v="ZBC_OREA_COA_TEST"/>
    <s v="Nein"/>
    <x v="0"/>
    <m/>
    <x v="0"/>
    <x v="0"/>
    <x v="0"/>
    <m/>
    <s v="P. Haisch"/>
    <s v="Testutils -&gt; OREA "/>
  </r>
  <r>
    <s v="ZBC_OREA_COA_USER_LOESCHEN"/>
    <s v="Nein"/>
    <x v="2"/>
    <m/>
    <x v="0"/>
    <x v="4"/>
    <x v="3"/>
    <m/>
    <s v="A. Gaida / R. Schildberger"/>
    <s v="Löschen von einzelnen Usern aus der COA"/>
  </r>
  <r>
    <s v="ZBC_OREA_FREIGEBER_TEST"/>
    <s v="Nein"/>
    <x v="1"/>
    <s v="DEV-105"/>
    <x v="1"/>
    <x v="0"/>
    <x v="0"/>
    <m/>
    <m/>
    <s v="Test des Freigeberfunktionsbausteins"/>
  </r>
  <r>
    <s v="ZBC_SET_TVARVC"/>
    <s v="Ja"/>
    <x v="1"/>
    <m/>
    <x v="1"/>
    <x v="0"/>
    <x v="0"/>
    <m/>
    <m/>
    <s v="Parameter in TVARVC belegen und updaten"/>
  </r>
  <r>
    <s v="ZBC_SPERR_STAMM_DS"/>
    <s v="Nein"/>
    <x v="0"/>
    <m/>
    <x v="0"/>
    <x v="0"/>
    <x v="0"/>
    <m/>
    <m/>
    <s v="Datenschutz: Pflege Berechtigungsgruppe im Stammsatz"/>
  </r>
  <r>
    <s v="ZBC_SPOOL_ARCHIV"/>
    <s v="Ja"/>
    <x v="1"/>
    <m/>
    <x v="1"/>
    <x v="0"/>
    <x v="0"/>
    <m/>
    <m/>
    <s v="Drucklistenarchivierung"/>
  </r>
  <r>
    <s v="ZBC_SPOOL_OUTPUT"/>
    <s v="Ja"/>
    <x v="1"/>
    <m/>
    <x v="1"/>
    <x v="0"/>
    <x v="0"/>
    <m/>
    <m/>
    <s v="Zusätzliches Ausgeben / Senden von Spoollisten"/>
  </r>
  <r>
    <s v="ZBC_SPOOL_PCOUNT"/>
    <s v="Nein"/>
    <x v="1"/>
    <m/>
    <x v="0"/>
    <x v="3"/>
    <x v="2"/>
    <m/>
    <m/>
    <s v="Ermittlung Seitenanzahl und Ausgabe von Spool-Datasets"/>
  </r>
  <r>
    <s v="ZBC_ST03N"/>
    <s v="Nein"/>
    <x v="0"/>
    <m/>
    <x v="0"/>
    <x v="0"/>
    <x v="0"/>
    <m/>
    <m/>
    <s v="Auswertung Systemlast"/>
  </r>
  <r>
    <s v="ZBC_TAB_EXPIMP"/>
    <s v="Ja"/>
    <x v="1"/>
    <m/>
    <x v="1"/>
    <x v="0"/>
    <x v="0"/>
    <m/>
    <m/>
    <s v="ZBC_TAB_EXPIMP Tabellen Exportieren/Importieren"/>
  </r>
  <r>
    <s v="ZBC_TABELLEN_TRANSFER"/>
    <s v="Nein"/>
    <x v="0"/>
    <m/>
    <x v="0"/>
    <x v="0"/>
    <x v="0"/>
    <m/>
    <m/>
    <s v="Programm ZBC_TABELLEN_TRANSFER"/>
  </r>
  <r>
    <s v="ZBC_USERINAKTIVIERUNG"/>
    <s v="Nein"/>
    <x v="1"/>
    <s v="DEV-084"/>
    <x v="1"/>
    <x v="0"/>
    <x v="0"/>
    <m/>
    <m/>
    <s v="Programm zur automatischen Userinaktivierung"/>
  </r>
  <r>
    <s v="ZBC_VARIANT_LIST"/>
    <s v="Nein"/>
    <x v="1"/>
    <m/>
    <x v="0"/>
    <x v="3"/>
    <x v="2"/>
    <m/>
    <m/>
    <s v="Reportvarianten-Scanfunktionalität"/>
  </r>
  <r>
    <s v="ZBC_VARIANT_LIST_ALV"/>
    <s v="Nein"/>
    <x v="1"/>
    <m/>
    <x v="0"/>
    <x v="3"/>
    <x v="2"/>
    <m/>
    <m/>
    <s v="Reportvarianten-Scanfunktionalität"/>
  </r>
  <r>
    <s v="ZBC_ZEMAREP_FRGREORG"/>
    <s v="Nein"/>
    <x v="1"/>
    <s v="DEV-084"/>
    <x v="1"/>
    <x v="0"/>
    <x v="0"/>
    <m/>
    <m/>
    <s v="Reorg Tabelle ZBC_ZEMAREP_FRG"/>
  </r>
  <r>
    <s v="ZBC_ZEMAREP_GET"/>
    <s v="Ja"/>
    <x v="1"/>
    <s v="DEV-084"/>
    <x v="1"/>
    <x v="0"/>
    <x v="0"/>
    <m/>
    <m/>
    <s v="lesen zemarep"/>
  </r>
  <r>
    <s v="ZBC_ZEMAREP_USER"/>
    <s v="Ja"/>
    <x v="1"/>
    <s v="DEV-084"/>
    <x v="1"/>
    <x v="0"/>
    <x v="0"/>
    <m/>
    <m/>
    <s v="ZEMAREP User-Pflege"/>
  </r>
  <r>
    <s v="ZBC_ZEMAREP_USERCHG_REO"/>
    <s v="Ja"/>
    <x v="1"/>
    <m/>
    <x v="1"/>
    <x v="0"/>
    <x v="0"/>
    <m/>
    <m/>
    <s v="Anzeige/Löschen Tabelle ZREP_USERCHG"/>
  </r>
  <r>
    <s v="ZBC_ZEMAREP_USRGUELT"/>
    <s v="Nein"/>
    <x v="1"/>
    <s v="DEV-084"/>
    <x v="1"/>
    <x v="0"/>
    <x v="0"/>
    <m/>
    <m/>
    <s v="user gültigkeit prüfen"/>
  </r>
  <r>
    <s v="ZBC_ZRSLG_SERVERS_1692951"/>
    <s v="Nein"/>
    <x v="0"/>
    <m/>
    <x v="0"/>
    <x v="0"/>
    <x v="0"/>
    <m/>
    <m/>
    <s v="Korrekturprogramm Upgrade SNOTE 2164430"/>
  </r>
  <r>
    <s v="ZBC_ZRUTDDLSLDEL_2163340"/>
    <s v="Nein"/>
    <x v="0"/>
    <m/>
    <x v="0"/>
    <x v="0"/>
    <x v="0"/>
    <m/>
    <m/>
    <s v="Korrekturprogramm Upgrade SNOTE 2164430"/>
  </r>
  <r>
    <s v="ZCA_MAIL2"/>
    <s v="Nein"/>
    <x v="0"/>
    <m/>
    <x v="0"/>
    <x v="0"/>
    <x v="0"/>
    <m/>
    <m/>
    <s v="Globale Routinen Luftrettung"/>
  </r>
  <r>
    <s v="ZCA_MAPPCHECK"/>
    <s v="Ja"/>
    <x v="1"/>
    <m/>
    <x v="1"/>
    <x v="0"/>
    <x v="0"/>
    <m/>
    <m/>
    <s v="Mappenstatus"/>
  </r>
  <r>
    <s v="ZCA_TEST_GOS"/>
    <s v="Nein"/>
    <x v="0"/>
    <m/>
    <x v="0"/>
    <x v="0"/>
    <x v="0"/>
    <m/>
    <m/>
    <s v="Testprogramm"/>
  </r>
  <r>
    <s v="ZCA_WARTEN"/>
    <s v="Ja"/>
    <x v="1"/>
    <m/>
    <x v="1"/>
    <x v="0"/>
    <x v="0"/>
    <m/>
    <m/>
    <s v="Warten n Minuten (max. 30)"/>
  </r>
  <r>
    <s v="ZCMFIFU1"/>
    <s v="Nein"/>
    <x v="0"/>
    <m/>
    <x v="0"/>
    <x v="0"/>
    <x v="0"/>
    <m/>
    <m/>
    <s v="OSS: 156239 Report Datenaufbau Banksalden"/>
  </r>
  <r>
    <s v="ZCO_ABSTIMMUNG"/>
    <s v="Nein"/>
    <x v="0"/>
    <m/>
    <x v="0"/>
    <x v="0"/>
    <x v="0"/>
    <m/>
    <m/>
    <s v="Abstimmung Intercompany"/>
  </r>
  <r>
    <s v="ZCO_ABSTIMMUNG_ARCHIVLINK"/>
    <s v="Nein"/>
    <x v="0"/>
    <m/>
    <x v="0"/>
    <x v="0"/>
    <x v="0"/>
    <m/>
    <m/>
    <s v="FI: Archiv_Link_Rechnungsbeleg: FI-Rechnungsdruck"/>
  </r>
  <r>
    <s v="ZCO_ABSTIMMUNG_PRUEFUNG"/>
    <s v="Nein"/>
    <x v="0"/>
    <m/>
    <x v="0"/>
    <x v="0"/>
    <x v="0"/>
    <m/>
    <m/>
    <s v="Prüfung der CO/FI-Abstimmung"/>
  </r>
  <r>
    <s v="ZCO_ABZUG_KSTPROJEKT_UMSETZUNG"/>
    <s v="Nein"/>
    <x v="0"/>
    <s v="DEV-109"/>
    <x v="0"/>
    <x v="0"/>
    <x v="0"/>
    <m/>
    <m/>
    <s v="Programm ZCO_ABZUG_KSTPROJEKT_UMSETZUNG"/>
  </r>
  <r>
    <s v="ZCO_AVM_DATENABZUG"/>
    <s v="Nein"/>
    <x v="0"/>
    <s v="DEV-110"/>
    <x v="0"/>
    <x v="0"/>
    <x v="0"/>
    <m/>
    <m/>
    <s v="Kostenarten- / Profitcenter-Datenabzug"/>
  </r>
  <r>
    <s v="ZCO_BEWEGUNGSDATEN_ERGRE"/>
    <s v="Nein"/>
    <x v="0"/>
    <m/>
    <x v="0"/>
    <x v="0"/>
    <x v="0"/>
    <m/>
    <m/>
    <s v="Initialization und At Selection Screen"/>
  </r>
  <r>
    <s v="ZCO_DATENABZUG_PCA"/>
    <s v="Nein"/>
    <x v="0"/>
    <m/>
    <x v="0"/>
    <x v="0"/>
    <x v="0"/>
    <m/>
    <m/>
    <m/>
  </r>
  <r>
    <s v="ZCO_DRUCKER_SPOOL"/>
    <s v="Nein"/>
    <x v="0"/>
    <s v="DEV-111"/>
    <x v="0"/>
    <x v="0"/>
    <x v="0"/>
    <m/>
    <m/>
    <m/>
  </r>
  <r>
    <s v="ZCO_ERGEBNISRECHNUNG"/>
    <s v="Nein"/>
    <x v="0"/>
    <m/>
    <x v="0"/>
    <x v="0"/>
    <x v="0"/>
    <m/>
    <m/>
    <s v="Datenabzug Controlling für die Ergebnisrechnung"/>
  </r>
  <r>
    <s v="ZCO_HIERARCHIEPRUEFUNG"/>
    <s v="Nein"/>
    <x v="0"/>
    <m/>
    <x v="0"/>
    <x v="0"/>
    <x v="0"/>
    <m/>
    <m/>
    <s v="Programm ZCO_HIERARCHIEPRUEFUNG"/>
  </r>
  <r>
    <s v="ZCO_IA_ABRECHNUNGSSCHEMA"/>
    <s v="Nein"/>
    <x v="0"/>
    <m/>
    <x v="0"/>
    <x v="0"/>
    <x v="0"/>
    <m/>
    <m/>
    <s v="Abrechnungsschema in vorhandenen Aufträgen aktualisieren"/>
  </r>
  <r>
    <s v="ZCO_ILV_AUSWERT"/>
    <s v="Nein"/>
    <x v="0"/>
    <m/>
    <x v="0"/>
    <x v="0"/>
    <x v="0"/>
    <m/>
    <m/>
    <s v="Abstimmung SAPCO mit Sachkonten ILV aus SAP-FI"/>
  </r>
  <r>
    <s v="ZCO_ILV_AUTOMABHAK"/>
    <s v="Nein"/>
    <x v="0"/>
    <m/>
    <x v="0"/>
    <x v="0"/>
    <x v="0"/>
    <m/>
    <m/>
    <s v="Programm ZCO_ILV_AUTOMABHAK"/>
  </r>
  <r>
    <s v="ZCO_ILV_FI"/>
    <s v="Nein"/>
    <x v="0"/>
    <m/>
    <x v="0"/>
    <x v="0"/>
    <x v="0"/>
    <m/>
    <m/>
    <s v="Auswertung FI-Buchungen für ILV"/>
  </r>
  <r>
    <s v="ZCO_ILV_KENNZAHL"/>
    <s v="Nein"/>
    <x v="0"/>
    <m/>
    <x v="0"/>
    <x v="0"/>
    <x v="0"/>
    <m/>
    <m/>
    <s v="Programm ZCO_ILV_KENNZAHLEN"/>
  </r>
  <r>
    <s v="ZCO_ILV_KONVERT"/>
    <s v="Nein"/>
    <x v="0"/>
    <m/>
    <x v="0"/>
    <x v="0"/>
    <x v="0"/>
    <m/>
    <m/>
    <s v="Konvertierung ILV-Schnittstelle: Alte -&gt; Neue Struktur"/>
  </r>
  <r>
    <s v="ZCO_ILV_LIZENZVERRECHNUNG"/>
    <s v="Nein"/>
    <x v="0"/>
    <m/>
    <x v="0"/>
    <x v="0"/>
    <x v="0"/>
    <m/>
    <m/>
    <m/>
  </r>
  <r>
    <s v="ZCO_ILV_PCDATEIUEBERNAHME"/>
    <s v="Nein"/>
    <x v="0"/>
    <m/>
    <x v="0"/>
    <x v="0"/>
    <x v="0"/>
    <m/>
    <m/>
    <s v="Übernahme der Dateien für die ILV"/>
  </r>
  <r>
    <s v="ZCO_ILV_POSTPROT_AKT"/>
    <s v="Nein"/>
    <x v="0"/>
    <m/>
    <x v="0"/>
    <x v="0"/>
    <x v="0"/>
    <m/>
    <m/>
    <s v="Buchungsprotokolltabelle aktualisieren"/>
  </r>
  <r>
    <s v="ZCO_ILV_SAMMLER_LOESCHEN"/>
    <s v="Nein"/>
    <x v="0"/>
    <m/>
    <x v="0"/>
    <x v="0"/>
    <x v="0"/>
    <m/>
    <m/>
    <s v="Sammeldateiloeschung"/>
  </r>
  <r>
    <s v="ZCO_ILV_STS"/>
    <s v="Nein"/>
    <x v="0"/>
    <m/>
    <x v="0"/>
    <x v="0"/>
    <x v="0"/>
    <m/>
    <m/>
    <s v="Programm ZCO_ILV"/>
  </r>
  <r>
    <s v="ZCO_ILV_VORPROGRAMM"/>
    <s v="Nein"/>
    <x v="0"/>
    <m/>
    <x v="0"/>
    <x v="0"/>
    <x v="0"/>
    <m/>
    <m/>
    <s v="Vorprogramm zur ILV"/>
  </r>
  <r>
    <s v="ZCO_KALC_DRUCK"/>
    <s v="Nein"/>
    <x v="0"/>
    <m/>
    <x v="0"/>
    <x v="0"/>
    <x v="0"/>
    <m/>
    <m/>
    <s v="KALC FI Belegdaten für den Druck exportieren"/>
  </r>
  <r>
    <s v="ZCO_KENNZAHLEN_ABZUG"/>
    <s v="Nein"/>
    <x v="1"/>
    <s v="DEV-157"/>
    <x v="1"/>
    <x v="0"/>
    <x v="0"/>
    <m/>
    <m/>
    <s v="Kennzahlen Abzug (Export)"/>
  </r>
  <r>
    <s v="ZCO_KENNZAHLEN_IMPORT"/>
    <s v="Ja"/>
    <x v="1"/>
    <s v="DEV-157"/>
    <x v="1"/>
    <x v="0"/>
    <x v="0"/>
    <m/>
    <m/>
    <s v="Kennzahlen Istschnittstelle Import"/>
  </r>
  <r>
    <s v="ZCO_KENNZAHLEN_START"/>
    <s v="Nein"/>
    <x v="0"/>
    <m/>
    <x v="0"/>
    <x v="0"/>
    <x v="0"/>
    <m/>
    <m/>
    <s v="Programm ZCO_KENNZAHLEN_START"/>
  </r>
  <r>
    <s v="ZCO_KOSTENARTEN_ERGRE"/>
    <s v="Nein"/>
    <x v="0"/>
    <m/>
    <x v="0"/>
    <x v="0"/>
    <x v="0"/>
    <m/>
    <m/>
    <s v="Kostenarten und Kostenartengruppen"/>
  </r>
  <r>
    <s v="ZCO_KOSTENSTELLENEXPORT"/>
    <s v="Nein"/>
    <x v="0"/>
    <m/>
    <x v="0"/>
    <x v="0"/>
    <x v="0"/>
    <m/>
    <m/>
    <s v="Auftrag- und Kostenstellenstammdaten: SQL-DB, TERMIKON, RACF, IBLA."/>
  </r>
  <r>
    <s v="ZCO_KSTABZUG_AVM"/>
    <s v="Nein"/>
    <x v="0"/>
    <s v="DEV-112"/>
    <x v="0"/>
    <x v="0"/>
    <x v="0"/>
    <m/>
    <m/>
    <s v="Kostenstellenabzug für AVM"/>
  </r>
  <r>
    <s v="ZCO_KSTABZUG_LOGA"/>
    <s v="Nein"/>
    <x v="0"/>
    <m/>
    <x v="0"/>
    <x v="0"/>
    <x v="0"/>
    <m/>
    <m/>
    <s v="Kostenstellenabzug für Loga"/>
  </r>
  <r>
    <s v="ZCO_KSTABZUG_LOGA_FIX"/>
    <s v="Nein"/>
    <x v="0"/>
    <m/>
    <x v="0"/>
    <x v="0"/>
    <x v="0"/>
    <m/>
    <m/>
    <s v="Kostenstellenabzug für Loga"/>
  </r>
  <r>
    <s v="ZCO_KSTABZUG_PAM"/>
    <s v="Nein"/>
    <x v="1"/>
    <s v="DEV-148"/>
    <x v="1"/>
    <x v="0"/>
    <x v="0"/>
    <m/>
    <m/>
    <s v="Kostenstellenabzug für PAM -Übergangslösung für DV-Reporting"/>
  </r>
  <r>
    <s v="ZCO_LEISTUNGSARTEN"/>
    <s v="Nein"/>
    <x v="0"/>
    <m/>
    <x v="0"/>
    <x v="0"/>
    <x v="0"/>
    <m/>
    <m/>
    <s v="Lesen Leistungsarten"/>
  </r>
  <r>
    <s v="ZCO_LEISTUNGSARTENSTAMM"/>
    <s v="Nein"/>
    <x v="1"/>
    <s v="DEV-113"/>
    <x v="1"/>
    <x v="0"/>
    <x v="0"/>
    <m/>
    <m/>
    <s v="Leistungsartenstamm"/>
  </r>
  <r>
    <s v="ZCO_PBPLAN"/>
    <s v="Nein"/>
    <x v="0"/>
    <m/>
    <x v="0"/>
    <x v="0"/>
    <x v="0"/>
    <m/>
    <m/>
    <s v="Personalplanung Planungsabzug"/>
  </r>
  <r>
    <s v="ZCO_PCAABZUG"/>
    <s v="Nein"/>
    <x v="1"/>
    <s v="DEV-114"/>
    <x v="1"/>
    <x v="0"/>
    <x v="0"/>
    <m/>
    <m/>
    <s v="Profitcenterabzug für Kostenstellen"/>
  </r>
  <r>
    <s v="ZCO_PFC_MASS_CHANGE"/>
    <s v="Nein"/>
    <x v="0"/>
    <m/>
    <x v="0"/>
    <x v="0"/>
    <x v="0"/>
    <m/>
    <m/>
    <s v="Programm ZCO_PFC_MASS_CHANGE"/>
  </r>
  <r>
    <s v="ZCO_PLANUNGSSCHNITTSTELLE"/>
    <s v="Nein"/>
    <x v="0"/>
    <s v="DEV-115"/>
    <x v="0"/>
    <x v="0"/>
    <x v="0"/>
    <m/>
    <m/>
    <s v="Programm ZCO_PLANUNGSSCHNITTSTELLE"/>
  </r>
  <r>
    <s v="ZCO_PPLEIHZEITARBEIT"/>
    <s v="Nein"/>
    <x v="0"/>
    <m/>
    <x v="0"/>
    <x v="0"/>
    <x v="0"/>
    <m/>
    <m/>
    <s v="Personalplanung Leih-/Zeitarbeit"/>
  </r>
  <r>
    <s v="ZCO_PPPLAN"/>
    <s v="Nein"/>
    <x v="0"/>
    <m/>
    <x v="0"/>
    <x v="0"/>
    <x v="0"/>
    <m/>
    <m/>
    <s v="Personalplanung Planungsabzug"/>
  </r>
  <r>
    <s v="ZCO_PPSAPDIFFERENZ"/>
    <s v="Nein"/>
    <x v="0"/>
    <m/>
    <x v="0"/>
    <x v="0"/>
    <x v="0"/>
    <m/>
    <m/>
    <s v="Abzug Personalplanung für Differenzbildung"/>
  </r>
  <r>
    <s v="ZCO_PROFICENTERANLAGE"/>
    <s v="Nein"/>
    <x v="0"/>
    <m/>
    <x v="0"/>
    <x v="0"/>
    <x v="0"/>
    <m/>
    <m/>
    <s v="Anlage von Proficentern aus der Kostenstellenrechnung"/>
  </r>
  <r>
    <s v="ZCO_PROFITCENTER"/>
    <s v="Nein"/>
    <x v="0"/>
    <m/>
    <x v="0"/>
    <x v="0"/>
    <x v="0"/>
    <m/>
    <m/>
    <s v="Profitcenter und Profitcentergruppen"/>
  </r>
  <r>
    <s v="ZCO_PRUEFUNG_STAMM_ORGA"/>
    <s v="Ja"/>
    <x v="1"/>
    <s v="DEV-084"/>
    <x v="1"/>
    <x v="0"/>
    <x v="0"/>
    <m/>
    <m/>
    <s v="Programm ZCO_PRUEFUNG_STAMM_ORGA"/>
  </r>
  <r>
    <s v="ZCO_RGGBS000"/>
    <s v="Nein"/>
    <x v="0"/>
    <m/>
    <x v="0"/>
    <x v="0"/>
    <x v="0"/>
    <m/>
    <m/>
    <s v="ZCO Exit Routinen für Substitutionen: Belegsubstitutionen"/>
  </r>
  <r>
    <s v="ZCO_SOLVENCY_PCR"/>
    <s v="Nein"/>
    <x v="0"/>
    <s v="DEV-116"/>
    <x v="0"/>
    <x v="0"/>
    <x v="0"/>
    <m/>
    <m/>
    <s v="Solvency II - Schnittstelle Profit-Center-Werte"/>
  </r>
  <r>
    <s v="ZCO_VORSTEUERKORREKTUR"/>
    <s v="Nein"/>
    <x v="0"/>
    <s v="DEV-117"/>
    <x v="0"/>
    <x v="0"/>
    <x v="0"/>
    <m/>
    <m/>
    <s v="CO Vorsteuerkorrektur"/>
  </r>
  <r>
    <s v="ZCO_ZEMAREP_KST_ABZUG"/>
    <s v="Nein"/>
    <x v="1"/>
    <s v="DEV-159"/>
    <x v="1"/>
    <x v="0"/>
    <x v="0"/>
    <m/>
    <m/>
    <s v="Programm ZCO_ZEMAREP_KST_ABZUG"/>
  </r>
  <r>
    <s v="ZCOFI_VERTRAGSVERWALTUNG_ABZUG"/>
    <s v="Ja"/>
    <x v="1"/>
    <s v="DEV-118"/>
    <x v="1"/>
    <x v="0"/>
    <x v="0"/>
    <m/>
    <m/>
    <s v="Programm ZCOFI_VERTRAGSVERWALTUNG_ABZUG"/>
  </r>
  <r>
    <s v="ZDELESDUS"/>
    <s v="Nein"/>
    <x v="0"/>
    <m/>
    <x v="0"/>
    <x v="0"/>
    <x v="0"/>
    <m/>
    <m/>
    <s v="Löschen Benutzerdaten in Tabelle ESDUS"/>
  </r>
  <r>
    <s v="ZDELESDUS_RENUM"/>
    <s v="Nein"/>
    <x v="0"/>
    <m/>
    <x v="0"/>
    <x v="0"/>
    <x v="0"/>
    <m/>
    <m/>
    <m/>
  </r>
  <r>
    <s v="ZFA_GITT01"/>
    <s v="Nein"/>
    <x v="0"/>
    <m/>
    <x v="0"/>
    <x v="0"/>
    <x v="0"/>
    <m/>
    <m/>
    <s v="Anlagengitter Sonderversion mit Verm.St.Kz"/>
  </r>
  <r>
    <s v="ZFI_AANALYZE01"/>
    <s v="Nein"/>
    <x v="0"/>
    <m/>
    <x v="0"/>
    <x v="0"/>
    <x v="0"/>
    <m/>
    <m/>
    <s v="Ermittlung fehlerhafter Kontierungsobjekte in FI/AA"/>
  </r>
  <r>
    <s v="ZFI_ABZUG_ANLA"/>
    <s v="Nein"/>
    <x v="0"/>
    <s v="DEV-001"/>
    <x v="0"/>
    <x v="0"/>
    <x v="0"/>
    <m/>
    <m/>
    <s v="Abzug von Anlagenwerten und -bewegungen"/>
  </r>
  <r>
    <s v="ZFI_ABZUG_DEBI"/>
    <s v="Nein"/>
    <x v="0"/>
    <m/>
    <x v="0"/>
    <x v="0"/>
    <x v="0"/>
    <m/>
    <m/>
    <s v="Abzug von Debitoren-Stammdaten und -Salden"/>
  </r>
  <r>
    <s v="ZFI_ABZUG_DEBKRED"/>
    <s v="Nein"/>
    <x v="0"/>
    <m/>
    <x v="0"/>
    <x v="0"/>
    <x v="0"/>
    <m/>
    <m/>
    <s v="Abzug Debitoren und Kreditoren für MDM, S/4Hana"/>
  </r>
  <r>
    <s v="ZFI_ABZUG_DEBREP"/>
    <s v="Nein"/>
    <x v="0"/>
    <m/>
    <x v="0"/>
    <x v="0"/>
    <x v="0"/>
    <m/>
    <m/>
    <s v="Abzug Export-Tabelle Debitorenreporting"/>
  </r>
  <r>
    <s v="ZFI_ABZUG_GLT3"/>
    <s v="Nein"/>
    <x v="0"/>
    <m/>
    <x v="0"/>
    <x v="0"/>
    <x v="0"/>
    <m/>
    <m/>
    <s v="Abzug von Kontensalden aus GLT3"/>
  </r>
  <r>
    <s v="ZFI_ABZUG_KRED"/>
    <s v="Nein"/>
    <x v="0"/>
    <m/>
    <x v="0"/>
    <x v="0"/>
    <x v="0"/>
    <m/>
    <m/>
    <s v="Abzug von Kreditoren-Stammdaten und -Salden"/>
  </r>
  <r>
    <s v="ZFI_ABZUG_SAKO"/>
    <s v="Nein"/>
    <x v="0"/>
    <m/>
    <x v="0"/>
    <x v="0"/>
    <x v="0"/>
    <m/>
    <m/>
    <s v="Abzug von Sachkonten-Stammdaten und -Salden"/>
  </r>
  <r>
    <s v="ZFI_ADAM_KONTENABSTIMMUNG"/>
    <s v="Nein"/>
    <x v="0"/>
    <m/>
    <x v="0"/>
    <x v="0"/>
    <x v="0"/>
    <m/>
    <m/>
    <s v="ADAM KONTENABSTIMMUNG"/>
  </r>
  <r>
    <s v="ZFI_AIRP01"/>
    <s v="Nein"/>
    <x v="0"/>
    <s v="DEV-061"/>
    <x v="0"/>
    <x v="0"/>
    <x v="0"/>
    <m/>
    <m/>
    <s v="Verbuchung AIRPLUS-Daten"/>
  </r>
  <r>
    <s v="ZFI_AL_REBHIS_DEL"/>
    <s v="Nein"/>
    <x v="1"/>
    <s v="DEV-119"/>
    <x v="1"/>
    <x v="0"/>
    <x v="0"/>
    <m/>
    <m/>
    <s v="Archivelink Reorganisation - Erstellen Löschdatei"/>
  </r>
  <r>
    <s v="ZFI_ANLA_AENDERN_INVKENNZ"/>
    <s v="Nein"/>
    <x v="0"/>
    <s v="DEV-001"/>
    <x v="0"/>
    <x v="0"/>
    <x v="0"/>
    <m/>
    <m/>
    <s v="Änderung Anlagenstammsatz: Inventurkennzeichen"/>
  </r>
  <r>
    <s v="ZFI_ANLAGENZUGANG_ATTACH"/>
    <s v="Nein"/>
    <x v="0"/>
    <m/>
    <x v="0"/>
    <x v="0"/>
    <x v="0"/>
    <m/>
    <m/>
    <s v="Anhang von Ursrungsbeleg an Anlagenzugang umhängen"/>
  </r>
  <r>
    <s v="ZFI_ANLAGENZUGANG_UPLOAD"/>
    <s v="Nein"/>
    <x v="0"/>
    <s v="DEV-103"/>
    <x v="0"/>
    <x v="0"/>
    <x v="0"/>
    <m/>
    <m/>
    <s v="Upload und Verbuchung Anlagenzugang-Daten"/>
  </r>
  <r>
    <s v="ZFI_ANZ_REISE_PBS"/>
    <s v="Ja"/>
    <x v="1"/>
    <s v="DEV-073"/>
    <x v="1"/>
    <x v="0"/>
    <x v="0"/>
    <m/>
    <m/>
    <s v="Anzahl Reisen für interne Leistungsverrechnung"/>
  </r>
  <r>
    <s v="ZFI_ARCHLINK_PARTNERBELEG"/>
    <s v="Ja"/>
    <x v="1"/>
    <s v="DEV-083"/>
    <x v="1"/>
    <x v="0"/>
    <x v="0"/>
    <m/>
    <m/>
    <s v="FI: Archiv_Link_Partnerbeleg: FI-Rechnungsdruck"/>
  </r>
  <r>
    <s v="ZFI_ARCID_FIDOCS"/>
    <s v="Ja"/>
    <x v="1"/>
    <s v="DEV-083"/>
    <x v="1"/>
    <x v="0"/>
    <x v="0"/>
    <m/>
    <m/>
    <s v="Verknüpfung FI Beleg zu Archiv-ID"/>
  </r>
  <r>
    <s v="ZFI_ARFILES_DEL"/>
    <s v="Ja"/>
    <x v="1"/>
    <s v="DEV-083"/>
    <x v="1"/>
    <x v="0"/>
    <x v="0"/>
    <m/>
    <m/>
    <s v="Archiv-Files löschen"/>
  </r>
  <r>
    <s v="ZFI_AS91_GKS"/>
    <s v="Nein"/>
    <x v="0"/>
    <m/>
    <x v="0"/>
    <x v="0"/>
    <x v="0"/>
    <m/>
    <m/>
    <s v="as91"/>
  </r>
  <r>
    <s v="ZFI_AUSBUCHUNG_PROV_REPORT"/>
    <s v="Nein"/>
    <x v="2"/>
    <m/>
    <x v="0"/>
    <x v="4"/>
    <x v="3"/>
    <m/>
    <s v="M. Demleitner"/>
    <s v="Report Ausbuchungen für Provisionsrückforderungen"/>
  </r>
  <r>
    <s v="ZFI_AUSL_BEL"/>
    <s v="Nein"/>
    <x v="1"/>
    <s v="DEV-091"/>
    <x v="0"/>
    <x v="1"/>
    <x v="1"/>
    <m/>
    <m/>
    <s v="FUA-Auslagen Belegerfassung"/>
  </r>
  <r>
    <s v="ZFI_AUSL_BEL_HIST"/>
    <s v="Nein"/>
    <x v="1"/>
    <s v="DEV-091"/>
    <x v="0"/>
    <x v="1"/>
    <x v="1"/>
    <m/>
    <m/>
    <s v="FUP-Auslagen Beleg-Historie"/>
  </r>
  <r>
    <s v="ZFI_AUSL_LISTE"/>
    <s v="Nein"/>
    <x v="1"/>
    <s v="DEV-120"/>
    <x v="0"/>
    <x v="1"/>
    <x v="1"/>
    <m/>
    <m/>
    <s v="FUA-Auslagen Listen"/>
  </r>
  <r>
    <s v="ZFI_AUSL_MENUE"/>
    <s v="Nein"/>
    <x v="1"/>
    <m/>
    <x v="0"/>
    <x v="1"/>
    <x v="1"/>
    <m/>
    <m/>
    <s v="Menü FUA Auslagen"/>
  </r>
  <r>
    <s v="ZFI_AUSUMS"/>
    <s v="Nein"/>
    <x v="0"/>
    <m/>
    <x v="0"/>
    <x v="0"/>
    <x v="0"/>
    <m/>
    <m/>
    <s v="Elektronischer Kontoauszug: Modifikation Auszug.txt und Umsatz.txt"/>
  </r>
  <r>
    <s v="ZFI_AUSW_BESTELL_RECH_FI_ACE"/>
    <s v="Nein"/>
    <x v="0"/>
    <m/>
    <x v="0"/>
    <x v="0"/>
    <x v="0"/>
    <m/>
    <m/>
    <s v="FI: Liste Bestellungen / Rechnungen / FI-Beleg / ACE"/>
  </r>
  <r>
    <s v="ZFI_AVIS_UPLOAD"/>
    <s v="Nein"/>
    <x v="0"/>
    <m/>
    <x v="0"/>
    <x v="0"/>
    <x v="0"/>
    <m/>
    <m/>
    <s v="AVIS_UPLOAD - Erfassungshilfe zur Verbuchung von eingehenden Avisen"/>
  </r>
  <r>
    <s v="ZFI_AVIS_WIEDERHOLUNG"/>
    <s v="Ja"/>
    <x v="1"/>
    <m/>
    <x v="1"/>
    <x v="0"/>
    <x v="0"/>
    <m/>
    <m/>
    <s v="Zahlungsträger-Korrespondenz zum generischen Zahlungsträgerprogramm"/>
  </r>
  <r>
    <s v="ZFI_AVIS01"/>
    <s v="Nein"/>
    <x v="1"/>
    <s v="DEV-104"/>
    <x v="0"/>
    <x v="1"/>
    <x v="1"/>
    <m/>
    <m/>
    <s v="Erstellen Datei für PORTA-Avise (Bukrs 1000)"/>
  </r>
  <r>
    <s v="ZFI_AVM_AOBJD"/>
    <s v="Nein"/>
    <x v="1"/>
    <s v="DEV-080"/>
    <x v="1"/>
    <x v="0"/>
    <x v="0"/>
    <m/>
    <m/>
    <s v="Löschprogramm: ZFI_AVMBR_BKOPF"/>
  </r>
  <r>
    <s v="ZFI_AVM_AOBJR"/>
    <s v="Nein"/>
    <x v="1"/>
    <s v="DEV-080"/>
    <x v="1"/>
    <x v="0"/>
    <x v="0"/>
    <m/>
    <m/>
    <s v="Archivanzeige: ZFI_AVMBR_BKOPF"/>
  </r>
  <r>
    <s v="ZFI_AVM_AOBJW"/>
    <s v="Nein"/>
    <x v="1"/>
    <s v="DEV-080"/>
    <x v="1"/>
    <x v="0"/>
    <x v="0"/>
    <m/>
    <m/>
    <s v="Archiv-Schreibprogramm ... ZFI_AVMBR_BKOPF"/>
  </r>
  <r>
    <s v="ZFI_AVM_UMBUCHUNG"/>
    <s v="Ja"/>
    <x v="1"/>
    <s v="DEV-072"/>
    <x v="1"/>
    <x v="0"/>
    <x v="0"/>
    <m/>
    <m/>
    <s v="AVM : BUKRS-übergreifende Umbuchung"/>
  </r>
  <r>
    <s v="ZFI_AVM_UPLOAD_AUFNR_KFZ"/>
    <s v="Nein"/>
    <x v="1"/>
    <s v="DEV-033"/>
    <x v="1"/>
    <x v="0"/>
    <x v="0"/>
    <m/>
    <m/>
    <s v="Upload Excel (.xls) in Tabelle ZFI_AVM_AUFNRKFZ"/>
  </r>
  <r>
    <s v="ZFI_AVM_VERSICHERUNG"/>
    <s v="Ja"/>
    <x v="1"/>
    <s v="DEV-033"/>
    <x v="1"/>
    <x v="0"/>
    <x v="0"/>
    <m/>
    <m/>
    <s v="Umbuchung Zahlungseingänge für Versicherungsfälle Autovermietung"/>
  </r>
  <r>
    <s v="ZFI_AVMBR01"/>
    <s v="Ja"/>
    <x v="1"/>
    <s v="DEV-072"/>
    <x v="1"/>
    <x v="0"/>
    <x v="0"/>
    <m/>
    <m/>
    <s v="Datenübernahme vom AVM-BROKER-System"/>
  </r>
  <r>
    <s v="ZFI_AVMBR02"/>
    <s v="Ja"/>
    <x v="1"/>
    <s v="DEV-072"/>
    <x v="1"/>
    <x v="0"/>
    <x v="0"/>
    <m/>
    <m/>
    <s v="Aufbau Buchungen mit Daten vom AVM-BROKER-System"/>
  </r>
  <r>
    <s v="ZFI_AVMBR04"/>
    <s v="Ja"/>
    <x v="1"/>
    <s v="DEV-072"/>
    <x v="1"/>
    <x v="0"/>
    <x v="0"/>
    <m/>
    <m/>
    <s v="Zahlungsmitteilung aus SAP für AVM-BROKER-Vorgänge"/>
  </r>
  <r>
    <s v="ZFI_AVMBROKER_ABSTIMM_SUPP"/>
    <s v="Ja"/>
    <x v="1"/>
    <s v="DEV-072"/>
    <x v="1"/>
    <x v="0"/>
    <x v="0"/>
    <m/>
    <m/>
    <s v="Import-Schnittstelle DeltaMaster --&gt; SAP (Abstimmtool)"/>
  </r>
  <r>
    <s v="ZFI_AVMBROKER_ABSTIMMUNG"/>
    <s v="Nein"/>
    <x v="0"/>
    <s v="DEV-072"/>
    <x v="0"/>
    <x v="0"/>
    <x v="0"/>
    <m/>
    <m/>
    <s v="Export-Schnittstelle SAP --&gt; DeltaMaster (Abstimmtool)"/>
  </r>
  <r>
    <s v="ZFI_BARCO_DEL"/>
    <s v="Ja"/>
    <x v="1"/>
    <s v="DEV-064"/>
    <x v="1"/>
    <x v="0"/>
    <x v="0"/>
    <m/>
    <m/>
    <s v="Barcodes löschen"/>
  </r>
  <r>
    <s v="ZFI_BARCO_DISP"/>
    <s v="Ja"/>
    <x v="1"/>
    <s v="DEV-064"/>
    <x v="1"/>
    <x v="0"/>
    <x v="0"/>
    <m/>
    <m/>
    <s v="Auflistung Barcode-Einträge"/>
  </r>
  <r>
    <s v="ZFI_BARCO_ERF"/>
    <s v="Ja"/>
    <x v="1"/>
    <s v="DEV-064"/>
    <x v="1"/>
    <x v="0"/>
    <x v="0"/>
    <m/>
    <m/>
    <s v="Barcode nachträglich anlegen"/>
  </r>
  <r>
    <s v="ZFI_BARCO_ERFM"/>
    <s v="Ja"/>
    <x v="1"/>
    <s v="DEV-064"/>
    <x v="1"/>
    <x v="0"/>
    <x v="0"/>
    <m/>
    <m/>
    <s v="Barcode nachträglich anlegen"/>
  </r>
  <r>
    <s v="ZFI_BARCO_LOE"/>
    <s v="Ja"/>
    <x v="1"/>
    <s v="DEV-064"/>
    <x v="1"/>
    <x v="0"/>
    <x v="0"/>
    <m/>
    <m/>
    <s v="Barcodesätze löschen"/>
  </r>
  <r>
    <s v="ZFI_BARCO_RUECK"/>
    <s v="Ja"/>
    <x v="1"/>
    <s v="DEV-064"/>
    <x v="1"/>
    <x v="0"/>
    <x v="0"/>
    <m/>
    <m/>
    <s v="Barcode-Rückmeldungen entgegennehmen"/>
  </r>
  <r>
    <s v="ZFI_BARCO_ZUO"/>
    <s v="Ja"/>
    <x v="1"/>
    <s v="DEV-064"/>
    <x v="1"/>
    <x v="0"/>
    <x v="0"/>
    <m/>
    <m/>
    <s v="Verknüpfungstabellen zu Barcode erstellen"/>
  </r>
  <r>
    <s v="ZFI_BAZFSB"/>
    <s v="Nein"/>
    <x v="0"/>
    <m/>
    <x v="0"/>
    <x v="0"/>
    <x v="0"/>
    <m/>
    <m/>
    <s v="Abstimmsu.pr. für BAZ-Bänder von BLB Format DTAUSNEU für Schecksamm.bu"/>
  </r>
  <r>
    <s v="ZFI_BE2000"/>
    <s v="Nein"/>
    <x v="0"/>
    <m/>
    <x v="0"/>
    <x v="0"/>
    <x v="0"/>
    <m/>
    <m/>
    <s v="Kontierungsprogramm Bestand 2000"/>
  </r>
  <r>
    <s v="ZFI_BE2000_MIG"/>
    <s v="Nein"/>
    <x v="0"/>
    <m/>
    <x v="0"/>
    <x v="0"/>
    <x v="0"/>
    <m/>
    <m/>
    <s v="Kontierungsprogramm Bestand 2000, Migration ADAM 2.0"/>
  </r>
  <r>
    <s v="ZFI_BELEGABR_ANZ"/>
    <s v="Nein"/>
    <x v="0"/>
    <m/>
    <x v="0"/>
    <x v="0"/>
    <x v="0"/>
    <m/>
    <m/>
    <s v="Programm: ZFI_BELEGABR_ANZ - Anzeige der Belegstatistiktabelle"/>
  </r>
  <r>
    <s v="ZFI_BELEGABR_ILV2"/>
    <s v="Nein"/>
    <x v="0"/>
    <m/>
    <x v="0"/>
    <x v="0"/>
    <x v="0"/>
    <m/>
    <m/>
    <s v="Belegpostenermittlung ILV und Statistik"/>
  </r>
  <r>
    <s v="ZFI_BELEGE_PG"/>
    <s v="Nein"/>
    <x v="0"/>
    <m/>
    <x v="0"/>
    <x v="0"/>
    <x v="0"/>
    <m/>
    <m/>
    <s v="Programm ZFI_BELEGE_PG"/>
  </r>
  <r>
    <s v="ZFI_BELEGVERFOLGUNG"/>
    <s v="Nein"/>
    <x v="0"/>
    <m/>
    <x v="0"/>
    <x v="0"/>
    <x v="0"/>
    <m/>
    <m/>
    <s v="FI - Belegverfolgung Eingang - Zahlung"/>
  </r>
  <r>
    <s v="ZFI_BELEGZEILEN_EXPORT_CSV"/>
    <s v="Nein"/>
    <x v="0"/>
    <m/>
    <x v="0"/>
    <x v="0"/>
    <x v="0"/>
    <m/>
    <m/>
    <s v="Belegzeilen als CSV exportieren"/>
  </r>
  <r>
    <s v="ZFI_BETEST"/>
    <s v="Nein"/>
    <x v="0"/>
    <m/>
    <x v="0"/>
    <x v="0"/>
    <x v="0"/>
    <m/>
    <m/>
    <s v="ZFBE2000 aus der R/2 (nur als Hilfe)"/>
  </r>
  <r>
    <s v="ZFI_BIC_ABGLEICH"/>
    <s v="Nein"/>
    <x v="0"/>
    <m/>
    <x v="0"/>
    <x v="0"/>
    <x v="0"/>
    <m/>
    <m/>
    <s v="BIC Abgleich"/>
  </r>
  <r>
    <s v="ZFI_BLBCUR"/>
    <s v="Nein"/>
    <x v="0"/>
    <m/>
    <x v="0"/>
    <x v="0"/>
    <x v="0"/>
    <m/>
    <m/>
    <s v="Import Devisenkurse BLB"/>
  </r>
  <r>
    <s v="ZFI_BSCARD"/>
    <s v="Ja"/>
    <x v="1"/>
    <s v="DEV-081"/>
    <x v="1"/>
    <x v="0"/>
    <x v="0"/>
    <m/>
    <m/>
    <s v="Verbuchung BS-CARD Kreditkarte ( EPA-Avis )"/>
  </r>
  <r>
    <s v="ZFI_BSCARD_SETTLEMENT"/>
    <s v="Nein"/>
    <x v="1"/>
    <s v="DEV-081"/>
    <x v="1"/>
    <x v="0"/>
    <x v="0"/>
    <m/>
    <m/>
    <s v="Verbuchung BS-CARD Kreditkarte ( EPA-Avis )"/>
  </r>
  <r>
    <s v="ZFI_BSCARD_TIMDATA"/>
    <s v="Ja"/>
    <x v="1"/>
    <s v="DEV-081"/>
    <x v="1"/>
    <x v="0"/>
    <x v="0"/>
    <m/>
    <m/>
    <s v="B&amp;SCard: TIMDATA-Avis-Verarbeitung (EC)"/>
  </r>
  <r>
    <s v="ZFI_BSCARD_UMBUCHUNG"/>
    <s v="Ja"/>
    <x v="1"/>
    <s v="DEV-081"/>
    <x v="1"/>
    <x v="0"/>
    <x v="0"/>
    <m/>
    <m/>
    <s v="B+S EC- / Kreditkartenzahlungen Umbuchungen"/>
  </r>
  <r>
    <s v="ZFI_BU_RUECKLASTSCHRIFT"/>
    <s v="Ja"/>
    <x v="1"/>
    <s v="DEV-089"/>
    <x v="1"/>
    <x v="0"/>
    <x v="0"/>
    <m/>
    <m/>
    <s v="Wiedereinbuchung Rücklastschriften"/>
  </r>
  <r>
    <s v="ZFI_CCS_AUSWERT"/>
    <s v="Nein"/>
    <x v="1"/>
    <s v="DEV-037"/>
    <x v="1"/>
    <x v="0"/>
    <x v="0"/>
    <m/>
    <m/>
    <s v="Auswertung CCS Drucke"/>
  </r>
  <r>
    <s v="ZFI_CCS_DRUCKE"/>
    <s v="Nein"/>
    <x v="1"/>
    <s v="DEV-037"/>
    <x v="1"/>
    <x v="0"/>
    <x v="0"/>
    <m/>
    <m/>
    <s v="Ermittlung CCS Drucke"/>
  </r>
  <r>
    <s v="ZFI_CHECK_IBAN2"/>
    <s v="Nein"/>
    <x v="0"/>
    <s v="DEV-066"/>
    <x v="0"/>
    <x v="0"/>
    <x v="0"/>
    <m/>
    <m/>
    <s v="FI: Diverse Prüfungen zur IBAN"/>
  </r>
  <r>
    <s v="ZFI_COMPUTOP"/>
    <s v="Ja"/>
    <x v="1"/>
    <s v="DEV-121"/>
    <x v="1"/>
    <x v="0"/>
    <x v="0"/>
    <m/>
    <m/>
    <s v="Verbuchung COMPUTOP Kreditkarte ( Settlement-Avis )"/>
  </r>
  <r>
    <s v="ZFI_COPY_TEXT_DATASET"/>
    <s v="Ja"/>
    <x v="1"/>
    <s v="DEV-083"/>
    <x v="1"/>
    <x v="0"/>
    <x v="0"/>
    <m/>
    <m/>
    <s v="Kopieren Dataset im Text-Modus"/>
  </r>
  <r>
    <s v="ZFI_CTR_ZBEL01"/>
    <s v="Nein"/>
    <x v="0"/>
    <m/>
    <x v="0"/>
    <x v="0"/>
    <x v="0"/>
    <m/>
    <m/>
    <s v="Auflistung debitorischer / kreditorischer Auszahlungsbelege"/>
  </r>
  <r>
    <s v="ZFI_CTR_ZBEL02"/>
    <s v="Nein"/>
    <x v="0"/>
    <m/>
    <x v="0"/>
    <x v="0"/>
    <x v="0"/>
    <m/>
    <m/>
    <s v="Sachkontenbelegliste zur Auszahlungskontrolle"/>
  </r>
  <r>
    <s v="ZFI_CUR_REORG"/>
    <s v="Nein"/>
    <x v="0"/>
    <m/>
    <x v="0"/>
    <x v="0"/>
    <x v="0"/>
    <m/>
    <m/>
    <s v="ZFI_CUR_REORG"/>
  </r>
  <r>
    <s v="ZFI_DATENABZUG_VITA"/>
    <s v="Nein"/>
    <x v="1"/>
    <m/>
    <x v="0"/>
    <x v="1"/>
    <x v="1"/>
    <m/>
    <m/>
    <s v="Abzug Tabellen für Vita-Migration R2 (BuKrs 6100)"/>
  </r>
  <r>
    <s v="ZFI_DATEV_EXP"/>
    <s v="Nein"/>
    <x v="0"/>
    <m/>
    <x v="0"/>
    <x v="0"/>
    <x v="0"/>
    <m/>
    <m/>
    <s v="DATEV-Export-Schnittstelle - Buchungsstapel"/>
  </r>
  <r>
    <s v="ZFI_DATEV_IMP"/>
    <s v="Nein"/>
    <x v="1"/>
    <m/>
    <x v="0"/>
    <x v="3"/>
    <x v="2"/>
    <m/>
    <m/>
    <s v="DATEV: Schnittstelle zur Verbuchung DATEV-Buchungsstapel"/>
  </r>
  <r>
    <s v="ZFI_DATEV_RK"/>
    <s v="Nein"/>
    <x v="0"/>
    <m/>
    <x v="0"/>
    <x v="0"/>
    <x v="0"/>
    <m/>
    <m/>
    <s v="FI: Datev Reisekostenschnittstelle"/>
  </r>
  <r>
    <s v="ZFI_DATEV01"/>
    <s v="Nein"/>
    <x v="0"/>
    <m/>
    <x v="0"/>
    <x v="0"/>
    <x v="0"/>
    <m/>
    <m/>
    <s v="Datev-Schnittstelle"/>
  </r>
  <r>
    <s v="ZFI_DEB_BKORM"/>
    <s v="Nein"/>
    <x v="0"/>
    <m/>
    <x v="0"/>
    <x v="0"/>
    <x v="0"/>
    <m/>
    <m/>
    <s v="Erstellen  Zahlungsanforderungen Debitoren für Rechnungen/Gutschriften"/>
  </r>
  <r>
    <s v="ZFI_DEB_REABT"/>
    <s v="Nein"/>
    <x v="0"/>
    <m/>
    <x v="0"/>
    <x v="0"/>
    <x v="0"/>
    <m/>
    <m/>
    <s v="Stammsatz und Postenänderung bei Figl-Schreiben"/>
  </r>
  <r>
    <s v="ZFI_DEB_ZAHLLAUF_ZUFALL"/>
    <s v="Nein"/>
    <x v="0"/>
    <m/>
    <x v="0"/>
    <x v="0"/>
    <x v="0"/>
    <m/>
    <m/>
    <s v="Prüfliste Zahllauf - Zufallsauswertung"/>
  </r>
  <r>
    <s v="ZFI_DEBI_EPGGKTO"/>
    <s v="Nein"/>
    <x v="0"/>
    <m/>
    <x v="0"/>
    <x v="0"/>
    <x v="0"/>
    <m/>
    <m/>
    <s v="Debitoren Summen nach Gegenkonto"/>
  </r>
  <r>
    <s v="ZFI_DEBI_POSZAHLWEG"/>
    <s v="Nein"/>
    <x v="0"/>
    <m/>
    <x v="0"/>
    <x v="0"/>
    <x v="0"/>
    <m/>
    <m/>
    <s v="Auswertung OP Debitoren mit unterschiedlichen Postenzahlwegen"/>
  </r>
  <r>
    <s v="ZFI_DEBITOR_EINZELPOSTEN_AKT"/>
    <s v="Nein"/>
    <x v="0"/>
    <m/>
    <x v="0"/>
    <x v="0"/>
    <x v="0"/>
    <m/>
    <m/>
    <s v="Debitorenposten mit Aktenzeichen in NAME4"/>
  </r>
  <r>
    <s v="ZFI_DEBREP_ANZMAHN"/>
    <s v="Nein"/>
    <x v="0"/>
    <m/>
    <x v="0"/>
    <x v="0"/>
    <x v="0"/>
    <m/>
    <m/>
    <s v="Debitorenreporting: Ermittlung Anzahl Mahnungen"/>
  </r>
  <r>
    <s v="ZFI_DEBREP_AUSBUCH"/>
    <s v="Nein"/>
    <x v="0"/>
    <m/>
    <x v="0"/>
    <x v="0"/>
    <x v="0"/>
    <m/>
    <m/>
    <s v="Debitorenreporting: Ausbuchungen Debitoren"/>
  </r>
  <r>
    <s v="ZFI_DEBREP_BELPOS"/>
    <s v="Nein"/>
    <x v="0"/>
    <m/>
    <x v="0"/>
    <x v="0"/>
    <x v="0"/>
    <m/>
    <m/>
    <s v="Debitorenreporting: Ermittlung Belegposten maschinell / manuell"/>
  </r>
  <r>
    <s v="ZFI_DEBREP_UMSATZ"/>
    <s v="Nein"/>
    <x v="0"/>
    <m/>
    <x v="0"/>
    <x v="0"/>
    <x v="0"/>
    <m/>
    <m/>
    <s v="Debitorenreporting: Umsatz Debitoren"/>
  </r>
  <r>
    <s v="ZFI_DEL_INKO_COCKPI2"/>
    <s v="Nein"/>
    <x v="0"/>
    <m/>
    <x v="0"/>
    <x v="0"/>
    <x v="0"/>
    <m/>
    <m/>
    <s v="Löschen Tabelle ZFI_INKO_COCKPI2"/>
  </r>
  <r>
    <s v="ZFI_DEL_LOEVM_DEB_KRED"/>
    <s v="Nein"/>
    <x v="0"/>
    <m/>
    <x v="0"/>
    <x v="0"/>
    <x v="0"/>
    <m/>
    <m/>
    <s v="Löschvormerkung Stammdaten entfernen"/>
  </r>
  <r>
    <s v="ZFI_DELETE_DUNNING_RUN"/>
    <s v="Nein"/>
    <x v="0"/>
    <m/>
    <x v="0"/>
    <x v="0"/>
    <x v="0"/>
    <m/>
    <m/>
    <s v="Mahnlauf löschen"/>
  </r>
  <r>
    <s v="ZFI_DOCATTACH_COPY"/>
    <s v="Nein"/>
    <x v="1"/>
    <m/>
    <x v="0"/>
    <x v="3"/>
    <x v="2"/>
    <m/>
    <m/>
    <s v="Anhänge zwischen Belegen kopieren (eigentlich Welle 1)"/>
  </r>
  <r>
    <s v="ZFI_DOCATTACH_REPORT"/>
    <s v="Nein"/>
    <x v="0"/>
    <m/>
    <x v="0"/>
    <x v="0"/>
    <x v="0"/>
    <m/>
    <m/>
    <s v="Auswertung Belege mit Anhang"/>
  </r>
  <r>
    <s v="ZFI_DOPO40"/>
    <s v="Nein"/>
    <x v="0"/>
    <m/>
    <x v="0"/>
    <x v="0"/>
    <x v="0"/>
    <m/>
    <m/>
    <s v="Gesperrte Debitoren nach Stationen LRG"/>
  </r>
  <r>
    <s v="ZFI_DRUCK_CONTAINER"/>
    <s v="Ja"/>
    <x v="1"/>
    <s v="DEV-037"/>
    <x v="1"/>
    <x v="0"/>
    <x v="0"/>
    <m/>
    <m/>
    <s v="Druckcontainer für Standardformulardruck"/>
  </r>
  <r>
    <s v="ZFI_DSS34BDSG"/>
    <s v="Ja"/>
    <x v="1"/>
    <s v="DEV-082"/>
    <x v="1"/>
    <x v="0"/>
    <x v="0"/>
    <m/>
    <m/>
    <s v="DATENSCHUTZ-GRUNDVERORDNUNG (DSGVO)"/>
  </r>
  <r>
    <s v="ZFI_ELFE03"/>
    <s v="Ja"/>
    <x v="1"/>
    <s v="DEV-067"/>
    <x v="1"/>
    <x v="0"/>
    <x v="0"/>
    <m/>
    <m/>
    <s v="Elfe Kostenstellenbericht"/>
  </r>
  <r>
    <s v="ZFI_ELMO02"/>
    <s v="Ja"/>
    <x v="1"/>
    <m/>
    <x v="1"/>
    <x v="0"/>
    <x v="0"/>
    <m/>
    <m/>
    <s v="Verarbeitung ELMO-Rechnungen"/>
  </r>
  <r>
    <s v="ZFI_ELMO03"/>
    <s v="Nein"/>
    <x v="0"/>
    <m/>
    <x v="0"/>
    <x v="0"/>
    <x v="0"/>
    <m/>
    <m/>
    <s v="Monatlicher Kostenstellenbericht ELMO"/>
  </r>
  <r>
    <s v="ZFI_ELSY_SCHNITTSTELLE"/>
    <s v="Ja"/>
    <x v="1"/>
    <s v="DEV-067"/>
    <x v="1"/>
    <x v="0"/>
    <x v="0"/>
    <m/>
    <m/>
    <s v="Überführung Inhouse-Daten der Telefonrechnungen (ELSY)"/>
  </r>
  <r>
    <s v="ZFI_EPOK30"/>
    <s v="Nein"/>
    <x v="0"/>
    <m/>
    <x v="0"/>
    <x v="0"/>
    <x v="0"/>
    <m/>
    <m/>
    <s v="Kontroll-Liste Reisekosten AirPlus"/>
  </r>
  <r>
    <s v="ZFI_ERGSL"/>
    <s v="Nein"/>
    <x v="1"/>
    <s v="DEV-087"/>
    <x v="1"/>
    <x v="0"/>
    <x v="0"/>
    <m/>
    <m/>
    <m/>
  </r>
  <r>
    <s v="ZFI_ETIS02"/>
    <s v="Ja"/>
    <x v="1"/>
    <m/>
    <x v="1"/>
    <x v="0"/>
    <x v="0"/>
    <m/>
    <m/>
    <s v="Überführung Inhouse-Daten der Telefonrechnungen (ELFE)"/>
  </r>
  <r>
    <s v="ZFI_ETM_REFERENZKORREKTUR"/>
    <s v="Nein"/>
    <x v="0"/>
    <m/>
    <x v="0"/>
    <x v="0"/>
    <x v="0"/>
    <m/>
    <m/>
    <s v="Programm ZFI_ETM_REFERENZKORREKTUR"/>
  </r>
  <r>
    <s v="ZFI_ETM_UMBUCHUNG_KASSE"/>
    <s v="Nein"/>
    <x v="1"/>
    <s v="DEV-063"/>
    <x v="0"/>
    <x v="0"/>
    <x v="4"/>
    <m/>
    <m/>
    <s v="Umbuchung Kassenbuchung für Ersatzteilmanagement"/>
  </r>
  <r>
    <s v="ZFI_ETM_ZAHLARTEN"/>
    <s v="Nein"/>
    <x v="0"/>
    <m/>
    <x v="0"/>
    <x v="0"/>
    <x v="0"/>
    <m/>
    <m/>
    <s v="Ermitteln Zahlarten unterschiedlich zu Verkauf Kasse"/>
  </r>
  <r>
    <s v="ZFI_EVER_EXPORT_STAMM"/>
    <s v="Nein"/>
    <x v="0"/>
    <m/>
    <x v="0"/>
    <x v="0"/>
    <x v="0"/>
    <m/>
    <m/>
    <s v="Export Ever-Stammdaten (Bukrs, Konten, Kst, IA)"/>
  </r>
  <r>
    <s v="ZFI_EVER_IMPORT_VORGANG"/>
    <s v="Nein"/>
    <x v="0"/>
    <m/>
    <x v="0"/>
    <x v="0"/>
    <x v="0"/>
    <m/>
    <m/>
    <s v="Import Ever-Vorgänge"/>
  </r>
  <r>
    <s v="ZFI_EXCEL_UPLOAD"/>
    <s v="Ja"/>
    <x v="1"/>
    <m/>
    <x v="1"/>
    <x v="0"/>
    <x v="0"/>
    <m/>
    <m/>
    <s v="SAP-Tabelle laden mit Daten einer CSV-Datei"/>
  </r>
  <r>
    <s v="ZFI_EXPORT_WP"/>
    <s v="Nein"/>
    <x v="0"/>
    <m/>
    <x v="0"/>
    <x v="0"/>
    <x v="0"/>
    <m/>
    <m/>
    <s v="Datenexport  aus SAP für Prüfungszwecke"/>
  </r>
  <r>
    <s v="ZFI_EXSCH1"/>
    <s v="Ja"/>
    <x v="1"/>
    <s v="Nein"/>
    <x v="1"/>
    <x v="0"/>
    <x v="0"/>
    <m/>
    <m/>
    <s v="Verarbeitung externer Schnittstellen -&gt; Standardschnittstelle"/>
  </r>
  <r>
    <s v="ZFI_F_03_KONTEN_UEBERGREIFEND"/>
    <s v="Nein"/>
    <x v="1"/>
    <s v="DEV-065"/>
    <x v="0"/>
    <x v="1"/>
    <x v="1"/>
    <m/>
    <m/>
    <s v="Kontenübergreifendes Ausziffern"/>
  </r>
  <r>
    <s v="ZFI_F110_DTA"/>
    <s v="Nein"/>
    <x v="0"/>
    <m/>
    <x v="0"/>
    <x v="0"/>
    <x v="0"/>
    <m/>
    <m/>
    <s v="SEPA - SAP-FI - DTA-Übersichtsliste"/>
  </r>
  <r>
    <s v="ZFI_F110_DTA"/>
    <s v="Nein"/>
    <x v="0"/>
    <s v="DEV-139"/>
    <x v="0"/>
    <x v="0"/>
    <x v="0"/>
    <m/>
    <m/>
    <m/>
  </r>
  <r>
    <s v="ZFI_FAHR00"/>
    <s v="Nein"/>
    <x v="0"/>
    <m/>
    <x v="0"/>
    <x v="0"/>
    <x v="0"/>
    <m/>
    <m/>
    <s v="Aktivierung Fahrzeugsausrüstung (PAN) Kto 99100"/>
  </r>
  <r>
    <s v="ZFI_FELDSTATUS_AUSWERTUNG"/>
    <s v="Nein"/>
    <x v="0"/>
    <m/>
    <x v="0"/>
    <x v="0"/>
    <x v="0"/>
    <m/>
    <m/>
    <s v="Auswertung Feldstatus ADAC"/>
  </r>
  <r>
    <s v="ZFI_FILE_FOR_ABSTIMMTOOL"/>
    <s v="Ja"/>
    <x v="1"/>
    <s v="DEV-072"/>
    <x v="1"/>
    <x v="0"/>
    <x v="0"/>
    <m/>
    <m/>
    <s v="Datei für Abstimmtool erzeugen"/>
  </r>
  <r>
    <s v="ZFI_FK02_AVIS"/>
    <s v="Nein"/>
    <x v="1"/>
    <s v="DEV-122"/>
    <x v="0"/>
    <x v="1"/>
    <x v="1"/>
    <m/>
    <m/>
    <s v="Aktualisieren AVIS-Info PORTA-Partner mit FK02"/>
  </r>
  <r>
    <s v="ZFI_FORMAT_SAM"/>
    <s v="Ja"/>
    <x v="1"/>
    <s v="DEV-151"/>
    <x v="1"/>
    <x v="0"/>
    <x v="0"/>
    <m/>
    <m/>
    <s v="Interface SAP --&gt; FORMAT Sanktionsmonitor"/>
  </r>
  <r>
    <s v="ZFI_FW_SELVAR"/>
    <s v="Nein"/>
    <x v="0"/>
    <s v="DEV-092"/>
    <x v="0"/>
    <x v="0"/>
    <x v="0"/>
    <m/>
    <m/>
    <s v="Selektionsvariablen für Fremdwährungsbewertung"/>
  </r>
  <r>
    <s v="ZFI_GAUABR"/>
    <s v="Nein"/>
    <x v="0"/>
    <m/>
    <x v="0"/>
    <x v="0"/>
    <x v="0"/>
    <m/>
    <m/>
    <s v="Monatsabrechnung an die Regionalclubs"/>
  </r>
  <r>
    <s v="ZFI_GLT3_AUSWERTUNG"/>
    <s v="Ja"/>
    <x v="1"/>
    <s v="DEV-087"/>
    <x v="1"/>
    <x v="0"/>
    <x v="0"/>
    <m/>
    <m/>
    <s v="Intercompany-Abstimmung und IDL-Ausgabe GLT3"/>
  </r>
  <r>
    <s v="ZFI_GLT3_DELETE"/>
    <s v="Nein"/>
    <x v="0"/>
    <m/>
    <x v="0"/>
    <x v="0"/>
    <x v="0"/>
    <m/>
    <m/>
    <s v="Löschen von Einträge Tabelle GLT3 (Konsolidierungsvorbereitungsledger)"/>
  </r>
  <r>
    <s v="ZFI_HEORE1"/>
    <s v="Nein"/>
    <x v="0"/>
    <m/>
    <x v="0"/>
    <x v="0"/>
    <x v="0"/>
    <m/>
    <m/>
    <s v="Schnittstelle ORESSA  ----&gt;  SAP"/>
  </r>
  <r>
    <s v="ZFI_HEPRIS"/>
    <s v="Nein"/>
    <x v="0"/>
    <m/>
    <x v="0"/>
    <x v="0"/>
    <x v="0"/>
    <m/>
    <m/>
    <s v="Schnittstelle Prisma-Provisionsabrechnung"/>
  </r>
  <r>
    <s v="ZFI_HEPRIS_R3"/>
    <s v="Nein"/>
    <x v="0"/>
    <m/>
    <x v="0"/>
    <x v="0"/>
    <x v="0"/>
    <m/>
    <m/>
    <s v="Schnittstelle Prisma-Provisionsabrechnung"/>
  </r>
  <r>
    <s v="ZFI_HFP057"/>
    <s v="Nein"/>
    <x v="1"/>
    <s v="DEV-069"/>
    <x v="0"/>
    <x v="1"/>
    <x v="1"/>
    <m/>
    <m/>
    <s v="Zahlungseingangsverarbeitung Luftrettungseinsätze"/>
  </r>
  <r>
    <s v="ZFI_INKASSO"/>
    <s v="Ja"/>
    <x v="1"/>
    <s v="DEV-040"/>
    <x v="1"/>
    <x v="0"/>
    <x v="0"/>
    <m/>
    <m/>
    <s v="Inkasso-Abschlüsse"/>
  </r>
  <r>
    <s v="ZFI_INKASSO_EOS"/>
    <s v="Ja"/>
    <x v="1"/>
    <s v="DEV-038"/>
    <x v="1"/>
    <x v="0"/>
    <x v="0"/>
    <m/>
    <m/>
    <s v="Inkasso-Abschlüsse"/>
  </r>
  <r>
    <s v="ZFI_INKO_COCKPIT"/>
    <s v="Ja"/>
    <x v="1"/>
    <s v="DEV-038"/>
    <x v="1"/>
    <x v="0"/>
    <x v="0"/>
    <m/>
    <m/>
    <s v="Pflege Inkasso Zwischentabelle"/>
  </r>
  <r>
    <s v="ZFI_INKO_COCKPIT_KORREKTUR"/>
    <s v="Ja"/>
    <x v="1"/>
    <s v="DEV-038"/>
    <x v="1"/>
    <x v="0"/>
    <x v="0"/>
    <m/>
    <m/>
    <s v="Korrektur derTabelle ZFI_INKO_COCKPIT"/>
  </r>
  <r>
    <s v="ZFI_INKO_ZAHLUNG"/>
    <s v="Ja"/>
    <x v="1"/>
    <s v="DEV-039"/>
    <x v="1"/>
    <x v="0"/>
    <x v="0"/>
    <m/>
    <m/>
    <s v="zfi_inko_zahlung"/>
  </r>
  <r>
    <s v="ZFI_INKO_ZAHLUNG_EOS"/>
    <s v="Ja"/>
    <x v="1"/>
    <s v="DEV-038"/>
    <x v="1"/>
    <x v="0"/>
    <x v="0"/>
    <m/>
    <m/>
    <s v="Zahlung EOS"/>
  </r>
  <r>
    <s v="ZFI_INKO00"/>
    <s v="Ja"/>
    <x v="1"/>
    <s v="DEV-041"/>
    <x v="1"/>
    <x v="0"/>
    <x v="0"/>
    <m/>
    <m/>
    <s v="Übergabe Inkassounternehmen - Mahndaten säumiger Zahler"/>
  </r>
  <r>
    <s v="ZFI_INKO00_EOS"/>
    <s v="Ja"/>
    <x v="1"/>
    <s v="DEV-041"/>
    <x v="1"/>
    <x v="0"/>
    <x v="0"/>
    <m/>
    <m/>
    <s v="EOS : Übergabe mit neuer Struktur"/>
  </r>
  <r>
    <s v="ZFI_INKO03"/>
    <s v="Ja"/>
    <x v="1"/>
    <s v="DEV-041"/>
    <x v="1"/>
    <x v="0"/>
    <x v="0"/>
    <m/>
    <m/>
    <s v="Rückmeldeverarbeitung der Aktenzeichen"/>
  </r>
  <r>
    <s v="ZFI_INKO03_EOS"/>
    <s v="Ja"/>
    <x v="1"/>
    <s v="DEV-041"/>
    <x v="1"/>
    <x v="0"/>
    <x v="0"/>
    <m/>
    <m/>
    <s v="Rückmeldeverarbeitung der Inkassonummer"/>
  </r>
  <r>
    <s v="ZFI_INKO04"/>
    <s v="Ja"/>
    <x v="1"/>
    <s v="DEV-041"/>
    <x v="1"/>
    <x v="0"/>
    <x v="0"/>
    <m/>
    <m/>
    <s v="BI: Rückmeldung Aktenzeichen: Update Debitoren Stammsatz"/>
  </r>
  <r>
    <s v="ZFI_INKO04_EOS"/>
    <s v="Ja"/>
    <x v="1"/>
    <s v="DEV-041"/>
    <x v="1"/>
    <x v="0"/>
    <x v="0"/>
    <m/>
    <m/>
    <s v="BI: Rückmeldung Aktenzeichen: Update Debitoren Stammsatz"/>
  </r>
  <r>
    <s v="ZFI_INKO05"/>
    <s v="Ja"/>
    <x v="1"/>
    <s v="DEV-041"/>
    <x v="1"/>
    <x v="0"/>
    <x v="0"/>
    <m/>
    <m/>
    <s v="BI: belegen Segmenttext mit Aktenkennzeichen"/>
  </r>
  <r>
    <s v="ZFI_INKO05_EOS"/>
    <s v="Ja"/>
    <x v="1"/>
    <s v="DEV-041"/>
    <x v="1"/>
    <x v="0"/>
    <x v="0"/>
    <m/>
    <m/>
    <s v="BI: belegen Segmenttext mit Aktenkennzeichen"/>
  </r>
  <r>
    <s v="ZFI_INTCOMP_VERDICHT"/>
    <s v="Nein"/>
    <x v="0"/>
    <m/>
    <x v="0"/>
    <x v="0"/>
    <x v="0"/>
    <m/>
    <m/>
    <s v="Intercompany Einzelposten"/>
  </r>
  <r>
    <s v="ZFI_IVAN_AI_DUPL"/>
    <s v="Nein"/>
    <x v="0"/>
    <m/>
    <x v="0"/>
    <x v="0"/>
    <x v="0"/>
    <m/>
    <m/>
    <s v="zfi_ivan_a und i duplizieren"/>
  </r>
  <r>
    <s v="ZFI_IVAN_TABCHECK"/>
    <s v="Nein"/>
    <x v="0"/>
    <m/>
    <x v="0"/>
    <x v="0"/>
    <x v="0"/>
    <m/>
    <m/>
    <s v="IVAN Tabellenprüfung"/>
  </r>
  <r>
    <s v="ZFI_IVAN_UMB"/>
    <s v="Nein"/>
    <x v="2"/>
    <m/>
    <x v="0"/>
    <x v="1"/>
    <x v="3"/>
    <m/>
    <m/>
    <s v="IVAN Umbuchungsreport für Gaue"/>
  </r>
  <r>
    <s v="ZFI_IVAN00"/>
    <s v="Nein"/>
    <x v="2"/>
    <m/>
    <x v="0"/>
    <x v="1"/>
    <x v="3"/>
    <m/>
    <m/>
    <s v="IVAN-Versorgung"/>
  </r>
  <r>
    <s v="ZFI_KABU01"/>
    <s v="Nein"/>
    <x v="0"/>
    <m/>
    <x v="0"/>
    <x v="0"/>
    <x v="0"/>
    <m/>
    <m/>
    <s v="KABUCO Abrechnung der Büromaterialbestellung"/>
  </r>
  <r>
    <s v="ZFI_KONSOLID01"/>
    <s v="Nein"/>
    <x v="0"/>
    <m/>
    <x v="0"/>
    <x v="0"/>
    <x v="0"/>
    <m/>
    <m/>
    <s v="Umschlüsselung für MIS-ZEUS"/>
  </r>
  <r>
    <s v="ZFI_KRED_EPGGKTO"/>
    <s v="Nein"/>
    <x v="0"/>
    <s v="DEV-062"/>
    <x v="0"/>
    <x v="0"/>
    <x v="0"/>
    <m/>
    <m/>
    <s v="Kreditoren Summen nach Gegenkonto"/>
  </r>
  <r>
    <s v="ZFI_KUNREGV"/>
    <s v="Nein"/>
    <x v="0"/>
    <m/>
    <x v="0"/>
    <x v="0"/>
    <x v="0"/>
    <m/>
    <m/>
    <s v="Kundenregulierungsverhalten"/>
  </r>
  <r>
    <s v="ZFI_LAEX01"/>
    <s v="Nein"/>
    <x v="1"/>
    <m/>
    <x v="0"/>
    <x v="3"/>
    <x v="2"/>
    <m/>
    <m/>
    <s v="Erstellen  ZE-Datei für LAVA"/>
  </r>
  <r>
    <s v="ZFI_LAGSTA"/>
    <s v="Nein"/>
    <x v="0"/>
    <m/>
    <x v="0"/>
    <x v="0"/>
    <x v="0"/>
    <m/>
    <m/>
    <s v="ZFLAGSTA - Lager-Umschlagshäufigkeit bezogen auf 1 Jahr"/>
  </r>
  <r>
    <s v="ZFI_LAVA_INKASSO"/>
    <s v="Ja"/>
    <x v="1"/>
    <s v="DEV-149"/>
    <x v="1"/>
    <x v="0"/>
    <x v="0"/>
    <m/>
    <m/>
    <s v="Programm ZFI_LAVA_INKASSO"/>
  </r>
  <r>
    <s v="ZFI_LAVA_RUECK"/>
    <s v="Ja"/>
    <x v="1"/>
    <s v="DEV-149"/>
    <x v="1"/>
    <x v="0"/>
    <x v="0"/>
    <m/>
    <m/>
    <s v="Rückläufer-Meldung an LAVA"/>
  </r>
  <r>
    <s v="ZFI_LAVA01"/>
    <s v="Ja"/>
    <x v="1"/>
    <s v="DEV-149"/>
    <x v="1"/>
    <x v="0"/>
    <x v="0"/>
    <s v="x"/>
    <m/>
    <s v="LAVA-Schnittstelle-Kontierungsprogramm"/>
  </r>
  <r>
    <s v="ZFI_LIDE_DOP"/>
    <s v="Nein"/>
    <x v="0"/>
    <m/>
    <x v="0"/>
    <x v="0"/>
    <x v="0"/>
    <m/>
    <m/>
    <s v="FI: Doublettenprüfung Kreditoren/Debitoren"/>
  </r>
  <r>
    <s v="ZFI_LIQUI_ARCHIV"/>
    <s v="Nein"/>
    <x v="0"/>
    <s v="DEV-135"/>
    <x v="0"/>
    <x v="0"/>
    <x v="0"/>
    <m/>
    <m/>
    <s v="Valutarische Summen Belegen für Liqui - mit Archivanbindung"/>
  </r>
  <r>
    <s v="ZFI_LIQUI_ARCHIV_KONTEN"/>
    <s v="Nein"/>
    <x v="0"/>
    <s v="DEV-135"/>
    <x v="0"/>
    <x v="0"/>
    <x v="0"/>
    <m/>
    <m/>
    <s v="Nachträglicher Aufbau von neu hinzugekommen Konten mit Archiv"/>
  </r>
  <r>
    <s v="ZFI_LIQUI_MANUELL_UPDATE"/>
    <s v="Nein"/>
    <x v="0"/>
    <s v="DEV-135"/>
    <x v="0"/>
    <x v="0"/>
    <x v="0"/>
    <m/>
    <m/>
    <s v="Updaten der Einträge für aktuellen Monat in Tabelle ZFI_L_Manuel_v"/>
  </r>
  <r>
    <s v="ZFI_LIQUI_PERFIRMA"/>
    <s v="Nein"/>
    <x v="0"/>
    <s v="DEV-135"/>
    <x v="0"/>
    <x v="0"/>
    <x v="0"/>
    <m/>
    <m/>
    <s v="Liquidität Gesamt: Auswertung Valutarisch je Firma"/>
  </r>
  <r>
    <s v="ZFI_LIQUI_VALUTA_SUMMEN"/>
    <s v="Nein"/>
    <x v="0"/>
    <s v="DEV-135"/>
    <x v="0"/>
    <x v="0"/>
    <x v="0"/>
    <m/>
    <m/>
    <s v="Ermittlung Valutarischer Summen aus Beleg-Positionen"/>
  </r>
  <r>
    <s v="ZFI_LIQUI_VALUTA_SUMMEN_AUFBAU"/>
    <s v="Nein"/>
    <x v="0"/>
    <s v="DEV-135"/>
    <x v="0"/>
    <x v="0"/>
    <x v="0"/>
    <m/>
    <m/>
    <s v="Nachträglicher Aufbau von neu hinzugekommen Konten"/>
  </r>
  <r>
    <s v="ZFI_LIQUIDITAET"/>
    <s v="Nein"/>
    <x v="0"/>
    <s v="DEV-135"/>
    <x v="0"/>
    <x v="0"/>
    <x v="0"/>
    <m/>
    <m/>
    <s v="Berichtswesen Disposition - Liquidität Gesamt"/>
  </r>
  <r>
    <s v="ZFI_LIQUIDITAET_VALUTA_BELEGE"/>
    <s v="Nein"/>
    <x v="0"/>
    <s v="DEV-135"/>
    <x v="0"/>
    <x v="0"/>
    <x v="0"/>
    <m/>
    <m/>
    <s v="Liquidität Gesamt: Auswertung Valutarisch"/>
  </r>
  <r>
    <s v="ZFI_LOGA_REISEKOSTEN"/>
    <s v="Nein"/>
    <x v="0"/>
    <m/>
    <x v="0"/>
    <x v="0"/>
    <x v="0"/>
    <m/>
    <m/>
    <s v="Schnittstelle Reisekostenabrechnung - LOGA"/>
  </r>
  <r>
    <s v="ZFI_LOGA_STAMMDATEN"/>
    <s v="Nein"/>
    <x v="0"/>
    <m/>
    <x v="0"/>
    <x v="0"/>
    <x v="0"/>
    <m/>
    <m/>
    <s v="Anlage bzw. Pflege Kreditoren-Stammsätze aus LOGA"/>
  </r>
  <r>
    <s v="ZFI_LOGA01"/>
    <s v="Nein"/>
    <x v="0"/>
    <m/>
    <x v="0"/>
    <x v="0"/>
    <x v="0"/>
    <m/>
    <m/>
    <s v="LOGA: Schnittstelle zur Verbuchung Gehalt und MA-Darlehen"/>
  </r>
  <r>
    <s v="ZFI_LRG_ANZ1"/>
    <s v="Nein"/>
    <x v="1"/>
    <s v="DEV-069"/>
    <x v="0"/>
    <x v="0"/>
    <x v="4"/>
    <m/>
    <m/>
    <s v="Monatliche Liste der geleisteten Anzahlungen nach Stationen"/>
  </r>
  <r>
    <s v="ZFI_LZBKZ"/>
    <s v="Ja"/>
    <x v="1"/>
    <m/>
    <x v="1"/>
    <x v="0"/>
    <x v="0"/>
    <m/>
    <m/>
    <s v="Erweiterung Debitoren-/Kreditoren-Stammdaten um Subscreen für LZBKZ"/>
  </r>
  <r>
    <s v="ZFI_LZBKZ_BELEGE_CHECK"/>
    <s v="Nein"/>
    <x v="1"/>
    <s v="DEV-071"/>
    <x v="1"/>
    <x v="0"/>
    <x v="0"/>
    <m/>
    <m/>
    <s v="AWV-Meldung: Ermittlung fehlende LZB-Kennzeichen in FI-Belegen"/>
  </r>
  <r>
    <s v="ZFI_MAHNABR_ILV"/>
    <s v="Nein"/>
    <x v="0"/>
    <m/>
    <x v="0"/>
    <x v="0"/>
    <x v="0"/>
    <m/>
    <m/>
    <s v="Ermittlung Anzahl Mahnungen für Interne Leistungsverrechnung"/>
  </r>
  <r>
    <s v="ZFI_MAHNHIST_ALV"/>
    <s v="Nein"/>
    <x v="0"/>
    <m/>
    <x v="0"/>
    <x v="0"/>
    <x v="0"/>
    <m/>
    <m/>
    <s v="Mahnhistorie"/>
  </r>
  <r>
    <s v="ZFI_MAHNRHYTHMUS"/>
    <s v="Nein"/>
    <x v="0"/>
    <m/>
    <x v="0"/>
    <x v="0"/>
    <x v="0"/>
    <m/>
    <m/>
    <s v="Mahnsperrenpflege mit Steuerung über Tabelle ZFI_MAHNRHYTHMUS"/>
  </r>
  <r>
    <s v="ZFI_MAHNS_LOESCH"/>
    <s v="Nein"/>
    <x v="1"/>
    <s v="DEV-034"/>
    <x v="1"/>
    <x v="0"/>
    <x v="0"/>
    <m/>
    <m/>
    <m/>
  </r>
  <r>
    <s v="ZFI_MAHNS_LOESCH2"/>
    <s v="Nein"/>
    <x v="2"/>
    <m/>
    <x v="0"/>
    <x v="4"/>
    <x v="3"/>
    <m/>
    <s v="M. Demleitner"/>
    <s v="Löschen Mahnstopp"/>
  </r>
  <r>
    <s v="ZFI_MAHNS_MAHNV"/>
    <s v="Nein"/>
    <x v="1"/>
    <s v="DEV-034"/>
    <x v="1"/>
    <x v="0"/>
    <x v="0"/>
    <m/>
    <m/>
    <s v="Löschen Mahnsperreinträge (MAHNS)  / Mahnstatuspflege (MAHNV)"/>
  </r>
  <r>
    <s v="ZFI_MAHNSTAPEL"/>
    <s v="Nein"/>
    <x v="0"/>
    <m/>
    <x v="0"/>
    <x v="0"/>
    <x v="0"/>
    <m/>
    <m/>
    <s v="Bildung Mahnstapel in Mahnlauf"/>
  </r>
  <r>
    <s v="ZFI_MAHNSTATISTIK"/>
    <s v="Nein"/>
    <x v="0"/>
    <m/>
    <x v="0"/>
    <x v="0"/>
    <x v="0"/>
    <m/>
    <m/>
    <s v="Pflege-Protokoll ZFI_MAHNSTATISTIK"/>
  </r>
  <r>
    <s v="ZFI_MAHNSTOPP"/>
    <s v="Nein"/>
    <x v="1"/>
    <s v="DEV-034"/>
    <x v="1"/>
    <x v="0"/>
    <x v="0"/>
    <m/>
    <m/>
    <s v="Pflege Mahnstopp"/>
  </r>
  <r>
    <s v="ZFI_MAHNSTOPP_ABZUG"/>
    <s v="Nein"/>
    <x v="1"/>
    <s v="DEV-034"/>
    <x v="1"/>
    <x v="0"/>
    <x v="0"/>
    <m/>
    <m/>
    <s v="Datenabzug Mahnstopp"/>
  </r>
  <r>
    <s v="ZFI_MAHNSTOPP_SETZEN"/>
    <s v="Nein"/>
    <x v="1"/>
    <s v="DEV-034"/>
    <x v="1"/>
    <x v="0"/>
    <x v="0"/>
    <m/>
    <m/>
    <m/>
  </r>
  <r>
    <s v="ZFI_MAHNSTOPP2"/>
    <s v="Nein"/>
    <x v="1"/>
    <s v="DEV-034"/>
    <x v="1"/>
    <x v="0"/>
    <x v="0"/>
    <m/>
    <m/>
    <s v="Pflege Mahnstopp"/>
  </r>
  <r>
    <s v="ZFI_MAHNVORSCHLAG"/>
    <s v="Ja"/>
    <x v="1"/>
    <s v="DEV-035"/>
    <x v="1"/>
    <x v="0"/>
    <x v="0"/>
    <m/>
    <m/>
    <s v="Mahnvorschlag: Ausnahmefälle"/>
  </r>
  <r>
    <s v="ZFI_MASSENAENDERUNG_VERTDAT"/>
    <s v="Nein"/>
    <x v="0"/>
    <s v="DEV-001"/>
    <x v="0"/>
    <x v="0"/>
    <x v="0"/>
    <m/>
    <m/>
    <s v="Massenänderung Vertragsdatum"/>
  </r>
  <r>
    <s v="ZFI_MAUS10"/>
    <s v="Nein"/>
    <x v="0"/>
    <m/>
    <x v="0"/>
    <x v="0"/>
    <x v="0"/>
    <m/>
    <m/>
    <s v="Offene Posten mit Langtext"/>
  </r>
  <r>
    <s v="ZFI_MONATSABSCHLUSS_UPLOAD"/>
    <s v="Ja"/>
    <x v="1"/>
    <m/>
    <x v="1"/>
    <x v="0"/>
    <x v="0"/>
    <m/>
    <m/>
    <s v="Upload und Verbuchung Monatsabschluß-Daten"/>
  </r>
  <r>
    <s v="ZFI_NEUBAU_ANLAGENLIST"/>
    <s v="Nein"/>
    <x v="0"/>
    <m/>
    <x v="0"/>
    <x v="0"/>
    <x v="0"/>
    <m/>
    <m/>
    <s v="Neubau Anlagenliste"/>
  </r>
  <r>
    <s v="ZFI_NEUBAU_ANLIST_GJ"/>
    <s v="Nein"/>
    <x v="0"/>
    <m/>
    <x v="0"/>
    <x v="0"/>
    <x v="0"/>
    <m/>
    <m/>
    <s v="Neubau Anlagenliste mehrere Geschäftsjahre"/>
  </r>
  <r>
    <s v="ZFI_NR_STAND_KOPIEREN"/>
    <s v="Ja"/>
    <x v="1"/>
    <s v="DEV-083"/>
    <x v="1"/>
    <x v="0"/>
    <x v="0"/>
    <m/>
    <m/>
    <s v="Programm ZFI_NR_STAND_KOPIEREN"/>
  </r>
  <r>
    <s v="ZFI_PAYMENT_AVIS"/>
    <s v="Nein"/>
    <x v="0"/>
    <s v="DEV-012"/>
    <x v="0"/>
    <x v="0"/>
    <x v="0"/>
    <m/>
    <m/>
    <s v="Zahlungsavissteuerung (Das ist eine Tabelle)"/>
  </r>
  <r>
    <s v="ZFI_PAYPAL"/>
    <s v="Ja"/>
    <x v="1"/>
    <s v="DEV-124"/>
    <x v="1"/>
    <x v="0"/>
    <x v="0"/>
    <m/>
    <m/>
    <s v="Verbuchung PayPal Zahlungen"/>
  </r>
  <r>
    <s v="ZFI_PDF_REISEKOSTEN"/>
    <s v="Nein"/>
    <x v="1"/>
    <s v="DEV-088"/>
    <x v="0"/>
    <x v="1"/>
    <x v="1"/>
    <m/>
    <m/>
    <s v="Ehrenamt : Reisekosten und Vergütung"/>
  </r>
  <r>
    <s v="ZFI_PERBIT"/>
    <s v="Nein"/>
    <x v="0"/>
    <m/>
    <x v="0"/>
    <x v="0"/>
    <x v="0"/>
    <m/>
    <m/>
    <s v="FI: Schnittstelle nach Perbit (Verwaltung Leih- und Zeitarbeiter)"/>
  </r>
  <r>
    <s v="ZFI_PHONE_ABRECHNUNG"/>
    <s v="Nein"/>
    <x v="0"/>
    <m/>
    <x v="0"/>
    <x v="0"/>
    <x v="0"/>
    <m/>
    <m/>
    <s v="Telefonabrechnung"/>
  </r>
  <r>
    <s v="ZFI_PLZORT"/>
    <s v="Ja"/>
    <x v="1"/>
    <m/>
    <x v="1"/>
    <x v="0"/>
    <x v="0"/>
    <m/>
    <m/>
    <s v="Unterprogramm zur Korrektur Postleitzahl/Ort"/>
  </r>
  <r>
    <s v="ZFI_PORTA_01"/>
    <s v="Nein"/>
    <x v="1"/>
    <m/>
    <x v="0"/>
    <x v="0"/>
    <x v="4"/>
    <m/>
    <m/>
    <s v="Bereitstellen PARIS-Daten für Avis-Abfrage"/>
  </r>
  <r>
    <s v="ZFI_PRINT_INVOICE"/>
    <s v="Nein"/>
    <x v="0"/>
    <m/>
    <x v="0"/>
    <x v="0"/>
    <x v="0"/>
    <m/>
    <m/>
    <s v="Programm ZFI_PRINT_INVOICE"/>
  </r>
  <r>
    <s v="ZFI_PRISMA_AGW"/>
    <s v="Nein"/>
    <x v="0"/>
    <m/>
    <x v="0"/>
    <x v="0"/>
    <x v="0"/>
    <m/>
    <m/>
    <s v="Prisma Agentur Werbeprovision Schnittstelle"/>
  </r>
  <r>
    <s v="ZFI_RAPS_ABSTIMMUNG"/>
    <s v="Nein"/>
    <x v="1"/>
    <m/>
    <x v="0"/>
    <x v="3"/>
    <x v="2"/>
    <m/>
    <m/>
    <s v="SAP RAPS: Datenbereitstellung für Abstimmdreieck"/>
  </r>
  <r>
    <s v="ZFI_RAPS01"/>
    <s v="Nein"/>
    <x v="1"/>
    <m/>
    <x v="0"/>
    <x v="3"/>
    <x v="2"/>
    <m/>
    <m/>
    <s v="RAPS: Provisionsschnittstelle"/>
  </r>
  <r>
    <s v="ZFI_RATE01"/>
    <s v="Ja"/>
    <x v="1"/>
    <s v="DEV-038"/>
    <x v="1"/>
    <x v="0"/>
    <x v="0"/>
    <m/>
    <m/>
    <s v="Forderungsumbuchung bei Ratenzahlern"/>
  </r>
  <r>
    <s v="ZFI_RATEN_RUECK01"/>
    <s v="Ja"/>
    <x v="1"/>
    <s v="DEV-038"/>
    <x v="1"/>
    <x v="0"/>
    <x v="0"/>
    <m/>
    <m/>
    <s v="ZFI_RATEN_RUECKMELDUNG"/>
  </r>
  <r>
    <s v="ZFI_RATEN_UEBERGABE"/>
    <s v="Nein"/>
    <x v="1"/>
    <s v="DEV-038"/>
    <x v="1"/>
    <x v="0"/>
    <x v="0"/>
    <m/>
    <m/>
    <s v="ZFI_RATEN_UEBERGABE"/>
  </r>
  <r>
    <s v="ZFI_RATENZINS"/>
    <s v="Nein"/>
    <x v="0"/>
    <m/>
    <x v="0"/>
    <x v="0"/>
    <x v="0"/>
    <m/>
    <m/>
    <s v="Ermittlung und Verbuchung Ratenzins"/>
  </r>
  <r>
    <s v="ZFI_RATENZINS_DRUCKPGM"/>
    <s v="Nein"/>
    <x v="0"/>
    <m/>
    <x v="0"/>
    <x v="0"/>
    <x v="0"/>
    <m/>
    <m/>
    <s v="Druckprogramm für ZFI_RATENZINS"/>
  </r>
  <r>
    <s v="ZFI_REB_CHECK"/>
    <s v="Nein"/>
    <x v="0"/>
    <m/>
    <x v="0"/>
    <x v="0"/>
    <x v="0"/>
    <m/>
    <m/>
    <s v="REB: Vorgangserinnerung und Überfälligkeitsliste"/>
  </r>
  <r>
    <s v="ZFI_REB_DISPIMAGE"/>
    <s v="Nein"/>
    <x v="0"/>
    <m/>
    <x v="0"/>
    <x v="0"/>
    <x v="0"/>
    <m/>
    <m/>
    <s v="Anzeige EVER-Eingangsrechnungen"/>
  </r>
  <r>
    <s v="ZFI_REB_P_ARCH_PROC_SHEETS"/>
    <s v="Nein"/>
    <x v="0"/>
    <m/>
    <x v="0"/>
    <x v="0"/>
    <x v="0"/>
    <m/>
    <m/>
    <s v="Archivierung ProzessSheets"/>
  </r>
  <r>
    <s v="ZFI_REB_P_ARCHIVE_LEDGER"/>
    <s v="Nein"/>
    <x v="0"/>
    <m/>
    <x v="0"/>
    <x v="0"/>
    <x v="0"/>
    <m/>
    <m/>
    <s v="Archivierung von Belegen des Rechnungseingangsbuches"/>
  </r>
  <r>
    <s v="ZFI_REB_P_ARCHIVE_LEDGER_DEL"/>
    <s v="Nein"/>
    <x v="0"/>
    <m/>
    <x v="0"/>
    <x v="0"/>
    <x v="0"/>
    <m/>
    <m/>
    <s v="Archivierung von Belegen des Rechnungseingangsbuches"/>
  </r>
  <r>
    <s v="ZFI_REB_P_ARCHIVE_SHEETS"/>
    <s v="Nein"/>
    <x v="0"/>
    <m/>
    <x v="0"/>
    <x v="0"/>
    <x v="0"/>
    <m/>
    <m/>
    <s v="Job zum Archivieren der Freigabesheets"/>
  </r>
  <r>
    <s v="ZFI_REB_P_CHANGE_DEVCL"/>
    <s v="Nein"/>
    <x v="0"/>
    <m/>
    <x v="0"/>
    <x v="0"/>
    <x v="0"/>
    <m/>
    <m/>
    <s v="Programm /SER/CHANGE_DEVCLASS"/>
  </r>
  <r>
    <s v="ZFI_REB_P_CONNECTION_REB"/>
    <s v="Nein"/>
    <x v="0"/>
    <m/>
    <x v="0"/>
    <x v="0"/>
    <x v="0"/>
    <m/>
    <m/>
    <s v="Job zur Nachbearbeitung Verknüpfungen REB-Einträge"/>
  </r>
  <r>
    <s v="ZFI_REB_P_DOC_CHECK"/>
    <s v="Nein"/>
    <x v="0"/>
    <m/>
    <x v="0"/>
    <x v="0"/>
    <x v="0"/>
    <m/>
    <m/>
    <s v="Lücken in der Belegnummernvergabe - Rechnungseingangsbuch"/>
  </r>
  <r>
    <s v="ZFI_REB_P_DOC_CHECK2"/>
    <s v="Nein"/>
    <x v="0"/>
    <m/>
    <x v="0"/>
    <x v="0"/>
    <x v="0"/>
    <m/>
    <m/>
    <s v="Lücken in der Belegnummernvergabe"/>
  </r>
  <r>
    <s v="ZFI_REB_P_LEDGER"/>
    <s v="Nein"/>
    <x v="0"/>
    <m/>
    <x v="0"/>
    <x v="0"/>
    <x v="0"/>
    <m/>
    <m/>
    <s v="InvoiceMaster Control"/>
  </r>
  <r>
    <s v="ZFI_REB_P_LEDGER_CALL"/>
    <s v="Nein"/>
    <x v="0"/>
    <m/>
    <x v="0"/>
    <x v="0"/>
    <x v="0"/>
    <m/>
    <m/>
    <s v="Programm ZFI_REB_P_LEDGER_CALL"/>
  </r>
  <r>
    <s v="ZFI_REB_P_UPDATE_ZAHLLAUF"/>
    <s v="Nein"/>
    <x v="0"/>
    <m/>
    <x v="0"/>
    <x v="0"/>
    <x v="0"/>
    <m/>
    <m/>
    <s v="Job für Update Daten nach Zahllauf"/>
  </r>
  <r>
    <s v="ZFI_REBHIS_ARCHCHECK"/>
    <s v="Nein"/>
    <x v="0"/>
    <m/>
    <x v="0"/>
    <x v="0"/>
    <x v="0"/>
    <m/>
    <m/>
    <s v="zu archivierende Vorgänge ermitteln"/>
  </r>
  <r>
    <s v="ZFI_RECHNUNG_WUERTH"/>
    <s v="Nein"/>
    <x v="2"/>
    <m/>
    <x v="0"/>
    <x v="4"/>
    <x v="3"/>
    <m/>
    <s v="V. Niemann"/>
    <s v="FI: zfi_rechnung_würth erstellen Schnittstellen"/>
  </r>
  <r>
    <s v="ZFI_REGZAHL"/>
    <s v="Ja"/>
    <x v="1"/>
    <s v="DEV-032"/>
    <x v="1"/>
    <x v="0"/>
    <x v="0"/>
    <m/>
    <m/>
    <s v="Regresse: Täglicher Lauf: Zahlungen umbuchen"/>
  </r>
  <r>
    <s v="ZFI_RFAWVZ40_OHNE_LZBKZ"/>
    <s v="Nein"/>
    <x v="0"/>
    <m/>
    <x v="0"/>
    <x v="0"/>
    <x v="0"/>
    <m/>
    <m/>
    <s v="Meldungen AWV Z4 - LZB-Kennzeichen fehlt!!!"/>
  </r>
  <r>
    <s v="ZFI_RFBABL00"/>
    <s v="Nein"/>
    <x v="0"/>
    <m/>
    <x v="0"/>
    <x v="0"/>
    <x v="0"/>
    <m/>
    <m/>
    <s v="Änderungsanzeige Belege"/>
  </r>
  <r>
    <s v="ZFI_RFBILA00"/>
    <s v="Ja"/>
    <x v="1"/>
    <s v="DEV-087"/>
    <x v="1"/>
    <x v="0"/>
    <x v="0"/>
    <m/>
    <m/>
    <s v="Bilanz/GuV"/>
  </r>
  <r>
    <s v="ZFI_RFCASH20"/>
    <s v="Nein"/>
    <x v="0"/>
    <m/>
    <x v="0"/>
    <x v="0"/>
    <x v="0"/>
    <m/>
    <m/>
    <s v="Kassenbuchjournal - ALV-Grid"/>
  </r>
  <r>
    <s v="ZFI_RFDABL00"/>
    <s v="Nein"/>
    <x v="0"/>
    <m/>
    <x v="0"/>
    <x v="0"/>
    <x v="0"/>
    <m/>
    <m/>
    <s v="Änderungsanzeige Debitoren"/>
  </r>
  <r>
    <s v="ZFI_RFDABL00_ALT"/>
    <s v="Nein"/>
    <x v="0"/>
    <m/>
    <x v="0"/>
    <x v="0"/>
    <x v="0"/>
    <m/>
    <m/>
    <s v="Änderungsanzeige Debitoren  ## Alt ##"/>
  </r>
  <r>
    <s v="ZFI_RFKABL00"/>
    <s v="Nein"/>
    <x v="0"/>
    <s v="DEV-075"/>
    <x v="0"/>
    <x v="0"/>
    <x v="0"/>
    <m/>
    <m/>
    <s v="Änderungsanzeige Kreditoren"/>
  </r>
  <r>
    <s v="ZFI_RFSEPA02"/>
    <s v="Nein"/>
    <x v="0"/>
    <m/>
    <x v="0"/>
    <x v="0"/>
    <x v="0"/>
    <m/>
    <m/>
    <s v="Aufbau der Verwaltung offener Posten nach Stammsatzänderung"/>
  </r>
  <r>
    <s v="ZFI_RSTTAB"/>
    <s v="Nein"/>
    <x v="0"/>
    <m/>
    <x v="0"/>
    <x v="0"/>
    <x v="0"/>
    <m/>
    <m/>
    <s v="Ermittlung Rückstellungstableau"/>
  </r>
  <r>
    <s v="ZFI_SAKO_IMMO"/>
    <s v="Nein"/>
    <x v="1"/>
    <s v="DEV-125"/>
    <x v="0"/>
    <x v="3"/>
    <x v="2"/>
    <m/>
    <m/>
    <s v="Anzeige Sachkonten Einzelposten mit Immobilienobjekten WE und NKSCHL"/>
  </r>
  <r>
    <s v="ZFI_SALDEN_CLUBS"/>
    <s v="Nein"/>
    <x v="0"/>
    <m/>
    <x v="0"/>
    <x v="0"/>
    <x v="0"/>
    <m/>
    <m/>
    <s v="Saldenliste Clubs DEBITOREN-REPORT"/>
  </r>
  <r>
    <s v="ZFI_SALDEN_GLT0_TO_GLT3"/>
    <s v="Nein"/>
    <x v="0"/>
    <m/>
    <x v="0"/>
    <x v="0"/>
    <x v="0"/>
    <m/>
    <m/>
    <s v="Übernahme Saldovortrag aus GLT0 in GLT3 (Konsolid.vorbereitungsledger)"/>
  </r>
  <r>
    <s v="ZFI_SALDEN_MITBUCHKONTO"/>
    <s v="Nein"/>
    <x v="0"/>
    <m/>
    <x v="0"/>
    <x v="0"/>
    <x v="0"/>
    <m/>
    <m/>
    <s v="FI: Saldenliste Mitbuchkonto"/>
  </r>
  <r>
    <s v="ZFI_SAM_VBR_LISTE"/>
    <s v="Ja"/>
    <x v="1"/>
    <s v="DEV-076"/>
    <x v="1"/>
    <x v="0"/>
    <x v="0"/>
    <m/>
    <m/>
    <s v="Sanktionsprüfung: Auswertung für Versicherungen (VBR)"/>
  </r>
  <r>
    <s v="ZFI_SAPF150D2"/>
    <s v="Ja"/>
    <x v="1"/>
    <m/>
    <x v="1"/>
    <x v="0"/>
    <x v="0"/>
    <m/>
    <m/>
    <s v="FI Mahnen - Druckprogramm"/>
  </r>
  <r>
    <s v="ZFI_SAPF150D2_OLD"/>
    <s v="Nein"/>
    <x v="0"/>
    <m/>
    <x v="0"/>
    <x v="0"/>
    <x v="0"/>
    <m/>
    <m/>
    <s v="FI Mahnen - Druckprogramm"/>
  </r>
  <r>
    <s v="ZFI_SCHECKDB"/>
    <s v="Nein"/>
    <x v="0"/>
    <s v="DEV-136"/>
    <x v="0"/>
    <x v="0"/>
    <x v="0"/>
    <m/>
    <m/>
    <s v="FI: Anzeigeprogramm ScheckDB"/>
  </r>
  <r>
    <s v="ZFI_SD_UM"/>
    <s v="Ja"/>
    <x v="1"/>
    <s v="DEV-126"/>
    <x v="1"/>
    <x v="0"/>
    <x v="0"/>
    <m/>
    <m/>
    <s v="Umbuchungen von Erlösbuchungen"/>
  </r>
  <r>
    <s v="ZFI_SEPA_MIG_IBAN"/>
    <s v="Nein"/>
    <x v="0"/>
    <m/>
    <x v="0"/>
    <x v="0"/>
    <x v="0"/>
    <m/>
    <m/>
    <s v="SEPA-Migration: Anlage von IBAN's"/>
  </r>
  <r>
    <s v="ZFI_SEPA_PRENOTE"/>
    <s v="Ja"/>
    <x v="1"/>
    <m/>
    <x v="1"/>
    <x v="0"/>
    <x v="0"/>
    <m/>
    <m/>
    <s v="SEPA: Prenotification erzeugen (Lastschriftankündigung)"/>
  </r>
  <r>
    <s v="ZFI_SEPA_Prenote_incl"/>
    <s v="Ja"/>
    <x v="1"/>
    <m/>
    <x v="1"/>
    <x v="0"/>
    <x v="0"/>
    <s v="x"/>
    <m/>
    <m/>
  </r>
  <r>
    <s v="ZFI_SGSS_EXPORT"/>
    <s v="Nein"/>
    <x v="1"/>
    <s v="DEV-127"/>
    <x v="0"/>
    <x v="3"/>
    <x v="2"/>
    <m/>
    <m/>
    <s v="SGSS-Export-Schnittstelle"/>
  </r>
  <r>
    <s v="ZFI_SGSS_IMPORT"/>
    <s v="Nein"/>
    <x v="1"/>
    <s v="DEV-127"/>
    <x v="0"/>
    <x v="3"/>
    <x v="2"/>
    <m/>
    <m/>
    <s v="SGSS-Import-Schnittstelle"/>
  </r>
  <r>
    <s v="ZFI_SOLVENCY_BIL"/>
    <s v="Nein"/>
    <x v="0"/>
    <m/>
    <x v="0"/>
    <x v="0"/>
    <x v="0"/>
    <m/>
    <m/>
    <s v="Solvency II - Schnittstelle Bilanzwerte"/>
  </r>
  <r>
    <s v="ZFI_SPIDER_BESTELLNR_GET_FI"/>
    <s v="Ja"/>
    <x v="1"/>
    <s v="DEV-128"/>
    <x v="1"/>
    <x v="0"/>
    <x v="0"/>
    <m/>
    <m/>
    <s v="FI-Belege aus Bestellnummern von SPIDER lesen"/>
  </r>
  <r>
    <s v="ZFI_SPIDER_DOCID_GET_FI"/>
    <s v="Ja"/>
    <x v="1"/>
    <s v="DEV-128"/>
    <x v="1"/>
    <x v="0"/>
    <x v="0"/>
    <m/>
    <m/>
    <s v="DOC_ID zu Spider FI-Belegen"/>
  </r>
  <r>
    <s v="ZFI_SPOOL_PDF"/>
    <s v="Ja"/>
    <x v="1"/>
    <m/>
    <x v="1"/>
    <x v="0"/>
    <x v="0"/>
    <m/>
    <m/>
    <s v="Ablage von Spoollisten in PDF-Format"/>
  </r>
  <r>
    <s v="ZFI_SPOOL_UPDATE"/>
    <s v="Nein"/>
    <x v="1"/>
    <s v="DEV-037"/>
    <x v="1"/>
    <x v="0"/>
    <x v="0"/>
    <m/>
    <m/>
    <s v="Update von Spool-Datasets"/>
  </r>
  <r>
    <s v="ZFI_SS_BEGRU"/>
    <s v="Ja"/>
    <x v="1"/>
    <s v="DEV-147"/>
    <x v="1"/>
    <x v="0"/>
    <x v="0"/>
    <m/>
    <m/>
    <s v="Rücknahme der Berechtigungsgruppe im Stammsatz (Datenschutz)"/>
  </r>
  <r>
    <s v="ZFI_SS_CONVERT_KUNNR"/>
    <s v="Ja"/>
    <x v="1"/>
    <s v="DEV-147"/>
    <x v="1"/>
    <x v="0"/>
    <x v="0"/>
    <m/>
    <m/>
    <s v="Konvertierung der Debitorennummer im Feld KUNNR"/>
  </r>
  <r>
    <s v="ZFI_SS_FB01"/>
    <s v="Ja"/>
    <x v="1"/>
    <s v="DEV-147"/>
    <x v="1"/>
    <x v="0"/>
    <x v="0"/>
    <m/>
    <m/>
    <s v="Standardschnittstelle für Belegerfassung und Stammsatzpflege"/>
  </r>
  <r>
    <s v="ZFI_SS_FB0100"/>
    <s v="Ja"/>
    <x v="1"/>
    <s v="DEV-147"/>
    <x v="1"/>
    <x v="0"/>
    <x v="0"/>
    <s v="x"/>
    <m/>
    <s v="Standardschnittstelle für Belegerfassung und Stammsatzpflege"/>
  </r>
  <r>
    <s v="ZFI_SS_FB0101"/>
    <s v="Ja"/>
    <x v="1"/>
    <s v="DEV-147"/>
    <x v="1"/>
    <x v="0"/>
    <x v="0"/>
    <m/>
    <m/>
    <s v="Batch-Input Standardschnittstelle FB01"/>
  </r>
  <r>
    <s v="ZFI_SS_FB01P2"/>
    <s v="Ja"/>
    <x v="1"/>
    <s v="DEV-147"/>
    <x v="1"/>
    <x v="0"/>
    <x v="0"/>
    <m/>
    <m/>
    <s v="Standardschnittstelle: Auswertung Protokolltabelle ZFI_SS11"/>
  </r>
  <r>
    <s v="ZFI_SS_FB01P3"/>
    <s v="Ja"/>
    <x v="1"/>
    <s v="DEV-147"/>
    <x v="1"/>
    <x v="0"/>
    <x v="0"/>
    <m/>
    <m/>
    <s v="Standardschnittstelle Mappenstatus setzen in ZFI_SS11"/>
  </r>
  <r>
    <s v="ZFI_SS_FB01PT"/>
    <s v="Ja"/>
    <x v="1"/>
    <s v="DEV-147"/>
    <x v="1"/>
    <x v="0"/>
    <x v="0"/>
    <m/>
    <m/>
    <s v="Standardschnittstelle Ermittlung der gebuchten Belegsummen"/>
  </r>
  <r>
    <s v="ZFI_SS_FX01"/>
    <s v="Ja"/>
    <x v="1"/>
    <s v="DEV-147"/>
    <x v="1"/>
    <x v="0"/>
    <x v="0"/>
    <m/>
    <m/>
    <s v="Standardschnittstelle für Stammsatzpflege aus CSV-Datei"/>
  </r>
  <r>
    <s v="ZFI_SS_SEPAMAND"/>
    <s v="Ja"/>
    <x v="1"/>
    <s v="DEV-147"/>
    <x v="1"/>
    <x v="0"/>
    <x v="0"/>
    <m/>
    <m/>
    <s v="Pflege von Mandatsdaten"/>
  </r>
  <r>
    <s v="ZFI_SS_TSFBLO"/>
    <s v="Ja"/>
    <x v="1"/>
    <s v="DEV-147"/>
    <x v="1"/>
    <x v="0"/>
    <x v="0"/>
    <m/>
    <m/>
    <s v="Standardschnittstelle Löschen Einträge in Protokolltabellen"/>
  </r>
  <r>
    <s v="ZFI_SS_TSXX00"/>
    <s v="Ja"/>
    <x v="1"/>
    <s v="DEV-147"/>
    <x v="1"/>
    <x v="0"/>
    <x v="0"/>
    <m/>
    <m/>
    <s v="Standardschnittstelle Stammsatzanlage Konvertierung ins interne Format"/>
  </r>
  <r>
    <s v="ZFI_SS_TSXX01"/>
    <s v="Ja"/>
    <x v="1"/>
    <s v="DEV-147"/>
    <x v="1"/>
    <x v="0"/>
    <x v="0"/>
    <m/>
    <m/>
    <s v="Standardschnittstelle Stammsatzanlage Mappenerstellung"/>
  </r>
  <r>
    <s v="ZFI_STEUER_ANL_VIEW"/>
    <s v="Nein"/>
    <x v="0"/>
    <s v="DEV-001"/>
    <x v="0"/>
    <x v="0"/>
    <x v="0"/>
    <m/>
    <m/>
    <s v="FI: Auswertung steuerrelevante Änderungen Anlagen"/>
  </r>
  <r>
    <s v="ZFI_SWA_LIEF_GUT"/>
    <s v="Nein"/>
    <x v="1"/>
    <s v="DEV-063"/>
    <x v="0"/>
    <x v="0"/>
    <x v="4"/>
    <m/>
    <m/>
    <s v="FI: Ersatzteilservice/Batterieservice - Gutschriftsanzeige"/>
  </r>
  <r>
    <s v="ZFI_SWA_LIEF_RUECK"/>
    <s v="Nein"/>
    <x v="0"/>
    <s v="DEV-063"/>
    <x v="0"/>
    <x v="0"/>
    <x v="0"/>
    <m/>
    <m/>
    <s v="FI: SWA Lieferanten Rückmeldung Verarbeiten"/>
  </r>
  <r>
    <s v="ZFI_SYNC_STAMMDATEN"/>
    <s v="Ja"/>
    <x v="1"/>
    <m/>
    <x v="1"/>
    <x v="0"/>
    <x v="0"/>
    <m/>
    <m/>
    <s v="Stammdaten synchronisieren (FDGRV,BEGRU,MASAB,BUSAB,LZBKZ,WBRSL)"/>
  </r>
  <r>
    <s v="ZFI_T27CHECK"/>
    <s v="Nein"/>
    <x v="0"/>
    <m/>
    <x v="0"/>
    <x v="0"/>
    <x v="0"/>
    <m/>
    <m/>
    <s v="Bestand 2000Tabellenprüfung"/>
  </r>
  <r>
    <s v="ZFI_T27CHECK_MIG"/>
    <s v="Nein"/>
    <x v="0"/>
    <m/>
    <x v="0"/>
    <x v="0"/>
    <x v="0"/>
    <m/>
    <m/>
    <s v="Bestand 2000Tabellenprüfung"/>
  </r>
  <r>
    <s v="ZFI_T29CHECK"/>
    <s v="Ja"/>
    <x v="1"/>
    <m/>
    <x v="1"/>
    <x v="0"/>
    <x v="0"/>
    <m/>
    <m/>
    <s v="Prüfprogramm für Kontierungstabellen LAVA"/>
  </r>
  <r>
    <s v="ZFI_TB05FO"/>
    <s v="Nein"/>
    <x v="0"/>
    <m/>
    <x v="0"/>
    <x v="0"/>
    <x v="0"/>
    <m/>
    <m/>
    <s v="Automatische Forderungsausbuchung"/>
  </r>
  <r>
    <s v="ZFI_UMB_KASSENBUCH"/>
    <s v="Nein"/>
    <x v="1"/>
    <s v="DEV-129"/>
    <x v="0"/>
    <x v="1"/>
    <x v="1"/>
    <m/>
    <m/>
    <s v="Kassenbuchung in Partner erstellen"/>
  </r>
  <r>
    <s v="ZFI_UPD_RATEN"/>
    <s v="Nein"/>
    <x v="0"/>
    <m/>
    <x v="0"/>
    <x v="0"/>
    <x v="0"/>
    <m/>
    <m/>
    <s v="FI Update des ZFBDT der Ratenzahler"/>
  </r>
  <r>
    <s v="ZFI_UPDATE_COCKPIT_ZAHLUNG"/>
    <s v="Ja"/>
    <x v="1"/>
    <s v="DEV-041"/>
    <x v="1"/>
    <x v="0"/>
    <x v="0"/>
    <m/>
    <m/>
    <s v="Aktualisierung Tabelle ZFI_INKO_COCKPIT,ZFI_INKO_COCKPI2 für Zahlung"/>
  </r>
  <r>
    <s v="ZFI_UPDATE_ZFBDT"/>
    <s v="Nein"/>
    <x v="0"/>
    <m/>
    <x v="0"/>
    <x v="0"/>
    <x v="0"/>
    <m/>
    <m/>
    <s v="FI: Update Zahlungsfristenbasisidatum"/>
  </r>
  <r>
    <s v="ZFI_UPLOAD_ADAMTAB_MIG"/>
    <s v="Nein"/>
    <x v="0"/>
    <m/>
    <x v="0"/>
    <x v="0"/>
    <x v="0"/>
    <m/>
    <m/>
    <s v="Hochladen Excel in Kontierungstabellen für Migration ADAM 2.0"/>
  </r>
  <r>
    <s v="ZFI_UPLOAD_IVANTAB"/>
    <s v="Nein"/>
    <x v="1"/>
    <m/>
    <x v="0"/>
    <x v="1"/>
    <x v="1"/>
    <m/>
    <m/>
    <s v="Hochladen Excel in IVAN-Tabellen"/>
  </r>
  <r>
    <s v="ZFI_VARTA_GUT"/>
    <s v="Nein"/>
    <x v="1"/>
    <s v="DEV-130"/>
    <x v="0"/>
    <x v="0"/>
    <x v="4"/>
    <m/>
    <m/>
    <s v="FI: VARTA Erzeugen Gutschriftsanzeige"/>
  </r>
  <r>
    <s v="ZFI_VARTA_LIFNR"/>
    <s v="Nein"/>
    <x v="0"/>
    <m/>
    <x v="0"/>
    <x v="0"/>
    <x v="0"/>
    <m/>
    <m/>
    <s v="FI: Varta Einlesen der Lieferscheinnr"/>
  </r>
  <r>
    <s v="ZFI_VBUND_ADRESS"/>
    <s v="Nein"/>
    <x v="0"/>
    <m/>
    <x v="0"/>
    <x v="0"/>
    <x v="0"/>
    <m/>
    <m/>
    <s v="Adressprüfung VBUND - CPD-Belege und Stammsätze"/>
  </r>
  <r>
    <s v="ZFI_VERLAG_AMA"/>
    <s v="Nein"/>
    <x v="0"/>
    <m/>
    <x v="0"/>
    <x v="0"/>
    <x v="0"/>
    <m/>
    <m/>
    <s v="Verlagsschnittstelle SAP"/>
  </r>
  <r>
    <s v="ZFI_VERLAG_THM"/>
    <s v="Nein"/>
    <x v="0"/>
    <m/>
    <x v="0"/>
    <x v="0"/>
    <x v="0"/>
    <m/>
    <m/>
    <s v="Verlag Erlösumbuchung Travel House Media"/>
  </r>
  <r>
    <s v="ZFI_VLSALD"/>
    <s v="Nein"/>
    <x v="2"/>
    <s v="DEV-131"/>
    <x v="0"/>
    <x v="4"/>
    <x v="3"/>
    <m/>
    <s v="M. Lex"/>
    <s v="Cash-Concentration: Salden nach Valutadatum "/>
  </r>
  <r>
    <s v="ZFI_VORST_AW"/>
    <s v="Nein"/>
    <x v="0"/>
    <s v="DEV-094"/>
    <x v="0"/>
    <x v="0"/>
    <x v="0"/>
    <m/>
    <m/>
    <s v="Auswertung Vorsteuerkorrektur nach X-Schlüsseln, aus RE-FX und HAC"/>
  </r>
  <r>
    <s v="ZFI_VORST_UPD_ZFI_M_ZZVKV"/>
    <s v="Nein"/>
    <x v="0"/>
    <s v="DEV-094"/>
    <x v="0"/>
    <x v="0"/>
    <x v="0"/>
    <m/>
    <m/>
    <s v="Tabellenpflege ZFI_M_ZZVKV  Beleganzeige incl. Vorsteuerkorrekturbeleg"/>
  </r>
  <r>
    <s v="ZFI_VORST2"/>
    <s v="Nein"/>
    <x v="0"/>
    <s v="DEV-094"/>
    <x v="0"/>
    <x v="0"/>
    <x v="0"/>
    <m/>
    <m/>
    <s v="Monatliche Abstimmung Vorsteuerkorrektur"/>
  </r>
  <r>
    <s v="ZFI_VORST3"/>
    <s v="Nein"/>
    <x v="0"/>
    <s v="DEV-094"/>
    <x v="0"/>
    <x v="0"/>
    <x v="0"/>
    <m/>
    <m/>
    <s v="VST-Korrektur   / Postenanzeige  mit VST-Korrektur"/>
  </r>
  <r>
    <s v="ZFI_VORST4"/>
    <s v="Nein"/>
    <x v="0"/>
    <s v="DEV-094"/>
    <x v="0"/>
    <x v="0"/>
    <x v="0"/>
    <m/>
    <m/>
    <s v="VST-Korrektur Beleganzeige mit Korrekturbeleg"/>
  </r>
  <r>
    <s v="ZFI_VSTKOR"/>
    <s v="Nein"/>
    <x v="0"/>
    <s v="DEV-094"/>
    <x v="0"/>
    <x v="0"/>
    <x v="0"/>
    <m/>
    <m/>
    <s v="Tägliche Vorsteuerkorrektur aus der Belegdatenbank"/>
  </r>
  <r>
    <s v="ZFI_VTE_SCHLEIFE"/>
    <s v="Nein"/>
    <x v="2"/>
    <m/>
    <x v="0"/>
    <x v="4"/>
    <x v="3"/>
    <m/>
    <s v="M. Hoymayer"/>
    <s v="Erzeugung Schleifenbuchung für VTE (BuKrs 1000) "/>
  </r>
  <r>
    <s v="ZFI_WOMO_ZUORDANZ"/>
    <s v="Nein"/>
    <x v="0"/>
    <m/>
    <x v="0"/>
    <x v="0"/>
    <x v="0"/>
    <m/>
    <m/>
    <s v="AVM:Wohnmobile:Zuordnung:Anzahlungen"/>
  </r>
  <r>
    <s v="ZFI_ZAHLLAUF_AUSWERT"/>
    <s v="Nein"/>
    <x v="0"/>
    <m/>
    <x v="0"/>
    <x v="0"/>
    <x v="0"/>
    <m/>
    <m/>
    <s v="Auswertung Zahllaufdaten - nach Kontengruppen"/>
  </r>
  <r>
    <s v="ZFI_ZAHLLAUF_BETRAG"/>
    <s v="Nein"/>
    <x v="0"/>
    <m/>
    <x v="0"/>
    <x v="0"/>
    <x v="0"/>
    <m/>
    <m/>
    <s v="Prüfliste Zahllauf - Betragsauswertung"/>
  </r>
  <r>
    <s v="ZFI_ZAHLLAUF_SICH"/>
    <s v="Nein"/>
    <x v="0"/>
    <m/>
    <x v="0"/>
    <x v="0"/>
    <x v="0"/>
    <m/>
    <m/>
    <s v="Sicherung Zahllaufdaten"/>
  </r>
  <r>
    <s v="ZFI_ZAHLLAUF_VORSYSTEM"/>
    <s v="Nein"/>
    <x v="0"/>
    <m/>
    <x v="0"/>
    <x v="0"/>
    <x v="0"/>
    <m/>
    <m/>
    <s v="Zahlungsliste: Zahlläufe nach Vorsystemen"/>
  </r>
  <r>
    <s v="ZFI_ZAHLLAUF_ZUFALL"/>
    <s v="Nein"/>
    <x v="2"/>
    <s v="DEV-074"/>
    <x v="0"/>
    <x v="4"/>
    <x v="3"/>
    <m/>
    <s v="C. Cleff"/>
    <s v="Prüfliste Zahllauf - Zufallsauswertung"/>
  </r>
  <r>
    <s v="ZFI_ZAHLUNGSMITTEILUNGEN"/>
    <s v="Nein"/>
    <x v="0"/>
    <m/>
    <x v="0"/>
    <x v="0"/>
    <x v="0"/>
    <m/>
    <m/>
    <s v="Zahlungsmitteilungen"/>
  </r>
  <r>
    <s v="ZFI_ZAHLV_ALV"/>
    <s v="Nein"/>
    <x v="0"/>
    <m/>
    <x v="0"/>
    <x v="0"/>
    <x v="0"/>
    <m/>
    <m/>
    <s v="Zahlverhalten - ALV"/>
  </r>
  <r>
    <s v="ZFI_ZAHLV_DDF"/>
    <s v="Nein"/>
    <x v="0"/>
    <m/>
    <x v="0"/>
    <x v="0"/>
    <x v="0"/>
    <m/>
    <m/>
    <s v="Zahlverhalten - Selektion"/>
  </r>
  <r>
    <s v="ZFI_ZAHLV_RAHMEN"/>
    <s v="Nein"/>
    <x v="0"/>
    <m/>
    <x v="0"/>
    <x v="0"/>
    <x v="0"/>
    <m/>
    <m/>
    <s v="Durchschn. Zahlverhalten: Rahmenprogramm"/>
  </r>
  <r>
    <s v="ZFI_ZAHLV_RAHMEN_FB"/>
    <s v="Nein"/>
    <x v="0"/>
    <m/>
    <x v="0"/>
    <x v="0"/>
    <x v="0"/>
    <m/>
    <m/>
    <s v="Durchschnittliches Zahlverhalten: Neurechnen Kunde"/>
  </r>
  <r>
    <s v="ZFI_ZAHLV_SEL"/>
    <s v="Nein"/>
    <x v="0"/>
    <m/>
    <x v="0"/>
    <x v="0"/>
    <x v="0"/>
    <m/>
    <m/>
    <s v="Zahlverhalten - Selektion"/>
  </r>
  <r>
    <s v="ZFI_ZF140_CASH"/>
    <s v="Nein"/>
    <x v="0"/>
    <m/>
    <x v="0"/>
    <x v="0"/>
    <x v="0"/>
    <m/>
    <m/>
    <s v="Programm Z_I_ZF140_CASH"/>
  </r>
  <r>
    <s v="ZFI_ZML_CHECK"/>
    <s v="Ja"/>
    <x v="1"/>
    <s v="DEV-086"/>
    <x v="1"/>
    <x v="0"/>
    <x v="0"/>
    <m/>
    <m/>
    <s v="Prüfen Mahn-/Zahlläufe -&gt; Zahl- Mahncockpit bereits übernommen und im EEA vorhanden"/>
  </r>
  <r>
    <s v="ZFI_ZML_COCKPIT"/>
    <s v="Ja"/>
    <x v="1"/>
    <s v="DEV-086"/>
    <x v="1"/>
    <x v="0"/>
    <x v="0"/>
    <m/>
    <m/>
    <s v="Cockpit für automatische Mahn-/Zahlläufe"/>
  </r>
  <r>
    <s v="ZFI_ZML_COPGEN"/>
    <s v="Ja"/>
    <x v="1"/>
    <s v="DEV-086"/>
    <x v="1"/>
    <x v="0"/>
    <x v="0"/>
    <m/>
    <m/>
    <s v="automatisiertem Zahllauf - Jobs, Events, Variablen"/>
  </r>
  <r>
    <s v="ZFI_ZML_DEAKT"/>
    <s v="Ja"/>
    <x v="1"/>
    <s v="DEV-086"/>
    <x v="1"/>
    <x v="0"/>
    <x v="0"/>
    <m/>
    <m/>
    <s v="Zahlläufe deaktivieren"/>
  </r>
  <r>
    <s v="ZFI_ZML_DEL"/>
    <s v="Ja"/>
    <x v="1"/>
    <s v="DEV-086"/>
    <x v="1"/>
    <x v="0"/>
    <x v="0"/>
    <m/>
    <m/>
    <s v="Mahn/Zahllauf - Löschprogramm"/>
  </r>
  <r>
    <s v="ZFI_ZML_FILL"/>
    <s v="Ja"/>
    <x v="1"/>
    <s v="DEV-086"/>
    <x v="1"/>
    <x v="0"/>
    <x v="0"/>
    <m/>
    <m/>
    <s v="Füllen der Zahllauf-Steuertabelle mit Daten"/>
  </r>
  <r>
    <s v="ZFI_ZML_INIT"/>
    <s v="Ja"/>
    <x v="1"/>
    <s v="DEV-086"/>
    <x v="1"/>
    <x v="0"/>
    <x v="0"/>
    <m/>
    <m/>
    <s v="Zahllauf-Steuerung initalisieren"/>
  </r>
  <r>
    <s v="ZFI_ZML_KALENDER"/>
    <s v="Nein"/>
    <x v="1"/>
    <s v="DEV-132"/>
    <x v="1"/>
    <x v="0"/>
    <x v="0"/>
    <m/>
    <m/>
    <s v="Mahn- und Zahllauf-Kalender"/>
  </r>
  <r>
    <s v="ZFI_ZML_SCHED"/>
    <s v="Ja"/>
    <x v="1"/>
    <s v="DEV-086"/>
    <x v="1"/>
    <x v="0"/>
    <x v="0"/>
    <m/>
    <m/>
    <s v="scheduler für Zahlläufe"/>
  </r>
  <r>
    <s v="ZIM_LST_IMAUFTRAG01"/>
    <s v="Nein"/>
    <x v="0"/>
    <m/>
    <x v="0"/>
    <x v="0"/>
    <x v="0"/>
    <m/>
    <m/>
    <s v="X-Schlüssel Vergleichsliste  IM-Auftrag und des anford. CO-Objektes"/>
  </r>
  <r>
    <s v="ZIM_MASN_FREIGABE"/>
    <s v="Nein"/>
    <x v="0"/>
    <m/>
    <x v="0"/>
    <x v="0"/>
    <x v="0"/>
    <m/>
    <m/>
    <s v="Freigabe von Maßnahmenanforderungen"/>
  </r>
  <r>
    <s v="ZIM_MASNANFORD_IMPORT"/>
    <s v="Nein"/>
    <x v="0"/>
    <m/>
    <x v="0"/>
    <x v="0"/>
    <x v="0"/>
    <m/>
    <m/>
    <s v="Import von Maßnahmenanforderungen - EXCEL-Datei"/>
  </r>
  <r>
    <s v="ZIM_UPD_IMAUFTRAG01"/>
    <s v="Nein"/>
    <x v="0"/>
    <m/>
    <x v="0"/>
    <x v="0"/>
    <x v="0"/>
    <m/>
    <m/>
    <s v="Pflege des anfordernden CO-Objekt und X-Schlüsssel im IM-Auftrag"/>
  </r>
  <r>
    <s v="ZMEPOCORR1"/>
    <s v="Nein"/>
    <x v="0"/>
    <m/>
    <x v="0"/>
    <x v="0"/>
    <x v="0"/>
    <m/>
    <m/>
    <m/>
  </r>
  <r>
    <s v="ZMM_AIS_OFFBEST"/>
    <s v="Nein"/>
    <x v="0"/>
    <m/>
    <x v="0"/>
    <x v="0"/>
    <x v="0"/>
    <m/>
    <m/>
    <s v="bestellungen auswerten"/>
  </r>
  <r>
    <s v="ZMM_ARTNUM"/>
    <s v="Nein"/>
    <x v="0"/>
    <m/>
    <x v="0"/>
    <x v="0"/>
    <x v="0"/>
    <m/>
    <m/>
    <s v="Freie Artikelnummern ermitteln"/>
  </r>
  <r>
    <s v="ZMM_BEST_ANLEGEN"/>
    <s v="Nein"/>
    <x v="0"/>
    <m/>
    <x v="0"/>
    <x v="0"/>
    <x v="0"/>
    <m/>
    <m/>
    <s v="Einkauf Mercateo Bestellung anlegen"/>
  </r>
  <r>
    <s v="ZMM_BEST_AUSW"/>
    <s v="Nein"/>
    <x v="0"/>
    <s v="DEV-152"/>
    <x v="0"/>
    <x v="0"/>
    <x v="0"/>
    <m/>
    <m/>
    <s v="Bestell-Auswertung"/>
  </r>
  <r>
    <s v="ZMM_BEST_ERGAENZEN"/>
    <s v="Nein"/>
    <x v="0"/>
    <m/>
    <x v="0"/>
    <x v="0"/>
    <x v="0"/>
    <m/>
    <m/>
    <s v="Einkauf Mercateo Bestellungen ergänzen (Mapping durchführen)"/>
  </r>
  <r>
    <s v="ZMM_BEST_EXPORT_KOSTL"/>
    <s v="Nein"/>
    <x v="0"/>
    <m/>
    <x v="0"/>
    <x v="0"/>
    <x v="0"/>
    <m/>
    <m/>
    <s v="ZEK Bestellungen Stammdaten (Kst, IA) export"/>
  </r>
  <r>
    <s v="ZMM_BEST_EXPORT_KTGRP2"/>
    <s v="Nein"/>
    <x v="0"/>
    <m/>
    <x v="0"/>
    <x v="0"/>
    <x v="0"/>
    <m/>
    <m/>
    <s v="ZEK Mercateo Kostenarten-Export"/>
  </r>
  <r>
    <s v="ZMM_BEST_FRGFBCHK"/>
    <s v="Nein"/>
    <x v="0"/>
    <m/>
    <x v="0"/>
    <x v="0"/>
    <x v="0"/>
    <m/>
    <m/>
    <s v="Mercateo-Bestellungen: Fachbereichsfreigabe prüfen"/>
  </r>
  <r>
    <s v="ZMM_BEST_KTOFIND"/>
    <s v="Nein"/>
    <x v="0"/>
    <m/>
    <x v="0"/>
    <x v="0"/>
    <x v="0"/>
    <m/>
    <m/>
    <s v="Mercateo Kontenfindung Analyse"/>
  </r>
  <r>
    <s v="ZMM_BEST_LISTE"/>
    <s v="Nein"/>
    <x v="1"/>
    <s v="DEV-152"/>
    <x v="1"/>
    <x v="0"/>
    <x v="0"/>
    <m/>
    <m/>
    <s v="Bestell-Schnittststelle, Bestellungs-Liste"/>
  </r>
  <r>
    <s v="ZMM_BEST_MENUE"/>
    <s v="Nein"/>
    <x v="2"/>
    <m/>
    <x v="0"/>
    <x v="4"/>
    <x v="3"/>
    <m/>
    <s v="V. Niemann"/>
    <s v="Menü Bestell-Schnittstelle"/>
  </r>
  <r>
    <s v="ZMM_BEST_PRUEFEN"/>
    <s v="Nein"/>
    <x v="0"/>
    <m/>
    <x v="0"/>
    <x v="0"/>
    <x v="0"/>
    <m/>
    <m/>
    <s v="Einkauf Mercateo Bestellungen prüfen"/>
  </r>
  <r>
    <s v="ZMM_BEST_XML_IMPORT"/>
    <s v="Nein"/>
    <x v="0"/>
    <m/>
    <x v="0"/>
    <x v="0"/>
    <x v="0"/>
    <m/>
    <m/>
    <s v="Einkauf Mercateo XML import"/>
  </r>
  <r>
    <s v="ZMM_BESTAND_NOERPEL"/>
    <s v="Nein"/>
    <x v="0"/>
    <m/>
    <x v="0"/>
    <x v="0"/>
    <x v="0"/>
    <m/>
    <m/>
    <s v="Noerpel-Artikelbestände einlesen  (Update zmm_mar1)"/>
  </r>
  <r>
    <s v="ZMM_BESTELLDRUCK"/>
    <s v="Nein"/>
    <x v="2"/>
    <m/>
    <x v="0"/>
    <x v="4"/>
    <x v="3"/>
    <m/>
    <s v="V. Niemann"/>
    <s v="Containerprogramm für Erweiterungen ZMM_BESTELLDRUCK"/>
  </r>
  <r>
    <s v="ZMM_EINA_OHNE_LIEFERANT_LOEKZ"/>
    <s v="Nein"/>
    <x v="0"/>
    <m/>
    <x v="0"/>
    <x v="0"/>
    <x v="0"/>
    <m/>
    <m/>
    <s v="Infosätze Lösch-Kz. setzen(für Reorg), Lieferant bereits reorganisiert"/>
  </r>
  <r>
    <s v="ZMM_EINKAUFSSEGMENT_ANLEGEN"/>
    <s v="Nein"/>
    <x v="2"/>
    <m/>
    <x v="0"/>
    <x v="4"/>
    <x v="3"/>
    <m/>
    <s v="V. Niemann"/>
    <s v="Einkaufssegment für Kreditor anlegen"/>
  </r>
  <r>
    <s v="ZMM_INFORECORD_COPY"/>
    <s v="Nein"/>
    <x v="0"/>
    <m/>
    <x v="0"/>
    <x v="0"/>
    <x v="0"/>
    <m/>
    <m/>
    <s v="MM Einkaufsinfosätze kopieren"/>
  </r>
  <r>
    <s v="ZMM_INTR00"/>
    <s v="Nein"/>
    <x v="0"/>
    <m/>
    <x v="0"/>
    <x v="0"/>
    <x v="0"/>
    <m/>
    <m/>
    <s v="Intrastatmeldungen für Einkäufe"/>
  </r>
  <r>
    <s v="ZMM_INVBEW"/>
    <s v="Ja"/>
    <x v="1"/>
    <m/>
    <x v="1"/>
    <x v="0"/>
    <x v="0"/>
    <m/>
    <m/>
    <s v="Inventur-Bewertungsliste"/>
  </r>
  <r>
    <s v="ZMM_INVBEW_BIP"/>
    <s v="Nein"/>
    <x v="2"/>
    <m/>
    <x v="0"/>
    <x v="4"/>
    <x v="3"/>
    <m/>
    <s v="V. Niemann"/>
    <s v="Programm ZMM_INVBEW_BIP"/>
  </r>
  <r>
    <s v="ZMM_INVDIF"/>
    <s v="Ja"/>
    <x v="1"/>
    <s v="DEV-010"/>
    <x v="1"/>
    <x v="0"/>
    <x v="0"/>
    <m/>
    <m/>
    <s v="Inventur-Differenzen auswerten (mit Vergleich zum Vorjahr)"/>
  </r>
  <r>
    <s v="ZMM_LAG"/>
    <s v="Ja"/>
    <x v="1"/>
    <m/>
    <x v="1"/>
    <x v="0"/>
    <x v="0"/>
    <m/>
    <m/>
    <s v="ZMM_LAG: Lagerauskunft"/>
  </r>
  <r>
    <s v="ZMM_LAGV"/>
    <s v="Ja"/>
    <x v="1"/>
    <s v="DEV-070"/>
    <x v="1"/>
    <x v="0"/>
    <x v="0"/>
    <m/>
    <m/>
    <s v="Verbrauchswerte zum akt. Jahr und zu Vorjahren anzeigen"/>
  </r>
  <r>
    <s v="ZMM_LAPS10"/>
    <s v="Ja"/>
    <x v="1"/>
    <s v="DEV-009"/>
    <x v="1"/>
    <x v="0"/>
    <x v="0"/>
    <m/>
    <m/>
    <s v="LPS: Lagerstammdaten Übersicht"/>
  </r>
  <r>
    <s v="ZMM_LAPS20"/>
    <s v="Ja"/>
    <x v="1"/>
    <s v="DEV-009"/>
    <x v="1"/>
    <x v="0"/>
    <x v="0"/>
    <m/>
    <m/>
    <s v="LPS: Stellplätze Stammdaten / Übersicht"/>
  </r>
  <r>
    <s v="ZMM_LAPS30"/>
    <s v="Ja"/>
    <x v="1"/>
    <s v="DEV-009"/>
    <x v="1"/>
    <x v="0"/>
    <x v="0"/>
    <m/>
    <m/>
    <s v="LPS: Artikel Stammdaten / Bestände"/>
  </r>
  <r>
    <s v="ZMM_LAPS40"/>
    <s v="Ja"/>
    <x v="1"/>
    <s v="DEV-009"/>
    <x v="1"/>
    <x v="0"/>
    <x v="0"/>
    <m/>
    <m/>
    <s v="LPS: Artikel-Bewegungen"/>
  </r>
  <r>
    <s v="ZMM_LAPS45"/>
    <s v="Ja"/>
    <x v="1"/>
    <s v="DEV-009"/>
    <x v="1"/>
    <x v="0"/>
    <x v="0"/>
    <m/>
    <m/>
    <s v="LPS: Tages-Protokoll / Artikel-Bewegungen"/>
  </r>
  <r>
    <s v="ZMM_LAPS52"/>
    <s v="Ja"/>
    <x v="1"/>
    <s v="DEV-009"/>
    <x v="1"/>
    <x v="0"/>
    <x v="0"/>
    <m/>
    <m/>
    <s v="Lagergeld Abrechnung über CO"/>
  </r>
  <r>
    <s v="ZMM_LAPS60"/>
    <s v="Ja"/>
    <x v="1"/>
    <m/>
    <x v="1"/>
    <x v="0"/>
    <x v="0"/>
    <m/>
    <m/>
    <s v="LPS: Reorganisiation"/>
  </r>
  <r>
    <s v="ZMM_LAPS70"/>
    <s v="Ja"/>
    <x v="1"/>
    <s v="DEV-009"/>
    <x v="1"/>
    <x v="0"/>
    <x v="0"/>
    <m/>
    <m/>
    <s v="LPS: Artikel-Analyse  (Umschlags-Häufigkeit)"/>
  </r>
  <r>
    <s v="ZMM_LAPS73"/>
    <s v="Ja"/>
    <x v="1"/>
    <s v="DEV-009"/>
    <x v="1"/>
    <x v="0"/>
    <x v="0"/>
    <m/>
    <m/>
    <s v="LPS: Bewegungs-Analyse"/>
  </r>
  <r>
    <s v="ZMM_LAPS75"/>
    <s v="Ja"/>
    <x v="1"/>
    <s v="DEV-009"/>
    <x v="1"/>
    <x v="0"/>
    <x v="0"/>
    <m/>
    <m/>
    <s v="LPS: Artikel-Analyse (Mengen-Analyse)"/>
  </r>
  <r>
    <s v="ZMM_LAPSDR"/>
    <s v="Ja"/>
    <x v="1"/>
    <s v="DEV-009"/>
    <x v="1"/>
    <x v="0"/>
    <x v="0"/>
    <m/>
    <m/>
    <s v="LPS: Druck-Programm"/>
  </r>
  <r>
    <s v="ZMM_LAPSMP"/>
    <s v="Ja"/>
    <x v="1"/>
    <m/>
    <x v="1"/>
    <x v="0"/>
    <x v="0"/>
    <m/>
    <m/>
    <s v="LPS: Hauptprogramm"/>
  </r>
  <r>
    <s v="ZMM_MAR1_AENDBELG"/>
    <s v="Ja"/>
    <x v="1"/>
    <s v="DEV-053"/>
    <x v="1"/>
    <x v="0"/>
    <x v="0"/>
    <m/>
    <m/>
    <s v="zmm_mar1: Änderungsbelege"/>
  </r>
  <r>
    <s v="ZMM_MAR1_BESTAND_HISTORY"/>
    <s v="Ja"/>
    <x v="1"/>
    <s v="DEV-053"/>
    <x v="1"/>
    <x v="0"/>
    <x v="0"/>
    <m/>
    <m/>
    <s v="Bestandsdifferenz-Historie anzeigen"/>
  </r>
  <r>
    <s v="ZMM_MAT_AENDERUNGEN"/>
    <s v="Ja"/>
    <x v="1"/>
    <s v="DEV-070"/>
    <x v="1"/>
    <x v="0"/>
    <x v="0"/>
    <m/>
    <m/>
    <s v="Material-Stamm Änderungs-Belege ausgeben"/>
  </r>
  <r>
    <s v="ZMM_MATREORG"/>
    <s v="Ja"/>
    <x v="1"/>
    <s v="DEV-006"/>
    <x v="1"/>
    <x v="0"/>
    <x v="0"/>
    <m/>
    <m/>
    <s v="Material-Stamm-Reorg (incl. Infosätze + Orderbuch)"/>
  </r>
  <r>
    <s v="ZMM_MI04"/>
    <s v="Ja"/>
    <x v="1"/>
    <s v="DEV-010"/>
    <x v="1"/>
    <x v="0"/>
    <x v="0"/>
    <m/>
    <m/>
    <s v="Inventur: Zählmengen erfasen"/>
  </r>
  <r>
    <s v="ZMM_MI31"/>
    <s v="Ja"/>
    <x v="1"/>
    <s v="DEV-010"/>
    <x v="1"/>
    <x v="0"/>
    <x v="0"/>
    <m/>
    <m/>
    <s v="Inventurbeleg erstellen  (Vorselektion für mi31)"/>
  </r>
  <r>
    <s v="ZMM_MM00"/>
    <s v="Ja"/>
    <x v="1"/>
    <s v="DEV-006"/>
    <x v="1"/>
    <x v="0"/>
    <x v="0"/>
    <m/>
    <m/>
    <s v="Materialstammpfege: Festlegung der Regeln"/>
  </r>
  <r>
    <s v="ZMM_MM01"/>
    <s v="Ja"/>
    <x v="1"/>
    <s v="DEV-006"/>
    <x v="1"/>
    <x v="0"/>
    <x v="0"/>
    <m/>
    <m/>
    <s v="ADAC-Material anlegen"/>
  </r>
  <r>
    <s v="ZMM_MM60"/>
    <s v="Ja"/>
    <x v="1"/>
    <s v="DEV-006"/>
    <x v="1"/>
    <x v="0"/>
    <x v="0"/>
    <m/>
    <m/>
    <s v="Material-Verzeichnis"/>
  </r>
  <r>
    <s v="ZMM_PARTNER_COPY"/>
    <s v="Nein"/>
    <x v="0"/>
    <m/>
    <x v="0"/>
    <x v="0"/>
    <x v="0"/>
    <m/>
    <m/>
    <s v="Kreditorenstammsatz Einkaufssicht kopieren"/>
  </r>
  <r>
    <s v="ZMM_RG_AENDBELG"/>
    <s v="Nein"/>
    <x v="0"/>
    <m/>
    <x v="0"/>
    <x v="0"/>
    <x v="0"/>
    <m/>
    <m/>
    <s v="MM-Rg.Schnittst, Änderungs-Belege schreiben, lesen"/>
  </r>
  <r>
    <s v="ZMM_RG_BTCI"/>
    <s v="Nein"/>
    <x v="0"/>
    <m/>
    <x v="0"/>
    <x v="0"/>
    <x v="0"/>
    <m/>
    <m/>
    <s v="MM-Rg.Schnittst, Rechnung buchen (MIRO)"/>
  </r>
  <r>
    <s v="ZMM_RG_IMPORT"/>
    <s v="Nein"/>
    <x v="0"/>
    <m/>
    <x v="0"/>
    <x v="0"/>
    <x v="0"/>
    <m/>
    <m/>
    <s v="MM-Rg.Schnittst, Datei-Import"/>
  </r>
  <r>
    <s v="ZMM_RG_LISTE"/>
    <s v="Nein"/>
    <x v="0"/>
    <m/>
    <x v="0"/>
    <x v="0"/>
    <x v="0"/>
    <m/>
    <m/>
    <s v="MM-Rg.Schnittst, Rechnungs-Liste"/>
  </r>
  <r>
    <s v="ZMM_RG_MAIL"/>
    <s v="Nein"/>
    <x v="0"/>
    <m/>
    <x v="0"/>
    <x v="0"/>
    <x v="0"/>
    <m/>
    <m/>
    <s v="MM-Rg.Schnittst, MAIL-Benachrichtigung"/>
  </r>
  <r>
    <s v="ZMM_RG_MENUE"/>
    <s v="Nein"/>
    <x v="0"/>
    <m/>
    <x v="0"/>
    <x v="0"/>
    <x v="0"/>
    <m/>
    <m/>
    <s v="Menü MM-Rechnungs-Schnittstelle"/>
  </r>
  <r>
    <s v="ZMM_RG_PRUEFEN"/>
    <s v="Nein"/>
    <x v="0"/>
    <m/>
    <x v="0"/>
    <x v="0"/>
    <x v="0"/>
    <m/>
    <m/>
    <s v="MM-Rg.Schnittst, Rechnung prüfen gegen Bestellung"/>
  </r>
  <r>
    <s v="ZMM_RM08RELEASE"/>
    <s v="Nein"/>
    <x v="2"/>
    <m/>
    <x v="0"/>
    <x v="4"/>
    <x v="3"/>
    <m/>
    <s v="V. Niemann"/>
    <s v="Gesperrte Rechnungen freigeben"/>
  </r>
  <r>
    <s v="ZMM_STBWCHECK"/>
    <s v="Nein"/>
    <x v="0"/>
    <m/>
    <x v="0"/>
    <x v="0"/>
    <x v="0"/>
    <m/>
    <m/>
    <s v="STBW-Artikel auf Bew.-Klasse, Preissteuerung &quot;S&quot; und Preis &quot;0&quot; prüfen"/>
  </r>
  <r>
    <s v="ZMM_VST_WE"/>
    <s v="Nein"/>
    <x v="2"/>
    <m/>
    <x v="0"/>
    <x v="4"/>
    <x v="3"/>
    <m/>
    <s v="V. Niemann"/>
    <s v="WE-Buchung für interne Druckerzeugnisse"/>
  </r>
  <r>
    <s v="ZMM_WPVOB"/>
    <s v="Nein"/>
    <x v="0"/>
    <m/>
    <x v="0"/>
    <x v="0"/>
    <x v="0"/>
    <m/>
    <m/>
    <s v="Werbeprämien-Bestände, Verbräuche, Bestellungen"/>
  </r>
  <r>
    <s v="ZMV45AFZZ_SAVE_DOCUMENT_PREPAR"/>
    <s v="Ja"/>
    <x v="1"/>
    <m/>
    <x v="1"/>
    <x v="0"/>
    <x v="0"/>
    <s v="x"/>
    <m/>
    <s v="user exit"/>
  </r>
  <r>
    <s v="ZPWCXTRACT_DEV"/>
    <s v="Nein"/>
    <x v="0"/>
    <m/>
    <x v="0"/>
    <x v="0"/>
    <x v="0"/>
    <m/>
    <m/>
    <s v="PwC extract tool"/>
  </r>
  <r>
    <s v="ZRE_BSID_IMKEY_CLEAR"/>
    <s v="Nein"/>
    <x v="0"/>
    <m/>
    <x v="0"/>
    <x v="0"/>
    <x v="0"/>
    <m/>
    <m/>
    <s v="BSID-IMKEY clearen  (falls WE nicht von RE nach RE-FX migriert wurde)"/>
  </r>
  <r>
    <s v="ZRE_DRUCK_CONTAINER"/>
    <s v="Nein"/>
    <x v="2"/>
    <m/>
    <x v="0"/>
    <x v="4"/>
    <x v="3"/>
    <m/>
    <s v="R. Stanienda"/>
    <s v="Programm ZRE_DRUCK_CONTAINER"/>
  </r>
  <r>
    <s v="ZRE_HDVM"/>
    <s v="Nein"/>
    <x v="2"/>
    <m/>
    <x v="0"/>
    <x v="4"/>
    <x v="3"/>
    <m/>
    <s v="R. Stanienda"/>
    <s v="HDV-Menü RE-FX"/>
  </r>
  <r>
    <s v="ZRE_MIETBLATT"/>
    <s v="Nein"/>
    <x v="2"/>
    <s v="DEV-133"/>
    <x v="0"/>
    <x v="4"/>
    <x v="3"/>
    <m/>
    <s v="R. Stanienda"/>
    <s v="RE:  Mieterstamm-Blatt RE-FX"/>
  </r>
  <r>
    <s v="ZRE_OBJEKTBLATT"/>
    <s v="Nein"/>
    <x v="2"/>
    <s v="DEV-133"/>
    <x v="0"/>
    <x v="4"/>
    <x v="3"/>
    <m/>
    <s v="R. Stanienda"/>
    <s v="RE:  Objekt-Stammblatt RE-FX"/>
  </r>
  <r>
    <s v="ZRE_STVARV_UPDATE"/>
    <s v="Nein"/>
    <x v="2"/>
    <s v="DEV-133"/>
    <x v="0"/>
    <x v="4"/>
    <x v="3"/>
    <m/>
    <s v="R. Stanienda"/>
    <s v="RE-FX: Pflege Datums-Werte f. Miete / Leerstand  STVARV"/>
  </r>
  <r>
    <s v="ZRGGBR000"/>
    <s v="Nein"/>
    <x v="0"/>
    <m/>
    <x v="0"/>
    <x v="0"/>
    <x v="0"/>
    <m/>
    <m/>
    <s v="Exit routines for Rules: Belegsubstitutionen"/>
  </r>
  <r>
    <s v="ZRSADRADRV"/>
    <s v="Nein"/>
    <x v="0"/>
    <m/>
    <x v="0"/>
    <x v="0"/>
    <x v="0"/>
    <m/>
    <m/>
    <s v="Inkonsitenzenbearbeitung von KNA1/LFA1 mit ADRC (Snote 186910)"/>
  </r>
  <r>
    <s v="ZRSADRADRV_MASS"/>
    <s v="Nein"/>
    <x v="0"/>
    <m/>
    <x v="0"/>
    <x v="0"/>
    <x v="0"/>
    <m/>
    <m/>
    <s v="Inkonsitenzenbearbeitung von KNA1/LFA1 mit ADRC (Snote 186910)"/>
  </r>
  <r>
    <s v="ZSBBSS_TBTCO_HOCHSETZEN"/>
    <s v="Nein"/>
    <x v="0"/>
    <m/>
    <x v="0"/>
    <x v="0"/>
    <x v="0"/>
    <m/>
    <m/>
    <s v="Tabelle ZSBBSS_TBTCO_HOCHSETZEN Joblaufdatum hochsetzen"/>
  </r>
  <r>
    <s v="ZSBBSS_TBTCS_HOCHSETZEN"/>
    <s v="Nein"/>
    <x v="0"/>
    <m/>
    <x v="0"/>
    <x v="0"/>
    <x v="0"/>
    <m/>
    <m/>
    <s v="Tabelle ZSBBSS_TBTCS_HOCHSETZEN Joblaufdatum hochsetzen"/>
  </r>
  <r>
    <s v="ZSBBSS_TPRI_PAR_LOESCHEN"/>
    <s v="Nein"/>
    <x v="0"/>
    <m/>
    <x v="0"/>
    <x v="0"/>
    <x v="0"/>
    <m/>
    <m/>
    <s v="Tabelle ZSBBSS_TPRI_PAR_LOESCHEN PRIMM löschen"/>
  </r>
  <r>
    <s v="ZSD_ADIN01_EXIT"/>
    <s v="Ja"/>
    <x v="1"/>
    <m/>
    <x v="1"/>
    <x v="0"/>
    <x v="0"/>
    <s v="x"/>
    <m/>
    <s v="user exit"/>
  </r>
  <r>
    <s v="ZSD_ALV_GROUP_TEMP"/>
    <s v="Nein"/>
    <x v="0"/>
    <m/>
    <x v="0"/>
    <x v="0"/>
    <x v="0"/>
    <m/>
    <m/>
    <s v="ALV_Gruppen anlegen  (temporärer Report)"/>
  </r>
  <r>
    <s v="ZSD_AUFRUE"/>
    <s v="Ja"/>
    <x v="1"/>
    <s v="DEV-068"/>
    <x v="1"/>
    <x v="0"/>
    <x v="0"/>
    <m/>
    <m/>
    <s v="Aufträge im Rückstand"/>
  </r>
  <r>
    <s v="ZSD_AUFT_MAT"/>
    <s v="Nein"/>
    <x v="0"/>
    <m/>
    <x v="0"/>
    <x v="0"/>
    <x v="0"/>
    <m/>
    <m/>
    <s v="Aufträge zu Material"/>
  </r>
  <r>
    <s v="ZSD_BESTAND_COPY"/>
    <s v="Nein"/>
    <x v="0"/>
    <m/>
    <x v="0"/>
    <x v="0"/>
    <x v="0"/>
    <m/>
    <m/>
    <s v="Bestandsumbuchung Touring -&gt; ADAC Medien und Reise GmbH"/>
  </r>
  <r>
    <s v="ZSD_COND_LOEKZ"/>
    <s v="Nein"/>
    <x v="2"/>
    <m/>
    <x v="0"/>
    <x v="4"/>
    <x v="3"/>
    <m/>
    <s v="V. Niemann"/>
    <s v="SD: VK12-Konditionen, Löschkz. nach Mat-Reorg setzen"/>
  </r>
  <r>
    <s v="ZSD_INTR00"/>
    <s v="Nein"/>
    <x v="0"/>
    <m/>
    <x v="0"/>
    <x v="0"/>
    <x v="0"/>
    <m/>
    <m/>
    <s v="Intrastatmeldungen für Verkäufe"/>
  </r>
  <r>
    <s v="ZSD_KASSENID_UPLOAD"/>
    <s v="Nein"/>
    <x v="0"/>
    <m/>
    <x v="0"/>
    <x v="0"/>
    <x v="0"/>
    <m/>
    <m/>
    <s v="Programm ZSD_ETM_SWA_TERMINAL_UPLOAD"/>
  </r>
  <r>
    <s v="ZSD_KONDITION_COPY"/>
    <s v="Nein"/>
    <x v="0"/>
    <m/>
    <x v="0"/>
    <x v="0"/>
    <x v="0"/>
    <m/>
    <m/>
    <s v="Copy Konditionen (Preise migrieren)"/>
  </r>
  <r>
    <s v="ZSD_KUNVZ"/>
    <s v="Ja"/>
    <x v="1"/>
    <s v="DEV-106"/>
    <x v="1"/>
    <x v="0"/>
    <x v="0"/>
    <m/>
    <m/>
    <s v="SD-Kunden-Verzeichnis"/>
  </r>
  <r>
    <s v="ZSD_LAGKOM"/>
    <s v="Ja"/>
    <x v="1"/>
    <m/>
    <x v="1"/>
    <x v="0"/>
    <x v="0"/>
    <m/>
    <m/>
    <s v="Kapazitätsliste, Kommissonierliste, Abgleich Außenlager &gt; Zentrale"/>
  </r>
  <r>
    <s v="ZSD_LAGKOM2"/>
    <s v="Nein"/>
    <x v="2"/>
    <m/>
    <x v="0"/>
    <x v="1"/>
    <x v="3"/>
    <m/>
    <m/>
    <s v="Kommissionsliste Vignetten"/>
  </r>
  <r>
    <s v="ZSD_LIEF_WOCHTAG"/>
    <s v="Nein"/>
    <x v="0"/>
    <m/>
    <x v="0"/>
    <x v="0"/>
    <x v="0"/>
    <m/>
    <m/>
    <s v="Starten Lieferschein-Erstellg (RVV50R10C) mit Variante pro Wochentag"/>
  </r>
  <r>
    <s v="ZSD_LOGM"/>
    <s v="Nein"/>
    <x v="2"/>
    <m/>
    <x v="0"/>
    <x v="1"/>
    <x v="3"/>
    <m/>
    <m/>
    <s v="Logistik Einstiegsmenü"/>
  </r>
  <r>
    <s v="ZSD_LRG_AOBJD"/>
    <s v="Nein"/>
    <x v="1"/>
    <m/>
    <x v="0"/>
    <x v="0"/>
    <x v="4"/>
    <m/>
    <m/>
    <s v="Löschprogramm: ZSD_LRG"/>
  </r>
  <r>
    <s v="ZSD_LRG_AOBJR"/>
    <s v="Nein"/>
    <x v="1"/>
    <m/>
    <x v="0"/>
    <x v="0"/>
    <x v="4"/>
    <m/>
    <m/>
    <s v="Archivanzeige: ZSD_LRG"/>
  </r>
  <r>
    <s v="ZSD_LRG_AOBJW"/>
    <s v="Nein"/>
    <x v="1"/>
    <m/>
    <x v="0"/>
    <x v="0"/>
    <x v="4"/>
    <m/>
    <m/>
    <s v="Archiv-Schreibprogramm ... ZSD_LRG"/>
  </r>
  <r>
    <s v="ZSD_LRG_CHECK_EINSAETZE_EXT"/>
    <s v="Nein"/>
    <x v="1"/>
    <m/>
    <x v="0"/>
    <x v="0"/>
    <x v="4"/>
    <m/>
    <m/>
    <s v="Check LRG Einsatznummern extern"/>
  </r>
  <r>
    <s v="ZSD_LRG_CHECK_EINSAETZE_INT"/>
    <s v="Nein"/>
    <x v="1"/>
    <m/>
    <x v="0"/>
    <x v="0"/>
    <x v="4"/>
    <m/>
    <m/>
    <s v="Check LRG Einsatznummern intern"/>
  </r>
  <r>
    <s v="ZSD_LRG_DF01"/>
    <s v="Nein"/>
    <x v="1"/>
    <m/>
    <x v="0"/>
    <x v="0"/>
    <x v="4"/>
    <m/>
    <m/>
    <s v="Maschineller Datenaustausch:Erzeugen Nachrichten Inhouse-Format"/>
  </r>
  <r>
    <s v="ZSD_LRG_DFUE_CK"/>
    <s v="Nein"/>
    <x v="1"/>
    <m/>
    <x v="0"/>
    <x v="0"/>
    <x v="4"/>
    <m/>
    <m/>
    <s v="Auswertung:DFÜ-Einsätze"/>
  </r>
  <r>
    <s v="ZSD_LRG_KASSEN_DAV_AUSWERTUNG"/>
    <s v="Nein"/>
    <x v="1"/>
    <m/>
    <x v="0"/>
    <x v="0"/>
    <x v="4"/>
    <m/>
    <m/>
    <s v="Auswertung Kassen und Datenannahmestellen"/>
  </r>
  <r>
    <s v="ZSD_LRG_OP"/>
    <s v="Nein"/>
    <x v="1"/>
    <m/>
    <x v="0"/>
    <x v="0"/>
    <x v="4"/>
    <m/>
    <m/>
    <s v="Offene Posten Luftrettung"/>
  </r>
  <r>
    <s v="ZSD_LRGA"/>
    <s v="Nein"/>
    <x v="1"/>
    <m/>
    <x v="0"/>
    <x v="0"/>
    <x v="4"/>
    <m/>
    <m/>
    <s v="LRG: Übernahme der Abrechnungen von LIKS (XD01, VA01)"/>
  </r>
  <r>
    <s v="ZSD_LRGD"/>
    <s v="Nein"/>
    <x v="1"/>
    <m/>
    <x v="0"/>
    <x v="0"/>
    <x v="4"/>
    <m/>
    <m/>
    <s v="LRG: Abrechnung im Dialog  (VA01, VF01)"/>
  </r>
  <r>
    <s v="ZSD_LRGE"/>
    <s v="Nein"/>
    <x v="1"/>
    <s v="DEV-031"/>
    <x v="0"/>
    <x v="0"/>
    <x v="4"/>
    <m/>
    <m/>
    <s v="LRG: Entwicklung einer Abrechnung"/>
  </r>
  <r>
    <s v="ZSD_LRGF"/>
    <s v="Nein"/>
    <x v="1"/>
    <s v="DEV-031"/>
    <x v="0"/>
    <x v="0"/>
    <x v="4"/>
    <m/>
    <m/>
    <s v="LRG: Fällige Fakturen erzeugen (VF01)"/>
  </r>
  <r>
    <s v="ZSD_LRGK"/>
    <s v="Nein"/>
    <x v="1"/>
    <s v="DEV-031"/>
    <x v="0"/>
    <x v="0"/>
    <x v="4"/>
    <m/>
    <m/>
    <s v="LRG: Kostenträger von LIKS übernehmen (XD01)"/>
  </r>
  <r>
    <s v="ZSD_LRGL_01"/>
    <s v="Nein"/>
    <x v="1"/>
    <s v="DEV-031"/>
    <x v="0"/>
    <x v="0"/>
    <x v="4"/>
    <m/>
    <m/>
    <s v="LRG: Monatsliste:"/>
  </r>
  <r>
    <s v="ZSD_LRGM"/>
    <s v="Nein"/>
    <x v="1"/>
    <s v="DEV-031"/>
    <x v="0"/>
    <x v="0"/>
    <x v="4"/>
    <m/>
    <m/>
    <s v="LRG: Einstiegsmenü"/>
  </r>
  <r>
    <s v="ZSD_LRGN"/>
    <s v="Nein"/>
    <x v="1"/>
    <s v="DEV-031"/>
    <x v="0"/>
    <x v="0"/>
    <x v="4"/>
    <m/>
    <m/>
    <s v="LRG: Nachfaktura"/>
  </r>
  <r>
    <s v="ZSD_LRGP"/>
    <s v="Nein"/>
    <x v="1"/>
    <s v="DEV-031"/>
    <x v="0"/>
    <x v="0"/>
    <x v="4"/>
    <m/>
    <m/>
    <s v="LRG: Pflege der Preislisten"/>
  </r>
  <r>
    <s v="ZSD_LRGR"/>
    <s v="Nein"/>
    <x v="1"/>
    <s v="DEV-031"/>
    <x v="0"/>
    <x v="0"/>
    <x v="4"/>
    <m/>
    <m/>
    <s v="Luftrettung Druckprogramm Rechnung"/>
  </r>
  <r>
    <s v="ZSD_LRGS"/>
    <s v="Nein"/>
    <x v="1"/>
    <s v="DEV-031"/>
    <x v="0"/>
    <x v="0"/>
    <x v="4"/>
    <m/>
    <m/>
    <s v="LRG: Statistiken"/>
  </r>
  <r>
    <s v="ZSD_MAR_ADMIN"/>
    <s v="Ja"/>
    <x v="1"/>
    <s v="DEV-053"/>
    <x v="1"/>
    <x v="0"/>
    <x v="0"/>
    <m/>
    <m/>
    <s v="SD: Adminauswertung Manuelle Ausgangsrechnungen"/>
  </r>
  <r>
    <s v="ZSD_MAR_BASIS"/>
    <s v="Ja"/>
    <x v="1"/>
    <s v="DEV-053"/>
    <x v="1"/>
    <x v="0"/>
    <x v="0"/>
    <s v="x"/>
    <m/>
    <s v="MAR: AV + Rechnungslisten"/>
  </r>
  <r>
    <s v="ZSD_MAR_BELEGHIS"/>
    <s v="Ja"/>
    <x v="1"/>
    <s v="DEV-053"/>
    <x v="1"/>
    <x v="0"/>
    <x v="0"/>
    <s v="x"/>
    <m/>
    <s v="MAR: Beleghistorie zu Entwurf"/>
  </r>
  <r>
    <s v="ZSD_MAR_DRUCK"/>
    <s v="Ja"/>
    <x v="1"/>
    <s v="DEV-053"/>
    <x v="1"/>
    <x v="0"/>
    <x v="0"/>
    <m/>
    <m/>
    <s v="Manuelle Ausgangsrechnungen: Druckprogramm"/>
  </r>
  <r>
    <s v="ZSD_MAR_FI"/>
    <s v="Ja"/>
    <x v="1"/>
    <s v="DEV-053"/>
    <x v="1"/>
    <x v="0"/>
    <x v="0"/>
    <s v="x"/>
    <m/>
    <s v="MAR: Fehlende FI-Überleitungen"/>
  </r>
  <r>
    <s v="ZSD_MAR_IMPORT"/>
    <s v="Ja"/>
    <x v="1"/>
    <s v="DEV-053"/>
    <x v="1"/>
    <x v="0"/>
    <x v="0"/>
    <m/>
    <m/>
    <s v="SD-MAR: Import-Schnittstelle für Ausgangsrechnungen"/>
  </r>
  <r>
    <s v="ZSD_MAR_RECH_EMAIL_SEND"/>
    <s v="Ja"/>
    <x v="1"/>
    <s v="DEV-053"/>
    <x v="1"/>
    <x v="0"/>
    <x v="0"/>
    <m/>
    <m/>
    <s v="Zusätzliches Ausgeben / Senden von Spoollisten"/>
  </r>
  <r>
    <s v="ZSD_MAR_USR_STAT"/>
    <s v="Ja"/>
    <x v="1"/>
    <s v="DEV-053"/>
    <x v="1"/>
    <x v="0"/>
    <x v="0"/>
    <m/>
    <m/>
    <s v="MAR User-Statistik"/>
  </r>
  <r>
    <s v="ZSD_MARA"/>
    <s v="Ja"/>
    <x v="1"/>
    <m/>
    <x v="1"/>
    <x v="0"/>
    <x v="0"/>
    <m/>
    <m/>
    <s v="MAR: Artikelpflege + Produkthierarchie"/>
  </r>
  <r>
    <s v="ZSD_MARM"/>
    <s v="Ja"/>
    <x v="1"/>
    <s v="DEV-053"/>
    <x v="1"/>
    <x v="0"/>
    <x v="0"/>
    <m/>
    <m/>
    <s v="Menüs für Manuelle Ausgangsrechnungen"/>
  </r>
  <r>
    <s v="ZSD_MARR"/>
    <s v="Ja"/>
    <x v="1"/>
    <m/>
    <x v="1"/>
    <x v="0"/>
    <x v="0"/>
    <m/>
    <m/>
    <s v="MAR: Erfassen und Bearbeiten der Rechnungen"/>
  </r>
  <r>
    <s v="ZSD_MARV"/>
    <s v="Ja"/>
    <x v="1"/>
    <s v="DEV-053"/>
    <x v="1"/>
    <x v="0"/>
    <x v="0"/>
    <m/>
    <m/>
    <s v="MAR: Arbeitsvorrat für den Fachbereich"/>
  </r>
  <r>
    <s v="ZSD_MM_RE_STATISTIK"/>
    <s v="Nein"/>
    <x v="0"/>
    <m/>
    <x v="0"/>
    <x v="0"/>
    <x v="0"/>
    <m/>
    <m/>
    <s v="Programm ZSD_MM_RE_STATISTIK"/>
  </r>
  <r>
    <s v="ZSD_NAST"/>
    <s v="Ja"/>
    <x v="1"/>
    <m/>
    <x v="1"/>
    <x v="0"/>
    <x v="0"/>
    <m/>
    <m/>
    <s v="Update der Datei NAST für Lieferscheine und Rechnungen"/>
  </r>
  <r>
    <s v="ZSD_NAST_ARCHIV"/>
    <s v="Ja"/>
    <x v="1"/>
    <s v="DEV-025"/>
    <x v="1"/>
    <x v="0"/>
    <x v="0"/>
    <m/>
    <m/>
    <s v="Rechnungen archivieren"/>
  </r>
  <r>
    <s v="ZSD_NAST_MAR"/>
    <s v="Ja"/>
    <x v="1"/>
    <s v="DEV-053"/>
    <x v="1"/>
    <x v="0"/>
    <x v="0"/>
    <m/>
    <m/>
    <s v="Programm ZSD_NAST_MAR   (Update ZMR2+ZMR5-Sätze)"/>
  </r>
  <r>
    <s v="ZSD_NMGKUN"/>
    <s v="Nein"/>
    <x v="2"/>
    <s v="DEV-015"/>
    <x v="0"/>
    <x v="1"/>
    <x v="3"/>
    <m/>
    <m/>
    <s v="Tabelle zsd_shokun mit Kundensätzen versorgen"/>
  </r>
  <r>
    <s v="ZSD_SERN"/>
    <s v="Nein"/>
    <x v="2"/>
    <s v="DEV-078"/>
    <x v="0"/>
    <x v="1"/>
    <x v="3"/>
    <m/>
    <m/>
    <s v="Abwicklung von Lieferungen + Retouren mit Seriennummern-Produkten"/>
  </r>
  <r>
    <s v="ZSD_SERN_IMPORT"/>
    <s v="Nein"/>
    <x v="2"/>
    <s v="DEV-078"/>
    <x v="0"/>
    <x v="1"/>
    <x v="3"/>
    <m/>
    <m/>
    <s v="Serien-Nummern importieren (vom Komissionier-Dienstleister)"/>
  </r>
  <r>
    <s v="ZSD_SERN10"/>
    <s v="Nein"/>
    <x v="2"/>
    <s v="DEV-078"/>
    <x v="0"/>
    <x v="1"/>
    <x v="3"/>
    <m/>
    <m/>
    <s v="Seriennummern: Reorganisation des Nummernbuchs"/>
  </r>
  <r>
    <s v="ZSD_SERNBU"/>
    <s v="Nein"/>
    <x v="2"/>
    <s v="DEV-078"/>
    <x v="0"/>
    <x v="1"/>
    <x v="3"/>
    <m/>
    <m/>
    <s v="Seriennummern: Nummernbuch"/>
  </r>
  <r>
    <s v="ZSD_SHOEXP"/>
    <s v="Ja"/>
    <x v="1"/>
    <s v="DEV-079"/>
    <x v="1"/>
    <x v="0"/>
    <x v="0"/>
    <m/>
    <m/>
    <s v="Export Shop-Stammdaten"/>
  </r>
  <r>
    <s v="ZSD_SHOEXPSTA"/>
    <s v="Ja"/>
    <x v="1"/>
    <s v="DEV-079"/>
    <x v="1"/>
    <x v="0"/>
    <x v="0"/>
    <m/>
    <m/>
    <s v="SD Shop: Update  ZSD_SHOSTA2,  Schreiben Status-Datei"/>
  </r>
  <r>
    <s v="ZSD_SHOIMP"/>
    <s v="Ja"/>
    <x v="1"/>
    <s v="DEV-079"/>
    <x v="1"/>
    <x v="0"/>
    <x v="0"/>
    <m/>
    <m/>
    <s v="Import IntraShop-Aufträge"/>
  </r>
  <r>
    <s v="ZSD_SHOKUN_MM"/>
    <s v="Ja"/>
    <x v="1"/>
    <s v="DEV-079"/>
    <x v="1"/>
    <x v="0"/>
    <x v="0"/>
    <m/>
    <m/>
    <s v="Programm ZSD_SHOKUN_MM - ContainerProgramm Materialentahmeschein"/>
  </r>
  <r>
    <s v="ZSD_SHOP_STAT"/>
    <s v="Ja"/>
    <x v="1"/>
    <s v="DEV-079"/>
    <x v="1"/>
    <x v="0"/>
    <x v="0"/>
    <m/>
    <m/>
    <s v="Shop-Statistik"/>
  </r>
  <r>
    <s v="ZSD_SPOOL"/>
    <s v="Ja"/>
    <x v="1"/>
    <m/>
    <x v="1"/>
    <x v="0"/>
    <x v="0"/>
    <m/>
    <m/>
    <s v="Ausdruck von SD-Dokumenten aus Spool-Datasets"/>
  </r>
  <r>
    <s v="ZSD_STAMMSATZANLAGE_SWA_FAHRER"/>
    <s v="Nein"/>
    <x v="0"/>
    <m/>
    <x v="0"/>
    <x v="0"/>
    <x v="0"/>
    <m/>
    <m/>
    <s v="Stammdatenanlage SWA-Fahrer (Daten aus Personalsystem)"/>
  </r>
  <r>
    <s v="ZSD_SWA_BEST_ANZ"/>
    <s v="Nein"/>
    <x v="0"/>
    <m/>
    <x v="0"/>
    <x v="0"/>
    <x v="0"/>
    <m/>
    <m/>
    <s v="Anzeigen Bestellungen"/>
  </r>
  <r>
    <s v="ZSD_SWA_BEST_EDI"/>
    <s v="Nein"/>
    <x v="0"/>
    <m/>
    <x v="0"/>
    <x v="0"/>
    <x v="0"/>
    <m/>
    <m/>
    <s v="Bestell-Daten über EDI austauschen (Inhouse-Format erstellen)"/>
  </r>
  <r>
    <s v="ZSD_SWA_BEST_WE"/>
    <s v="Nein"/>
    <x v="0"/>
    <m/>
    <x v="0"/>
    <x v="0"/>
    <x v="0"/>
    <m/>
    <m/>
    <s v="Bestellungen und Wareneingänge"/>
  </r>
  <r>
    <s v="ZSD_SWA_BESTAND"/>
    <s v="Nein"/>
    <x v="0"/>
    <m/>
    <x v="0"/>
    <x v="0"/>
    <x v="0"/>
    <m/>
    <m/>
    <s v="SWA-Vertrieb: Bestandsliste"/>
  </r>
  <r>
    <s v="ZSD_SWA_BESTAND_COPY"/>
    <s v="Nein"/>
    <x v="0"/>
    <m/>
    <x v="0"/>
    <x v="0"/>
    <x v="0"/>
    <m/>
    <m/>
    <s v="SWA Umgliederung Bestand-Migration"/>
  </r>
  <r>
    <s v="ZSD_SWA_BEWEGUNGEN"/>
    <s v="Nein"/>
    <x v="0"/>
    <m/>
    <x v="0"/>
    <x v="0"/>
    <x v="0"/>
    <m/>
    <m/>
    <s v="FUA-Batterieservice: Materialbewegungen anzeigen"/>
  </r>
  <r>
    <s v="ZSD_SWA_DIALOGE"/>
    <s v="Nein"/>
    <x v="1"/>
    <m/>
    <x v="0"/>
    <x v="0"/>
    <x v="4"/>
    <m/>
    <m/>
    <s v="SWA-Vertrieb: Modulpool für diverse Dialoge"/>
  </r>
  <r>
    <s v="ZSD_SWA_DOWNLOAD_LAGERORTE"/>
    <s v="Nein"/>
    <x v="0"/>
    <m/>
    <x v="0"/>
    <x v="0"/>
    <x v="0"/>
    <m/>
    <m/>
    <s v="Programm ZSD_SWA_DOWNLOAD_LAGERORTE"/>
  </r>
  <r>
    <s v="ZSD_SWA_ENTSORGUNG"/>
    <s v="Nein"/>
    <x v="0"/>
    <m/>
    <x v="0"/>
    <x v="0"/>
    <x v="0"/>
    <m/>
    <m/>
    <s v="Auswertungsreport: Entsorgung von Altbatterien"/>
  </r>
  <r>
    <s v="ZSD_SWA_INV"/>
    <s v="Nein"/>
    <x v="1"/>
    <m/>
    <x v="0"/>
    <x v="0"/>
    <x v="4"/>
    <m/>
    <m/>
    <s v="SWA Batterieservice: Inventurdaten erfassen"/>
  </r>
  <r>
    <s v="ZSD_SWA_INV_LIST"/>
    <s v="Nein"/>
    <x v="0"/>
    <m/>
    <x v="0"/>
    <x v="0"/>
    <x v="0"/>
    <m/>
    <m/>
    <s v="SWA: Batterie+Ersatzeil-Service: Inventurliste + Korrekturbuchungen"/>
  </r>
  <r>
    <s v="ZSD_SWA_INV_MEMO"/>
    <s v="Nein"/>
    <x v="0"/>
    <m/>
    <x v="0"/>
    <x v="0"/>
    <x v="0"/>
    <m/>
    <m/>
    <s v="Auswertung MEMO-Felder"/>
  </r>
  <r>
    <s v="ZSD_SWA_INV_SIK"/>
    <s v="Nein"/>
    <x v="1"/>
    <m/>
    <x v="0"/>
    <x v="0"/>
    <x v="4"/>
    <m/>
    <m/>
    <s v="SWA Batterieservice: Inventurdaten erfassen"/>
  </r>
  <r>
    <s v="ZSD_SWA_LAGERABGANG_UMB"/>
    <s v="Nein"/>
    <x v="0"/>
    <m/>
    <x v="0"/>
    <x v="0"/>
    <x v="0"/>
    <m/>
    <m/>
    <s v="Batterieservice Lagerabgang verbuchen"/>
  </r>
  <r>
    <s v="ZSD_SWA_LAGERABGANG_VERK"/>
    <s v="Nein"/>
    <x v="0"/>
    <m/>
    <x v="0"/>
    <x v="0"/>
    <x v="0"/>
    <m/>
    <m/>
    <s v="Lagerabgang - Eigenbedarf - Absprung in Verkauf"/>
  </r>
  <r>
    <s v="ZSD_SWA_LISTELAGAB"/>
    <s v="Nein"/>
    <x v="0"/>
    <m/>
    <x v="0"/>
    <x v="0"/>
    <x v="0"/>
    <m/>
    <m/>
    <s v="Programm ZSD_SWA_LISTELAGAB - Liste Lagerabgäng"/>
  </r>
  <r>
    <s v="ZSD_SWA_MEMOFAHRER"/>
    <s v="Nein"/>
    <x v="0"/>
    <m/>
    <x v="0"/>
    <x v="0"/>
    <x v="0"/>
    <m/>
    <m/>
    <s v="ZSD_SWA_MEMOFAHRER - Auswertung"/>
  </r>
  <r>
    <s v="ZSD_SWA_MEMONYM"/>
    <s v="Nein"/>
    <x v="0"/>
    <m/>
    <x v="0"/>
    <x v="0"/>
    <x v="0"/>
    <m/>
    <m/>
    <s v="Report ZSD_SWA_MEMONYM"/>
  </r>
  <r>
    <s v="ZSD_SWA_MINMAX"/>
    <s v="Nein"/>
    <x v="0"/>
    <m/>
    <x v="0"/>
    <x v="0"/>
    <x v="0"/>
    <m/>
    <m/>
    <s v="Batterielager - Übernahme Min-Max-Bestände"/>
  </r>
  <r>
    <s v="ZSD_SWA_PARTNER_COPY"/>
    <s v="Nein"/>
    <x v="0"/>
    <m/>
    <x v="0"/>
    <x v="0"/>
    <x v="0"/>
    <m/>
    <m/>
    <s v="SWA Umgliederung Partnerstammsatz-Migration"/>
  </r>
  <r>
    <s v="ZSD_SWA_PREIS_COPY"/>
    <s v="Nein"/>
    <x v="0"/>
    <m/>
    <x v="0"/>
    <x v="0"/>
    <x v="0"/>
    <m/>
    <m/>
    <s v="SWA Umgliederung Preis-Migration"/>
  </r>
  <r>
    <s v="ZSD_SWA_PROV"/>
    <s v="Nein"/>
    <x v="1"/>
    <s v="DEV-063"/>
    <x v="0"/>
    <x v="0"/>
    <x v="4"/>
    <m/>
    <m/>
    <s v="SWA-Vertrieb: Handlingsabrechnung"/>
  </r>
  <r>
    <s v="ZSD_SWA_RECHERCHE"/>
    <s v="Nein"/>
    <x v="0"/>
    <m/>
    <x v="0"/>
    <x v="0"/>
    <x v="0"/>
    <m/>
    <m/>
    <s v="Fahrer-Übersicht"/>
  </r>
  <r>
    <s v="ZSD_SWA_TR_AOBJD"/>
    <s v="Nein"/>
    <x v="0"/>
    <m/>
    <x v="0"/>
    <x v="0"/>
    <x v="0"/>
    <m/>
    <m/>
    <s v="Löschprogramm: ZSD_SWAT_TR_AKT"/>
  </r>
  <r>
    <s v="ZSD_SWA_TR_AOBJR"/>
    <s v="Nein"/>
    <x v="0"/>
    <m/>
    <x v="0"/>
    <x v="0"/>
    <x v="0"/>
    <m/>
    <m/>
    <s v="Archivanzeige: ZSD_SWAT_TR_AKT"/>
  </r>
  <r>
    <s v="ZSD_SWA_TR_AOBJW"/>
    <s v="Nein"/>
    <x v="0"/>
    <m/>
    <x v="0"/>
    <x v="0"/>
    <x v="0"/>
    <m/>
    <m/>
    <s v="Archiv-Schreibprogramm ... ZSD_SWAT_TR_AKT"/>
  </r>
  <r>
    <s v="ZSD_SWA_VERBUCHEN_BEST"/>
    <s v="Nein"/>
    <x v="0"/>
    <m/>
    <x v="0"/>
    <x v="0"/>
    <x v="0"/>
    <m/>
    <m/>
    <s v="zsd_swa_verbuchen_best"/>
  </r>
  <r>
    <s v="ZSD_SWA_VERK_ANZ"/>
    <s v="Nein"/>
    <x v="0"/>
    <m/>
    <x v="0"/>
    <x v="0"/>
    <x v="0"/>
    <m/>
    <m/>
    <s v="FUA-Batterieservice: Verkäufe anzeigen"/>
  </r>
  <r>
    <s v="ZSD_SWA_VERK_ANZ2"/>
    <s v="Nein"/>
    <x v="0"/>
    <m/>
    <x v="0"/>
    <x v="0"/>
    <x v="0"/>
    <m/>
    <m/>
    <s v="Darstellung der Verkäufe je Abrechnungsnummer"/>
  </r>
  <r>
    <s v="ZSD_SWA_VERK_NABU"/>
    <s v="Nein"/>
    <x v="0"/>
    <m/>
    <x v="0"/>
    <x v="0"/>
    <x v="0"/>
    <m/>
    <m/>
    <s v="SWA-Vertrieb: Nachbuchen von unvollständigen Aufträgen"/>
  </r>
  <r>
    <s v="ZSD_SWAT_REPAIR"/>
    <s v="Nein"/>
    <x v="0"/>
    <m/>
    <x v="0"/>
    <x v="0"/>
    <x v="0"/>
    <m/>
    <m/>
    <s v="ZSD_SWAT_TR_AKT reparieren"/>
  </r>
  <r>
    <s v="ZSD_SWAT_TABCHECK"/>
    <s v="Nein"/>
    <x v="0"/>
    <m/>
    <x v="0"/>
    <x v="0"/>
    <x v="0"/>
    <m/>
    <m/>
    <s v="Terminal Tabellenprüfung"/>
  </r>
  <r>
    <s v="ZSD_SWAT_TERMINALBELEG"/>
    <s v="Nein"/>
    <x v="0"/>
    <m/>
    <x v="0"/>
    <x v="0"/>
    <x v="0"/>
    <m/>
    <m/>
    <s v="Prüfung Terminalbelege"/>
  </r>
  <r>
    <s v="ZSD_SWAT01"/>
    <s v="Nein"/>
    <x v="0"/>
    <m/>
    <x v="0"/>
    <x v="0"/>
    <x v="0"/>
    <m/>
    <m/>
    <s v="Terminal zentrales Einleseprogramm"/>
  </r>
  <r>
    <s v="ZSD_TAB_REORG"/>
    <s v="Nein"/>
    <x v="2"/>
    <s v="DEV-085"/>
    <x v="0"/>
    <x v="1"/>
    <x v="3"/>
    <m/>
    <m/>
    <s v="SD: Tabellen-Reorg"/>
  </r>
  <r>
    <s v="ZSD_TOL_PROV_LIF_SYNC"/>
    <s v="Nein"/>
    <x v="2"/>
    <s v="DEV-085"/>
    <x v="0"/>
    <x v="1"/>
    <x v="3"/>
    <m/>
    <m/>
    <s v="TOL: Kreditoren autom. zu Debitoren-Stammsatz anlegen"/>
  </r>
  <r>
    <s v="ZSD_TOLA00"/>
    <s v="Nein"/>
    <x v="2"/>
    <s v="DEV-085"/>
    <x v="0"/>
    <x v="1"/>
    <x v="3"/>
    <m/>
    <m/>
    <s v="Verkaufstellen-Abrechnungen"/>
  </r>
  <r>
    <s v="ZSD_TOLA05"/>
    <s v="Nein"/>
    <x v="2"/>
    <s v="DEV-085"/>
    <x v="0"/>
    <x v="1"/>
    <x v="3"/>
    <m/>
    <m/>
    <s v="Bestandsdifferenzen bei den Verkaufsstellen"/>
  </r>
  <r>
    <s v="ZSD_TOLA10"/>
    <s v="Nein"/>
    <x v="2"/>
    <s v="DEV-085"/>
    <x v="0"/>
    <x v="1"/>
    <x v="3"/>
    <m/>
    <m/>
    <s v="Einstiegsmenü"/>
  </r>
  <r>
    <s v="ZSD_TOLA20"/>
    <s v="Nein"/>
    <x v="2"/>
    <s v="DEV-085"/>
    <x v="0"/>
    <x v="1"/>
    <x v="3"/>
    <m/>
    <m/>
    <s v="Bestandsliste"/>
  </r>
  <r>
    <s v="ZSD_TOLA25"/>
    <s v="Nein"/>
    <x v="2"/>
    <s v="DEV-085"/>
    <x v="0"/>
    <x v="1"/>
    <x v="3"/>
    <m/>
    <m/>
    <s v="TOL: Ermittlung optimaler Bestellmengen"/>
  </r>
  <r>
    <s v="ZSD_TOLA30"/>
    <s v="Nein"/>
    <x v="2"/>
    <s v="DEV-085"/>
    <x v="0"/>
    <x v="1"/>
    <x v="3"/>
    <m/>
    <m/>
    <s v="Bestandsentwicklung bei den Verkaufsstellen"/>
  </r>
  <r>
    <s v="ZSD_TOLA35"/>
    <s v="Nein"/>
    <x v="2"/>
    <s v="DEV-085"/>
    <x v="0"/>
    <x v="1"/>
    <x v="3"/>
    <m/>
    <m/>
    <s v="Verkaufsstellenliste"/>
  </r>
  <r>
    <s v="ZSD_TOLA40"/>
    <s v="Nein"/>
    <x v="2"/>
    <s v="DEV-085"/>
    <x v="0"/>
    <x v="1"/>
    <x v="3"/>
    <m/>
    <m/>
    <s v="Übernahme der Daten von ARIS (Geschäftsstellen)"/>
  </r>
  <r>
    <s v="ZSD_TOLA41"/>
    <s v="Nein"/>
    <x v="2"/>
    <s v="DEV-085"/>
    <x v="0"/>
    <x v="1"/>
    <x v="3"/>
    <m/>
    <m/>
    <s v="Übernahme der Videomaut-Daten"/>
  </r>
  <r>
    <s v="ZSD_TOLA42"/>
    <s v="Nein"/>
    <x v="2"/>
    <s v="DEV-085"/>
    <x v="0"/>
    <x v="1"/>
    <x v="3"/>
    <m/>
    <m/>
    <s v="Übername der Videomaut-Einzelsätze in die VTP-Abrechnung"/>
  </r>
  <r>
    <s v="ZSD_TOLA43"/>
    <s v="Nein"/>
    <x v="2"/>
    <s v="DEV-085"/>
    <x v="0"/>
    <x v="1"/>
    <x v="3"/>
    <m/>
    <m/>
    <s v="Abgleich Videomaut mit den von Gauen gemeldeten Mengen"/>
  </r>
  <r>
    <s v="ZSD_TOLA44"/>
    <s v="Nein"/>
    <x v="2"/>
    <s v="DEV-085"/>
    <x v="0"/>
    <x v="1"/>
    <x v="3"/>
    <m/>
    <m/>
    <s v="Gezieltes Löschen von Import-Daten Videomaut"/>
  </r>
  <r>
    <s v="ZSD_TOLA45"/>
    <s v="Nein"/>
    <x v="2"/>
    <s v="DEV-085"/>
    <x v="0"/>
    <x v="1"/>
    <x v="3"/>
    <m/>
    <m/>
    <s v="ADAC-Summen der verkauften Produkte"/>
  </r>
  <r>
    <s v="ZSD_TOLA46"/>
    <s v="Nein"/>
    <x v="2"/>
    <s v="DEV-085"/>
    <x v="0"/>
    <x v="1"/>
    <x v="3"/>
    <m/>
    <m/>
    <s v="Umsetzen der Abrechnungsperiode"/>
  </r>
  <r>
    <s v="ZSD_TOLA48"/>
    <s v="Nein"/>
    <x v="2"/>
    <s v="DEV-085"/>
    <x v="0"/>
    <x v="1"/>
    <x v="3"/>
    <m/>
    <m/>
    <s v="Verkaufs-Summen pro Kunde"/>
  </r>
  <r>
    <s v="ZSD_TOLA50"/>
    <s v="Nein"/>
    <x v="2"/>
    <s v="DEV-085"/>
    <x v="0"/>
    <x v="1"/>
    <x v="3"/>
    <m/>
    <m/>
    <s v="Pflege der Artikellistung"/>
  </r>
  <r>
    <s v="ZSD_TOLA60"/>
    <s v="Nein"/>
    <x v="2"/>
    <s v="DEV-085"/>
    <x v="0"/>
    <x v="1"/>
    <x v="3"/>
    <m/>
    <m/>
    <s v="Pflege der Preise und Provisionen  (VK12)"/>
  </r>
  <r>
    <s v="ZSD_TOLA65"/>
    <s v="Nein"/>
    <x v="2"/>
    <s v="DEV-085"/>
    <x v="0"/>
    <x v="1"/>
    <x v="3"/>
    <m/>
    <m/>
    <s v="Produkt-Verkaufsliste"/>
  </r>
  <r>
    <s v="ZSD_TOLA70"/>
    <s v="Nein"/>
    <x v="2"/>
    <s v="DEV-085"/>
    <x v="0"/>
    <x v="1"/>
    <x v="3"/>
    <m/>
    <m/>
    <s v="Abrechnung drucken und verbuchen:  VA01, VL01N, VF01, FB01"/>
  </r>
  <r>
    <s v="ZSD_TOLA71"/>
    <s v="Nein"/>
    <x v="2"/>
    <s v="DEV-085"/>
    <x v="0"/>
    <x v="1"/>
    <x v="3"/>
    <m/>
    <m/>
    <s v="Umbuchung der Gau-Forderungen"/>
  </r>
  <r>
    <s v="ZSD_TOLA77"/>
    <s v="Nein"/>
    <x v="2"/>
    <s v="DEV-085"/>
    <x v="0"/>
    <x v="1"/>
    <x v="3"/>
    <m/>
    <m/>
    <s v="TOLA Provisions-Gutschrift - Belegdaten für den Druck exportieren"/>
  </r>
  <r>
    <s v="ZSD_TOLA80"/>
    <s v="Nein"/>
    <x v="2"/>
    <s v="DEV-085"/>
    <x v="0"/>
    <x v="1"/>
    <x v="3"/>
    <m/>
    <m/>
    <s v="Umbuchung von Beständen"/>
  </r>
  <r>
    <s v="ZSD_TOLA90"/>
    <s v="Nein"/>
    <x v="2"/>
    <s v="DEV-085"/>
    <x v="0"/>
    <x v="1"/>
    <x v="3"/>
    <m/>
    <m/>
    <s v="Zurücksetzen des Buchungsstatus von ZSD_TOL"/>
  </r>
  <r>
    <s v="ZSD_TOLA95"/>
    <s v="Nein"/>
    <x v="2"/>
    <s v="DEV-085"/>
    <x v="0"/>
    <x v="1"/>
    <x v="3"/>
    <m/>
    <m/>
    <s v="Vertragspartner-Abrechnung (FB01)"/>
  </r>
  <r>
    <s v="ZSD_TOURSET_BI"/>
    <s v="Nein"/>
    <x v="1"/>
    <m/>
    <x v="0"/>
    <x v="1"/>
    <x v="1"/>
    <m/>
    <m/>
    <s v="Tourset-BI,  Export Rechnungs-Daten (Vertriebsweg 30)"/>
  </r>
  <r>
    <s v="ZSD_TOURSET_REICHW"/>
    <s v="Nein"/>
    <x v="1"/>
    <s v="DEV-107"/>
    <x v="0"/>
    <x v="0"/>
    <x v="4"/>
    <m/>
    <m/>
    <s v="Tourset Verbrauchsprognose und Reichenweitenberechnung"/>
  </r>
  <r>
    <s v="ZSD_VD01"/>
    <s v="Nein"/>
    <x v="0"/>
    <m/>
    <x v="0"/>
    <x v="0"/>
    <x v="0"/>
    <m/>
    <m/>
    <s v="Debitoren kopieren aus Ref.-VKORG nach  Buchungskreis 2900"/>
  </r>
  <r>
    <s v="ZSD_VST_MENUE_ALV"/>
    <s v="Nein"/>
    <x v="2"/>
    <s v="DEV-107"/>
    <x v="0"/>
    <x v="1"/>
    <x v="3"/>
    <m/>
    <m/>
    <s v="VST-Menü ALV-Liste (vom Fachbereiche einstellbar)"/>
  </r>
  <r>
    <s v="ZSD_VSTABR"/>
    <s v="Nein"/>
    <x v="2"/>
    <s v="DEV-107"/>
    <x v="0"/>
    <x v="1"/>
    <x v="3"/>
    <m/>
    <m/>
    <s v="ZSD_VSTABR:  VST-Monatsabrechnungen"/>
  </r>
  <r>
    <s v="ZSD_VSTEA"/>
    <s v="Nein"/>
    <x v="0"/>
    <s v="DEV-107"/>
    <x v="0"/>
    <x v="0"/>
    <x v="0"/>
    <m/>
    <m/>
    <s v="Erst-Ausstattung VST (VA01)"/>
  </r>
  <r>
    <s v="ZSD_VSTM"/>
    <s v="Nein"/>
    <x v="2"/>
    <m/>
    <x v="0"/>
    <x v="1"/>
    <x v="3"/>
    <m/>
    <m/>
    <s v="Touristik Einstiegsmenü -&gt; Volker Niemann fragen"/>
  </r>
  <r>
    <s v="ZSD_WAAGELS"/>
    <s v="Ja"/>
    <x v="1"/>
    <s v="DEV-108"/>
    <x v="1"/>
    <x v="0"/>
    <x v="0"/>
    <m/>
    <m/>
    <s v="Ausgabe Lieferschein-Adressen für Waage,  Import Versand-Status"/>
  </r>
  <r>
    <s v="ZSD_WAWI_ABZUG"/>
    <s v="Nein"/>
    <x v="0"/>
    <m/>
    <x v="0"/>
    <x v="0"/>
    <x v="0"/>
    <m/>
    <m/>
    <s v="SWA-Kommunikationsplattform:Datenabzug SAP für WaWi-Server"/>
  </r>
  <r>
    <s v="ZSD_WAWI_FAHRER_TRANSCODE"/>
    <s v="Nein"/>
    <x v="0"/>
    <m/>
    <x v="0"/>
    <x v="0"/>
    <x v="0"/>
    <m/>
    <m/>
    <s v="Umschuesseln Fahrer: Integrationstest Versorg. Warenwirtschaftsserver"/>
  </r>
  <r>
    <s v="ZSD_WPV_PRISMA"/>
    <s v="Nein"/>
    <x v="0"/>
    <m/>
    <x v="0"/>
    <x v="0"/>
    <x v="0"/>
    <m/>
    <m/>
    <s v="SD-Aufträge für Werbeprämien (TA: VA01)"/>
  </r>
  <r>
    <s v="ZSD_WPV_RUECK"/>
    <s v="Nein"/>
    <x v="0"/>
    <m/>
    <x v="0"/>
    <x v="0"/>
    <x v="0"/>
    <m/>
    <m/>
    <s v="Werbeprämien Rückstandsliste"/>
  </r>
  <r>
    <s v="ZSD_WPVLIEF"/>
    <s v="Nein"/>
    <x v="0"/>
    <m/>
    <x v="0"/>
    <x v="0"/>
    <x v="0"/>
    <m/>
    <m/>
    <s v="Werbeprämien-Lieferungen"/>
  </r>
  <r>
    <s v="ZSD_ZEKEAPC"/>
    <s v="Nein"/>
    <x v="2"/>
    <s v="DEV-022"/>
    <x v="0"/>
    <x v="4"/>
    <x v="3"/>
    <m/>
    <s v="V. Niemann"/>
    <s v="Übernahme Aufträge aus Access-Datenbank"/>
  </r>
  <r>
    <s v="ZSLA_SCU3_CHECK_08"/>
    <s v="Nein"/>
    <x v="0"/>
    <m/>
    <x v="0"/>
    <x v="0"/>
    <x v="0"/>
    <m/>
    <m/>
    <s v="Automatic checks and solution for most frequent issues in table loggin"/>
  </r>
  <r>
    <s v="ZTR_CONFIRM_LETTER"/>
    <s v="Nein"/>
    <x v="1"/>
    <s v="DEV-142"/>
    <x v="1"/>
    <x v="0"/>
    <x v="0"/>
    <m/>
    <m/>
    <s v="Zahlungsplan"/>
  </r>
  <r>
    <s v="ZTR_FDES_TRANSFER_FC"/>
    <s v="Nein"/>
    <x v="2"/>
    <m/>
    <x v="0"/>
    <x v="4"/>
    <x v="3"/>
    <m/>
    <s v="M. Lex"/>
    <s v="LQPL Transfer FDES to Forecast "/>
  </r>
  <r>
    <s v="ZTR_FF9"/>
    <s v="Nein"/>
    <x v="2"/>
    <m/>
    <x v="0"/>
    <x v="4"/>
    <x v="3"/>
    <m/>
    <s v="M. Lex"/>
    <s v="Abgleich Bankkontenauszug-Avise"/>
  </r>
  <r>
    <s v="ZTR_FLQSUM_FC_DEL"/>
    <s v="Nein"/>
    <x v="2"/>
    <m/>
    <x v="0"/>
    <x v="4"/>
    <x v="3"/>
    <m/>
    <s v="M. Lex"/>
    <s v="LQPL Transfer FDES to Forecast"/>
  </r>
  <r>
    <s v="ZTR_IF_SCD_NPV"/>
    <s v="Nein"/>
    <x v="2"/>
    <m/>
    <x v="0"/>
    <x v="4"/>
    <x v="3"/>
    <m/>
    <s v="M. Lex"/>
    <s v="Laden der Barwerttabelle"/>
  </r>
  <r>
    <s v="ZTR_MIRROR_COMPARE"/>
    <s v="Nein"/>
    <x v="2"/>
    <s v="DEV-138"/>
    <x v="0"/>
    <x v="4"/>
    <x v="3"/>
    <m/>
    <s v="M. Lex"/>
    <s v="TRM: Abgleich Original- und Spiegelgeschäft"/>
  </r>
  <r>
    <s v="ZTR_REP_CALL_FF9"/>
    <s v="Nein"/>
    <x v="2"/>
    <m/>
    <x v="0"/>
    <x v="4"/>
    <x v="3"/>
    <m/>
    <s v="M. Lex"/>
    <s v="Abgleich Bankkontenauszug-Avise"/>
  </r>
  <r>
    <s v="ZVIM_ANALYTICS_SELECT_OPTION"/>
    <s v="Ja"/>
    <x v="1"/>
    <s v="DEV-134"/>
    <x v="1"/>
    <x v="0"/>
    <x v="0"/>
    <m/>
    <m/>
    <s v="Texte der kundenspezifischen Selektionsfelder in VIM Analytics"/>
  </r>
  <r>
    <s v="ZVIM_OAC3_UPDATE_ARCHIV"/>
    <s v="Ja"/>
    <x v="1"/>
    <s v="DEV-134"/>
    <x v="1"/>
    <x v="0"/>
    <x v="0"/>
    <m/>
    <m/>
    <s v="Anpassung der ArchivID in der OAC3"/>
  </r>
  <r>
    <s v="ZXVVFU02"/>
    <s v="Ja"/>
    <x v="1"/>
    <m/>
    <x v="1"/>
    <x v="0"/>
    <x v="0"/>
    <s v="x"/>
    <m/>
    <s v="user exi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m/>
    <x v="0"/>
    <x v="0"/>
    <x v="0"/>
    <m/>
    <m/>
    <x v="0"/>
  </r>
  <r>
    <x v="1"/>
    <x v="0"/>
    <x v="1"/>
    <m/>
    <x v="0"/>
    <x v="1"/>
    <x v="1"/>
    <m/>
    <m/>
    <x v="1"/>
  </r>
  <r>
    <x v="2"/>
    <x v="0"/>
    <x v="0"/>
    <m/>
    <x v="0"/>
    <x v="0"/>
    <x v="0"/>
    <m/>
    <m/>
    <x v="2"/>
  </r>
  <r>
    <x v="3"/>
    <x v="0"/>
    <x v="0"/>
    <m/>
    <x v="0"/>
    <x v="0"/>
    <x v="0"/>
    <m/>
    <m/>
    <x v="3"/>
  </r>
  <r>
    <x v="4"/>
    <x v="0"/>
    <x v="1"/>
    <m/>
    <x v="0"/>
    <x v="2"/>
    <x v="1"/>
    <m/>
    <m/>
    <x v="4"/>
  </r>
  <r>
    <x v="5"/>
    <x v="0"/>
    <x v="1"/>
    <m/>
    <x v="0"/>
    <x v="2"/>
    <x v="1"/>
    <m/>
    <m/>
    <x v="5"/>
  </r>
  <r>
    <x v="6"/>
    <x v="0"/>
    <x v="1"/>
    <m/>
    <x v="0"/>
    <x v="2"/>
    <x v="1"/>
    <m/>
    <m/>
    <x v="6"/>
  </r>
  <r>
    <x v="7"/>
    <x v="0"/>
    <x v="0"/>
    <m/>
    <x v="0"/>
    <x v="0"/>
    <x v="0"/>
    <m/>
    <m/>
    <x v="7"/>
  </r>
  <r>
    <x v="8"/>
    <x v="0"/>
    <x v="0"/>
    <m/>
    <x v="0"/>
    <x v="0"/>
    <x v="0"/>
    <m/>
    <m/>
    <x v="8"/>
  </r>
  <r>
    <x v="9"/>
    <x v="0"/>
    <x v="0"/>
    <m/>
    <x v="0"/>
    <x v="0"/>
    <x v="0"/>
    <m/>
    <m/>
    <x v="9"/>
  </r>
  <r>
    <x v="10"/>
    <x v="0"/>
    <x v="0"/>
    <m/>
    <x v="0"/>
    <x v="0"/>
    <x v="0"/>
    <m/>
    <m/>
    <x v="10"/>
  </r>
  <r>
    <x v="11"/>
    <x v="0"/>
    <x v="0"/>
    <m/>
    <x v="0"/>
    <x v="0"/>
    <x v="0"/>
    <m/>
    <m/>
    <x v="11"/>
  </r>
  <r>
    <x v="12"/>
    <x v="0"/>
    <x v="0"/>
    <m/>
    <x v="0"/>
    <x v="0"/>
    <x v="0"/>
    <m/>
    <m/>
    <x v="11"/>
  </r>
  <r>
    <x v="13"/>
    <x v="0"/>
    <x v="0"/>
    <m/>
    <x v="0"/>
    <x v="0"/>
    <x v="0"/>
    <m/>
    <m/>
    <x v="12"/>
  </r>
  <r>
    <x v="14"/>
    <x v="0"/>
    <x v="0"/>
    <s v="DEV-002"/>
    <x v="0"/>
    <x v="0"/>
    <x v="0"/>
    <m/>
    <m/>
    <x v="13"/>
  </r>
  <r>
    <x v="15"/>
    <x v="0"/>
    <x v="0"/>
    <s v="DEV-002"/>
    <x v="0"/>
    <x v="0"/>
    <x v="0"/>
    <m/>
    <m/>
    <x v="14"/>
  </r>
  <r>
    <x v="16"/>
    <x v="0"/>
    <x v="0"/>
    <m/>
    <x v="0"/>
    <x v="0"/>
    <x v="0"/>
    <m/>
    <m/>
    <x v="15"/>
  </r>
  <r>
    <x v="17"/>
    <x v="0"/>
    <x v="0"/>
    <m/>
    <x v="0"/>
    <x v="0"/>
    <x v="0"/>
    <m/>
    <m/>
    <x v="16"/>
  </r>
  <r>
    <x v="18"/>
    <x v="0"/>
    <x v="0"/>
    <s v="DEV-002"/>
    <x v="0"/>
    <x v="0"/>
    <x v="0"/>
    <m/>
    <m/>
    <x v="17"/>
  </r>
  <r>
    <x v="19"/>
    <x v="1"/>
    <x v="1"/>
    <s v="DEV-150"/>
    <x v="1"/>
    <x v="0"/>
    <x v="0"/>
    <m/>
    <m/>
    <x v="18"/>
  </r>
  <r>
    <x v="20"/>
    <x v="0"/>
    <x v="0"/>
    <m/>
    <x v="0"/>
    <x v="0"/>
    <x v="0"/>
    <m/>
    <m/>
    <x v="19"/>
  </r>
  <r>
    <x v="21"/>
    <x v="0"/>
    <x v="0"/>
    <m/>
    <x v="0"/>
    <x v="0"/>
    <x v="0"/>
    <m/>
    <m/>
    <x v="20"/>
  </r>
  <r>
    <x v="22"/>
    <x v="0"/>
    <x v="1"/>
    <m/>
    <x v="0"/>
    <x v="3"/>
    <x v="2"/>
    <m/>
    <m/>
    <x v="21"/>
  </r>
  <r>
    <x v="23"/>
    <x v="0"/>
    <x v="1"/>
    <m/>
    <x v="0"/>
    <x v="3"/>
    <x v="2"/>
    <m/>
    <m/>
    <x v="22"/>
  </r>
  <r>
    <x v="24"/>
    <x v="0"/>
    <x v="1"/>
    <m/>
    <x v="0"/>
    <x v="3"/>
    <x v="2"/>
    <m/>
    <m/>
    <x v="23"/>
  </r>
  <r>
    <x v="25"/>
    <x v="0"/>
    <x v="1"/>
    <m/>
    <x v="0"/>
    <x v="3"/>
    <x v="2"/>
    <m/>
    <m/>
    <x v="24"/>
  </r>
  <r>
    <x v="26"/>
    <x v="0"/>
    <x v="1"/>
    <m/>
    <x v="0"/>
    <x v="3"/>
    <x v="2"/>
    <m/>
    <m/>
    <x v="25"/>
  </r>
  <r>
    <x v="27"/>
    <x v="0"/>
    <x v="1"/>
    <m/>
    <x v="0"/>
    <x v="3"/>
    <x v="2"/>
    <m/>
    <m/>
    <x v="26"/>
  </r>
  <r>
    <x v="28"/>
    <x v="0"/>
    <x v="1"/>
    <m/>
    <x v="0"/>
    <x v="3"/>
    <x v="2"/>
    <m/>
    <m/>
    <x v="27"/>
  </r>
  <r>
    <x v="29"/>
    <x v="0"/>
    <x v="0"/>
    <m/>
    <x v="0"/>
    <x v="0"/>
    <x v="0"/>
    <m/>
    <m/>
    <x v="28"/>
  </r>
  <r>
    <x v="30"/>
    <x v="0"/>
    <x v="0"/>
    <m/>
    <x v="0"/>
    <x v="0"/>
    <x v="0"/>
    <m/>
    <m/>
    <x v="29"/>
  </r>
  <r>
    <x v="31"/>
    <x v="0"/>
    <x v="1"/>
    <m/>
    <x v="0"/>
    <x v="3"/>
    <x v="2"/>
    <m/>
    <m/>
    <x v="30"/>
  </r>
  <r>
    <x v="32"/>
    <x v="0"/>
    <x v="1"/>
    <m/>
    <x v="0"/>
    <x v="3"/>
    <x v="2"/>
    <m/>
    <m/>
    <x v="31"/>
  </r>
  <r>
    <x v="33"/>
    <x v="1"/>
    <x v="1"/>
    <m/>
    <x v="1"/>
    <x v="0"/>
    <x v="0"/>
    <m/>
    <m/>
    <x v="32"/>
  </r>
  <r>
    <x v="34"/>
    <x v="0"/>
    <x v="0"/>
    <m/>
    <x v="0"/>
    <x v="0"/>
    <x v="0"/>
    <m/>
    <m/>
    <x v="33"/>
  </r>
  <r>
    <x v="35"/>
    <x v="0"/>
    <x v="2"/>
    <m/>
    <x v="0"/>
    <x v="4"/>
    <x v="3"/>
    <m/>
    <s v="J. Schaut"/>
    <x v="34"/>
  </r>
  <r>
    <x v="36"/>
    <x v="0"/>
    <x v="2"/>
    <m/>
    <x v="0"/>
    <x v="4"/>
    <x v="3"/>
    <m/>
    <s v="J. Schaut"/>
    <x v="35"/>
  </r>
  <r>
    <x v="37"/>
    <x v="1"/>
    <x v="1"/>
    <m/>
    <x v="1"/>
    <x v="0"/>
    <x v="0"/>
    <m/>
    <m/>
    <x v="36"/>
  </r>
  <r>
    <x v="38"/>
    <x v="1"/>
    <x v="1"/>
    <m/>
    <x v="1"/>
    <x v="0"/>
    <x v="0"/>
    <m/>
    <m/>
    <x v="37"/>
  </r>
  <r>
    <x v="39"/>
    <x v="0"/>
    <x v="0"/>
    <m/>
    <x v="0"/>
    <x v="0"/>
    <x v="0"/>
    <m/>
    <m/>
    <x v="38"/>
  </r>
  <r>
    <x v="40"/>
    <x v="1"/>
    <x v="1"/>
    <m/>
    <x v="1"/>
    <x v="0"/>
    <x v="0"/>
    <m/>
    <m/>
    <x v="39"/>
  </r>
  <r>
    <x v="41"/>
    <x v="0"/>
    <x v="0"/>
    <m/>
    <x v="0"/>
    <x v="0"/>
    <x v="0"/>
    <m/>
    <m/>
    <x v="40"/>
  </r>
  <r>
    <x v="42"/>
    <x v="0"/>
    <x v="0"/>
    <m/>
    <x v="0"/>
    <x v="0"/>
    <x v="0"/>
    <m/>
    <m/>
    <x v="41"/>
  </r>
  <r>
    <x v="43"/>
    <x v="0"/>
    <x v="0"/>
    <m/>
    <x v="0"/>
    <x v="0"/>
    <x v="0"/>
    <m/>
    <m/>
    <x v="42"/>
  </r>
  <r>
    <x v="44"/>
    <x v="0"/>
    <x v="0"/>
    <m/>
    <x v="0"/>
    <x v="0"/>
    <x v="0"/>
    <m/>
    <s v="P. Haisch"/>
    <x v="43"/>
  </r>
  <r>
    <x v="45"/>
    <x v="0"/>
    <x v="0"/>
    <m/>
    <x v="0"/>
    <x v="0"/>
    <x v="0"/>
    <m/>
    <m/>
    <x v="44"/>
  </r>
  <r>
    <x v="46"/>
    <x v="0"/>
    <x v="2"/>
    <m/>
    <x v="0"/>
    <x v="4"/>
    <x v="3"/>
    <m/>
    <s v="Basis"/>
    <x v="45"/>
  </r>
  <r>
    <x v="47"/>
    <x v="0"/>
    <x v="0"/>
    <m/>
    <x v="0"/>
    <x v="0"/>
    <x v="0"/>
    <m/>
    <m/>
    <x v="46"/>
  </r>
  <r>
    <x v="48"/>
    <x v="1"/>
    <x v="1"/>
    <s v="DEV-105"/>
    <x v="1"/>
    <x v="0"/>
    <x v="0"/>
    <m/>
    <m/>
    <x v="47"/>
  </r>
  <r>
    <x v="49"/>
    <x v="1"/>
    <x v="1"/>
    <m/>
    <x v="1"/>
    <x v="0"/>
    <x v="0"/>
    <m/>
    <m/>
    <x v="48"/>
  </r>
  <r>
    <x v="50"/>
    <x v="0"/>
    <x v="0"/>
    <m/>
    <x v="0"/>
    <x v="0"/>
    <x v="0"/>
    <m/>
    <s v="P. Haisch"/>
    <x v="49"/>
  </r>
  <r>
    <x v="51"/>
    <x v="0"/>
    <x v="2"/>
    <m/>
    <x v="0"/>
    <x v="4"/>
    <x v="3"/>
    <m/>
    <s v="A. Gaida / R. Schildberger"/>
    <x v="50"/>
  </r>
  <r>
    <x v="52"/>
    <x v="0"/>
    <x v="1"/>
    <s v="DEV-105"/>
    <x v="1"/>
    <x v="0"/>
    <x v="0"/>
    <m/>
    <m/>
    <x v="51"/>
  </r>
  <r>
    <x v="53"/>
    <x v="1"/>
    <x v="1"/>
    <m/>
    <x v="1"/>
    <x v="0"/>
    <x v="0"/>
    <m/>
    <m/>
    <x v="52"/>
  </r>
  <r>
    <x v="54"/>
    <x v="0"/>
    <x v="0"/>
    <m/>
    <x v="0"/>
    <x v="0"/>
    <x v="0"/>
    <m/>
    <m/>
    <x v="53"/>
  </r>
  <r>
    <x v="55"/>
    <x v="1"/>
    <x v="1"/>
    <m/>
    <x v="1"/>
    <x v="0"/>
    <x v="0"/>
    <m/>
    <m/>
    <x v="54"/>
  </r>
  <r>
    <x v="56"/>
    <x v="1"/>
    <x v="1"/>
    <m/>
    <x v="1"/>
    <x v="0"/>
    <x v="0"/>
    <m/>
    <m/>
    <x v="55"/>
  </r>
  <r>
    <x v="57"/>
    <x v="0"/>
    <x v="1"/>
    <m/>
    <x v="0"/>
    <x v="3"/>
    <x v="2"/>
    <m/>
    <m/>
    <x v="56"/>
  </r>
  <r>
    <x v="58"/>
    <x v="0"/>
    <x v="0"/>
    <m/>
    <x v="0"/>
    <x v="0"/>
    <x v="0"/>
    <m/>
    <m/>
    <x v="57"/>
  </r>
  <r>
    <x v="59"/>
    <x v="1"/>
    <x v="1"/>
    <m/>
    <x v="1"/>
    <x v="0"/>
    <x v="0"/>
    <m/>
    <m/>
    <x v="58"/>
  </r>
  <r>
    <x v="60"/>
    <x v="0"/>
    <x v="0"/>
    <m/>
    <x v="0"/>
    <x v="0"/>
    <x v="0"/>
    <m/>
    <m/>
    <x v="59"/>
  </r>
  <r>
    <x v="61"/>
    <x v="0"/>
    <x v="1"/>
    <s v="DEV-084"/>
    <x v="1"/>
    <x v="0"/>
    <x v="0"/>
    <m/>
    <m/>
    <x v="46"/>
  </r>
  <r>
    <x v="62"/>
    <x v="0"/>
    <x v="1"/>
    <m/>
    <x v="0"/>
    <x v="3"/>
    <x v="2"/>
    <m/>
    <m/>
    <x v="60"/>
  </r>
  <r>
    <x v="63"/>
    <x v="0"/>
    <x v="1"/>
    <m/>
    <x v="0"/>
    <x v="3"/>
    <x v="2"/>
    <m/>
    <m/>
    <x v="60"/>
  </r>
  <r>
    <x v="64"/>
    <x v="0"/>
    <x v="1"/>
    <s v="DEV-084"/>
    <x v="1"/>
    <x v="0"/>
    <x v="0"/>
    <m/>
    <m/>
    <x v="61"/>
  </r>
  <r>
    <x v="65"/>
    <x v="1"/>
    <x v="1"/>
    <s v="DEV-084"/>
    <x v="1"/>
    <x v="0"/>
    <x v="0"/>
    <m/>
    <m/>
    <x v="62"/>
  </r>
  <r>
    <x v="66"/>
    <x v="1"/>
    <x v="1"/>
    <s v="DEV-084"/>
    <x v="1"/>
    <x v="0"/>
    <x v="0"/>
    <m/>
    <m/>
    <x v="63"/>
  </r>
  <r>
    <x v="67"/>
    <x v="1"/>
    <x v="1"/>
    <m/>
    <x v="1"/>
    <x v="0"/>
    <x v="0"/>
    <m/>
    <m/>
    <x v="64"/>
  </r>
  <r>
    <x v="68"/>
    <x v="0"/>
    <x v="1"/>
    <s v="DEV-084"/>
    <x v="1"/>
    <x v="0"/>
    <x v="0"/>
    <m/>
    <m/>
    <x v="65"/>
  </r>
  <r>
    <x v="69"/>
    <x v="0"/>
    <x v="0"/>
    <m/>
    <x v="0"/>
    <x v="0"/>
    <x v="0"/>
    <m/>
    <m/>
    <x v="66"/>
  </r>
  <r>
    <x v="70"/>
    <x v="0"/>
    <x v="0"/>
    <m/>
    <x v="0"/>
    <x v="0"/>
    <x v="0"/>
    <m/>
    <m/>
    <x v="66"/>
  </r>
  <r>
    <x v="71"/>
    <x v="0"/>
    <x v="0"/>
    <m/>
    <x v="0"/>
    <x v="0"/>
    <x v="0"/>
    <m/>
    <m/>
    <x v="67"/>
  </r>
  <r>
    <x v="72"/>
    <x v="1"/>
    <x v="1"/>
    <m/>
    <x v="1"/>
    <x v="0"/>
    <x v="0"/>
    <m/>
    <m/>
    <x v="68"/>
  </r>
  <r>
    <x v="73"/>
    <x v="0"/>
    <x v="0"/>
    <m/>
    <x v="0"/>
    <x v="0"/>
    <x v="0"/>
    <m/>
    <m/>
    <x v="69"/>
  </r>
  <r>
    <x v="74"/>
    <x v="1"/>
    <x v="1"/>
    <m/>
    <x v="1"/>
    <x v="0"/>
    <x v="0"/>
    <m/>
    <m/>
    <x v="70"/>
  </r>
  <r>
    <x v="75"/>
    <x v="0"/>
    <x v="0"/>
    <m/>
    <x v="0"/>
    <x v="0"/>
    <x v="0"/>
    <m/>
    <m/>
    <x v="71"/>
  </r>
  <r>
    <x v="76"/>
    <x v="0"/>
    <x v="0"/>
    <m/>
    <x v="0"/>
    <x v="0"/>
    <x v="0"/>
    <m/>
    <m/>
    <x v="72"/>
  </r>
  <r>
    <x v="77"/>
    <x v="0"/>
    <x v="0"/>
    <m/>
    <x v="0"/>
    <x v="0"/>
    <x v="0"/>
    <m/>
    <m/>
    <x v="73"/>
  </r>
  <r>
    <x v="78"/>
    <x v="0"/>
    <x v="0"/>
    <m/>
    <x v="0"/>
    <x v="0"/>
    <x v="0"/>
    <m/>
    <m/>
    <x v="74"/>
  </r>
  <r>
    <x v="79"/>
    <x v="0"/>
    <x v="0"/>
    <s v="DEV-109"/>
    <x v="0"/>
    <x v="0"/>
    <x v="0"/>
    <m/>
    <m/>
    <x v="75"/>
  </r>
  <r>
    <x v="80"/>
    <x v="0"/>
    <x v="0"/>
    <s v="DEV-110"/>
    <x v="0"/>
    <x v="0"/>
    <x v="0"/>
    <m/>
    <m/>
    <x v="76"/>
  </r>
  <r>
    <x v="81"/>
    <x v="0"/>
    <x v="0"/>
    <m/>
    <x v="0"/>
    <x v="0"/>
    <x v="0"/>
    <m/>
    <m/>
    <x v="77"/>
  </r>
  <r>
    <x v="82"/>
    <x v="0"/>
    <x v="0"/>
    <m/>
    <x v="0"/>
    <x v="0"/>
    <x v="0"/>
    <m/>
    <m/>
    <x v="40"/>
  </r>
  <r>
    <x v="83"/>
    <x v="0"/>
    <x v="0"/>
    <s v="DEV-111"/>
    <x v="0"/>
    <x v="0"/>
    <x v="0"/>
    <m/>
    <m/>
    <x v="40"/>
  </r>
  <r>
    <x v="84"/>
    <x v="0"/>
    <x v="0"/>
    <m/>
    <x v="0"/>
    <x v="0"/>
    <x v="0"/>
    <m/>
    <m/>
    <x v="78"/>
  </r>
  <r>
    <x v="85"/>
    <x v="0"/>
    <x v="0"/>
    <m/>
    <x v="0"/>
    <x v="0"/>
    <x v="0"/>
    <m/>
    <m/>
    <x v="79"/>
  </r>
  <r>
    <x v="86"/>
    <x v="0"/>
    <x v="0"/>
    <m/>
    <x v="0"/>
    <x v="0"/>
    <x v="0"/>
    <m/>
    <m/>
    <x v="80"/>
  </r>
  <r>
    <x v="87"/>
    <x v="0"/>
    <x v="0"/>
    <m/>
    <x v="0"/>
    <x v="0"/>
    <x v="0"/>
    <m/>
    <m/>
    <x v="81"/>
  </r>
  <r>
    <x v="88"/>
    <x v="0"/>
    <x v="0"/>
    <m/>
    <x v="0"/>
    <x v="0"/>
    <x v="0"/>
    <m/>
    <m/>
    <x v="82"/>
  </r>
  <r>
    <x v="89"/>
    <x v="0"/>
    <x v="0"/>
    <m/>
    <x v="0"/>
    <x v="0"/>
    <x v="0"/>
    <m/>
    <m/>
    <x v="83"/>
  </r>
  <r>
    <x v="90"/>
    <x v="0"/>
    <x v="0"/>
    <m/>
    <x v="0"/>
    <x v="0"/>
    <x v="0"/>
    <m/>
    <m/>
    <x v="84"/>
  </r>
  <r>
    <x v="91"/>
    <x v="0"/>
    <x v="0"/>
    <m/>
    <x v="0"/>
    <x v="0"/>
    <x v="0"/>
    <m/>
    <m/>
    <x v="85"/>
  </r>
  <r>
    <x v="92"/>
    <x v="0"/>
    <x v="0"/>
    <m/>
    <x v="0"/>
    <x v="0"/>
    <x v="0"/>
    <m/>
    <m/>
    <x v="40"/>
  </r>
  <r>
    <x v="93"/>
    <x v="0"/>
    <x v="0"/>
    <m/>
    <x v="0"/>
    <x v="0"/>
    <x v="0"/>
    <m/>
    <m/>
    <x v="86"/>
  </r>
  <r>
    <x v="94"/>
    <x v="0"/>
    <x v="0"/>
    <m/>
    <x v="0"/>
    <x v="0"/>
    <x v="0"/>
    <m/>
    <m/>
    <x v="87"/>
  </r>
  <r>
    <x v="95"/>
    <x v="0"/>
    <x v="0"/>
    <m/>
    <x v="0"/>
    <x v="0"/>
    <x v="0"/>
    <m/>
    <m/>
    <x v="88"/>
  </r>
  <r>
    <x v="96"/>
    <x v="0"/>
    <x v="0"/>
    <m/>
    <x v="0"/>
    <x v="0"/>
    <x v="0"/>
    <m/>
    <m/>
    <x v="89"/>
  </r>
  <r>
    <x v="97"/>
    <x v="0"/>
    <x v="0"/>
    <m/>
    <x v="0"/>
    <x v="0"/>
    <x v="0"/>
    <m/>
    <m/>
    <x v="90"/>
  </r>
  <r>
    <x v="98"/>
    <x v="0"/>
    <x v="0"/>
    <m/>
    <x v="0"/>
    <x v="0"/>
    <x v="0"/>
    <m/>
    <m/>
    <x v="91"/>
  </r>
  <r>
    <x v="99"/>
    <x v="0"/>
    <x v="1"/>
    <s v="DEV-157"/>
    <x v="1"/>
    <x v="0"/>
    <x v="0"/>
    <m/>
    <m/>
    <x v="92"/>
  </r>
  <r>
    <x v="100"/>
    <x v="1"/>
    <x v="1"/>
    <s v="DEV-157"/>
    <x v="1"/>
    <x v="0"/>
    <x v="0"/>
    <m/>
    <m/>
    <x v="93"/>
  </r>
  <r>
    <x v="101"/>
    <x v="0"/>
    <x v="0"/>
    <m/>
    <x v="0"/>
    <x v="0"/>
    <x v="0"/>
    <m/>
    <m/>
    <x v="94"/>
  </r>
  <r>
    <x v="102"/>
    <x v="0"/>
    <x v="0"/>
    <m/>
    <x v="0"/>
    <x v="0"/>
    <x v="0"/>
    <m/>
    <m/>
    <x v="95"/>
  </r>
  <r>
    <x v="103"/>
    <x v="0"/>
    <x v="0"/>
    <m/>
    <x v="0"/>
    <x v="0"/>
    <x v="0"/>
    <m/>
    <m/>
    <x v="96"/>
  </r>
  <r>
    <x v="104"/>
    <x v="0"/>
    <x v="0"/>
    <s v="DEV-112"/>
    <x v="0"/>
    <x v="0"/>
    <x v="0"/>
    <m/>
    <m/>
    <x v="97"/>
  </r>
  <r>
    <x v="105"/>
    <x v="0"/>
    <x v="0"/>
    <m/>
    <x v="0"/>
    <x v="0"/>
    <x v="0"/>
    <m/>
    <m/>
    <x v="98"/>
  </r>
  <r>
    <x v="106"/>
    <x v="0"/>
    <x v="0"/>
    <m/>
    <x v="0"/>
    <x v="0"/>
    <x v="0"/>
    <m/>
    <m/>
    <x v="98"/>
  </r>
  <r>
    <x v="107"/>
    <x v="0"/>
    <x v="1"/>
    <s v="DEV-148"/>
    <x v="1"/>
    <x v="0"/>
    <x v="0"/>
    <m/>
    <m/>
    <x v="99"/>
  </r>
  <r>
    <x v="108"/>
    <x v="0"/>
    <x v="0"/>
    <m/>
    <x v="0"/>
    <x v="0"/>
    <x v="0"/>
    <m/>
    <m/>
    <x v="100"/>
  </r>
  <r>
    <x v="109"/>
    <x v="0"/>
    <x v="1"/>
    <s v="DEV-113"/>
    <x v="1"/>
    <x v="0"/>
    <x v="0"/>
    <m/>
    <m/>
    <x v="101"/>
  </r>
  <r>
    <x v="110"/>
    <x v="0"/>
    <x v="0"/>
    <m/>
    <x v="0"/>
    <x v="0"/>
    <x v="0"/>
    <m/>
    <m/>
    <x v="102"/>
  </r>
  <r>
    <x v="111"/>
    <x v="0"/>
    <x v="1"/>
    <s v="DEV-114"/>
    <x v="1"/>
    <x v="0"/>
    <x v="0"/>
    <m/>
    <m/>
    <x v="103"/>
  </r>
  <r>
    <x v="112"/>
    <x v="0"/>
    <x v="0"/>
    <m/>
    <x v="0"/>
    <x v="0"/>
    <x v="0"/>
    <m/>
    <m/>
    <x v="104"/>
  </r>
  <r>
    <x v="113"/>
    <x v="0"/>
    <x v="0"/>
    <s v="DEV-115"/>
    <x v="0"/>
    <x v="0"/>
    <x v="0"/>
    <m/>
    <m/>
    <x v="105"/>
  </r>
  <r>
    <x v="114"/>
    <x v="0"/>
    <x v="0"/>
    <m/>
    <x v="0"/>
    <x v="0"/>
    <x v="0"/>
    <m/>
    <m/>
    <x v="106"/>
  </r>
  <r>
    <x v="115"/>
    <x v="0"/>
    <x v="0"/>
    <m/>
    <x v="0"/>
    <x v="0"/>
    <x v="0"/>
    <m/>
    <m/>
    <x v="102"/>
  </r>
  <r>
    <x v="116"/>
    <x v="0"/>
    <x v="0"/>
    <m/>
    <x v="0"/>
    <x v="0"/>
    <x v="0"/>
    <m/>
    <m/>
    <x v="107"/>
  </r>
  <r>
    <x v="117"/>
    <x v="0"/>
    <x v="0"/>
    <m/>
    <x v="0"/>
    <x v="0"/>
    <x v="0"/>
    <m/>
    <m/>
    <x v="108"/>
  </r>
  <r>
    <x v="118"/>
    <x v="0"/>
    <x v="0"/>
    <m/>
    <x v="0"/>
    <x v="0"/>
    <x v="0"/>
    <m/>
    <m/>
    <x v="109"/>
  </r>
  <r>
    <x v="119"/>
    <x v="1"/>
    <x v="1"/>
    <s v="DEV-084"/>
    <x v="1"/>
    <x v="0"/>
    <x v="0"/>
    <m/>
    <m/>
    <x v="110"/>
  </r>
  <r>
    <x v="120"/>
    <x v="0"/>
    <x v="0"/>
    <m/>
    <x v="0"/>
    <x v="0"/>
    <x v="0"/>
    <m/>
    <m/>
    <x v="111"/>
  </r>
  <r>
    <x v="121"/>
    <x v="0"/>
    <x v="0"/>
    <s v="DEV-116"/>
    <x v="0"/>
    <x v="0"/>
    <x v="0"/>
    <m/>
    <m/>
    <x v="112"/>
  </r>
  <r>
    <x v="122"/>
    <x v="0"/>
    <x v="0"/>
    <s v="DEV-117"/>
    <x v="0"/>
    <x v="0"/>
    <x v="0"/>
    <m/>
    <m/>
    <x v="113"/>
  </r>
  <r>
    <x v="123"/>
    <x v="0"/>
    <x v="1"/>
    <s v="DEV-159"/>
    <x v="1"/>
    <x v="0"/>
    <x v="0"/>
    <m/>
    <m/>
    <x v="114"/>
  </r>
  <r>
    <x v="124"/>
    <x v="1"/>
    <x v="1"/>
    <s v="DEV-118"/>
    <x v="1"/>
    <x v="0"/>
    <x v="0"/>
    <m/>
    <m/>
    <x v="115"/>
  </r>
  <r>
    <x v="125"/>
    <x v="0"/>
    <x v="0"/>
    <m/>
    <x v="0"/>
    <x v="0"/>
    <x v="0"/>
    <m/>
    <m/>
    <x v="116"/>
  </r>
  <r>
    <x v="126"/>
    <x v="0"/>
    <x v="0"/>
    <m/>
    <x v="0"/>
    <x v="0"/>
    <x v="0"/>
    <m/>
    <m/>
    <x v="40"/>
  </r>
  <r>
    <x v="127"/>
    <x v="0"/>
    <x v="0"/>
    <m/>
    <x v="0"/>
    <x v="0"/>
    <x v="0"/>
    <m/>
    <m/>
    <x v="117"/>
  </r>
  <r>
    <x v="128"/>
    <x v="0"/>
    <x v="0"/>
    <m/>
    <x v="0"/>
    <x v="0"/>
    <x v="0"/>
    <m/>
    <m/>
    <x v="118"/>
  </r>
  <r>
    <x v="129"/>
    <x v="0"/>
    <x v="0"/>
    <s v="DEV-001"/>
    <x v="0"/>
    <x v="0"/>
    <x v="0"/>
    <m/>
    <m/>
    <x v="119"/>
  </r>
  <r>
    <x v="130"/>
    <x v="0"/>
    <x v="0"/>
    <m/>
    <x v="0"/>
    <x v="0"/>
    <x v="0"/>
    <m/>
    <m/>
    <x v="120"/>
  </r>
  <r>
    <x v="131"/>
    <x v="0"/>
    <x v="0"/>
    <m/>
    <x v="0"/>
    <x v="0"/>
    <x v="0"/>
    <m/>
    <m/>
    <x v="121"/>
  </r>
  <r>
    <x v="132"/>
    <x v="0"/>
    <x v="0"/>
    <m/>
    <x v="0"/>
    <x v="0"/>
    <x v="0"/>
    <m/>
    <m/>
    <x v="122"/>
  </r>
  <r>
    <x v="133"/>
    <x v="0"/>
    <x v="0"/>
    <m/>
    <x v="0"/>
    <x v="0"/>
    <x v="0"/>
    <m/>
    <m/>
    <x v="123"/>
  </r>
  <r>
    <x v="134"/>
    <x v="0"/>
    <x v="0"/>
    <m/>
    <x v="0"/>
    <x v="0"/>
    <x v="0"/>
    <m/>
    <m/>
    <x v="124"/>
  </r>
  <r>
    <x v="135"/>
    <x v="0"/>
    <x v="0"/>
    <m/>
    <x v="0"/>
    <x v="0"/>
    <x v="0"/>
    <m/>
    <m/>
    <x v="125"/>
  </r>
  <r>
    <x v="136"/>
    <x v="0"/>
    <x v="0"/>
    <m/>
    <x v="0"/>
    <x v="0"/>
    <x v="0"/>
    <m/>
    <m/>
    <x v="126"/>
  </r>
  <r>
    <x v="137"/>
    <x v="0"/>
    <x v="0"/>
    <s v="DEV-061"/>
    <x v="0"/>
    <x v="0"/>
    <x v="0"/>
    <m/>
    <m/>
    <x v="127"/>
  </r>
  <r>
    <x v="138"/>
    <x v="0"/>
    <x v="1"/>
    <s v="DEV-119"/>
    <x v="1"/>
    <x v="0"/>
    <x v="0"/>
    <m/>
    <m/>
    <x v="128"/>
  </r>
  <r>
    <x v="139"/>
    <x v="0"/>
    <x v="0"/>
    <s v="DEV-001"/>
    <x v="0"/>
    <x v="0"/>
    <x v="0"/>
    <m/>
    <m/>
    <x v="129"/>
  </r>
  <r>
    <x v="140"/>
    <x v="0"/>
    <x v="0"/>
    <m/>
    <x v="0"/>
    <x v="0"/>
    <x v="0"/>
    <m/>
    <m/>
    <x v="130"/>
  </r>
  <r>
    <x v="141"/>
    <x v="0"/>
    <x v="0"/>
    <s v="DEV-103"/>
    <x v="0"/>
    <x v="0"/>
    <x v="0"/>
    <m/>
    <m/>
    <x v="131"/>
  </r>
  <r>
    <x v="142"/>
    <x v="1"/>
    <x v="1"/>
    <s v="DEV-073"/>
    <x v="1"/>
    <x v="0"/>
    <x v="0"/>
    <m/>
    <m/>
    <x v="132"/>
  </r>
  <r>
    <x v="143"/>
    <x v="1"/>
    <x v="1"/>
    <s v="DEV-083"/>
    <x v="1"/>
    <x v="0"/>
    <x v="0"/>
    <m/>
    <m/>
    <x v="133"/>
  </r>
  <r>
    <x v="144"/>
    <x v="1"/>
    <x v="1"/>
    <s v="DEV-083"/>
    <x v="1"/>
    <x v="0"/>
    <x v="0"/>
    <m/>
    <m/>
    <x v="134"/>
  </r>
  <r>
    <x v="145"/>
    <x v="1"/>
    <x v="1"/>
    <s v="DEV-083"/>
    <x v="1"/>
    <x v="0"/>
    <x v="0"/>
    <m/>
    <m/>
    <x v="135"/>
  </r>
  <r>
    <x v="146"/>
    <x v="0"/>
    <x v="0"/>
    <m/>
    <x v="0"/>
    <x v="0"/>
    <x v="0"/>
    <m/>
    <m/>
    <x v="136"/>
  </r>
  <r>
    <x v="147"/>
    <x v="0"/>
    <x v="2"/>
    <m/>
    <x v="0"/>
    <x v="4"/>
    <x v="3"/>
    <m/>
    <s v="M. Demleitner"/>
    <x v="137"/>
  </r>
  <r>
    <x v="148"/>
    <x v="0"/>
    <x v="1"/>
    <s v="DEV-091"/>
    <x v="0"/>
    <x v="1"/>
    <x v="1"/>
    <m/>
    <m/>
    <x v="138"/>
  </r>
  <r>
    <x v="149"/>
    <x v="0"/>
    <x v="1"/>
    <s v="DEV-091"/>
    <x v="0"/>
    <x v="1"/>
    <x v="1"/>
    <m/>
    <m/>
    <x v="139"/>
  </r>
  <r>
    <x v="150"/>
    <x v="0"/>
    <x v="1"/>
    <s v="DEV-120"/>
    <x v="0"/>
    <x v="1"/>
    <x v="1"/>
    <m/>
    <m/>
    <x v="140"/>
  </r>
  <r>
    <x v="151"/>
    <x v="0"/>
    <x v="1"/>
    <m/>
    <x v="0"/>
    <x v="1"/>
    <x v="1"/>
    <m/>
    <m/>
    <x v="141"/>
  </r>
  <r>
    <x v="152"/>
    <x v="0"/>
    <x v="0"/>
    <m/>
    <x v="0"/>
    <x v="0"/>
    <x v="0"/>
    <m/>
    <m/>
    <x v="142"/>
  </r>
  <r>
    <x v="153"/>
    <x v="0"/>
    <x v="0"/>
    <m/>
    <x v="0"/>
    <x v="0"/>
    <x v="0"/>
    <m/>
    <m/>
    <x v="143"/>
  </r>
  <r>
    <x v="154"/>
    <x v="0"/>
    <x v="0"/>
    <m/>
    <x v="0"/>
    <x v="0"/>
    <x v="0"/>
    <m/>
    <m/>
    <x v="144"/>
  </r>
  <r>
    <x v="155"/>
    <x v="1"/>
    <x v="1"/>
    <m/>
    <x v="1"/>
    <x v="0"/>
    <x v="0"/>
    <m/>
    <m/>
    <x v="145"/>
  </r>
  <r>
    <x v="156"/>
    <x v="0"/>
    <x v="1"/>
    <s v="DEV-104"/>
    <x v="0"/>
    <x v="1"/>
    <x v="1"/>
    <m/>
    <m/>
    <x v="146"/>
  </r>
  <r>
    <x v="157"/>
    <x v="0"/>
    <x v="1"/>
    <s v="DEV-080"/>
    <x v="1"/>
    <x v="0"/>
    <x v="0"/>
    <m/>
    <m/>
    <x v="147"/>
  </r>
  <r>
    <x v="158"/>
    <x v="0"/>
    <x v="1"/>
    <s v="DEV-080"/>
    <x v="1"/>
    <x v="0"/>
    <x v="0"/>
    <m/>
    <m/>
    <x v="148"/>
  </r>
  <r>
    <x v="159"/>
    <x v="0"/>
    <x v="1"/>
    <s v="DEV-080"/>
    <x v="1"/>
    <x v="0"/>
    <x v="0"/>
    <m/>
    <m/>
    <x v="149"/>
  </r>
  <r>
    <x v="160"/>
    <x v="1"/>
    <x v="1"/>
    <s v="DEV-072"/>
    <x v="1"/>
    <x v="0"/>
    <x v="0"/>
    <m/>
    <m/>
    <x v="150"/>
  </r>
  <r>
    <x v="161"/>
    <x v="0"/>
    <x v="1"/>
    <s v="DEV-033"/>
    <x v="1"/>
    <x v="0"/>
    <x v="0"/>
    <m/>
    <m/>
    <x v="151"/>
  </r>
  <r>
    <x v="162"/>
    <x v="1"/>
    <x v="1"/>
    <s v="DEV-033"/>
    <x v="1"/>
    <x v="0"/>
    <x v="0"/>
    <m/>
    <m/>
    <x v="152"/>
  </r>
  <r>
    <x v="163"/>
    <x v="1"/>
    <x v="1"/>
    <s v="DEV-072"/>
    <x v="1"/>
    <x v="0"/>
    <x v="0"/>
    <m/>
    <m/>
    <x v="153"/>
  </r>
  <r>
    <x v="164"/>
    <x v="1"/>
    <x v="1"/>
    <s v="DEV-072"/>
    <x v="1"/>
    <x v="0"/>
    <x v="0"/>
    <m/>
    <m/>
    <x v="154"/>
  </r>
  <r>
    <x v="165"/>
    <x v="1"/>
    <x v="1"/>
    <s v="DEV-072"/>
    <x v="1"/>
    <x v="0"/>
    <x v="0"/>
    <m/>
    <m/>
    <x v="155"/>
  </r>
  <r>
    <x v="166"/>
    <x v="1"/>
    <x v="1"/>
    <s v="DEV-072"/>
    <x v="1"/>
    <x v="0"/>
    <x v="0"/>
    <m/>
    <m/>
    <x v="156"/>
  </r>
  <r>
    <x v="167"/>
    <x v="0"/>
    <x v="0"/>
    <s v="DEV-072"/>
    <x v="0"/>
    <x v="0"/>
    <x v="0"/>
    <m/>
    <m/>
    <x v="157"/>
  </r>
  <r>
    <x v="168"/>
    <x v="1"/>
    <x v="1"/>
    <s v="DEV-064"/>
    <x v="1"/>
    <x v="0"/>
    <x v="0"/>
    <m/>
    <m/>
    <x v="158"/>
  </r>
  <r>
    <x v="169"/>
    <x v="1"/>
    <x v="1"/>
    <s v="DEV-064"/>
    <x v="1"/>
    <x v="0"/>
    <x v="0"/>
    <m/>
    <m/>
    <x v="159"/>
  </r>
  <r>
    <x v="170"/>
    <x v="1"/>
    <x v="1"/>
    <s v="DEV-064"/>
    <x v="1"/>
    <x v="0"/>
    <x v="0"/>
    <m/>
    <m/>
    <x v="160"/>
  </r>
  <r>
    <x v="171"/>
    <x v="1"/>
    <x v="1"/>
    <s v="DEV-064"/>
    <x v="1"/>
    <x v="0"/>
    <x v="0"/>
    <m/>
    <m/>
    <x v="160"/>
  </r>
  <r>
    <x v="172"/>
    <x v="1"/>
    <x v="1"/>
    <s v="DEV-064"/>
    <x v="1"/>
    <x v="0"/>
    <x v="0"/>
    <m/>
    <m/>
    <x v="161"/>
  </r>
  <r>
    <x v="173"/>
    <x v="1"/>
    <x v="1"/>
    <s v="DEV-064"/>
    <x v="1"/>
    <x v="0"/>
    <x v="0"/>
    <m/>
    <m/>
    <x v="162"/>
  </r>
  <r>
    <x v="174"/>
    <x v="1"/>
    <x v="1"/>
    <s v="DEV-064"/>
    <x v="1"/>
    <x v="0"/>
    <x v="0"/>
    <m/>
    <m/>
    <x v="163"/>
  </r>
  <r>
    <x v="175"/>
    <x v="0"/>
    <x v="0"/>
    <m/>
    <x v="0"/>
    <x v="0"/>
    <x v="0"/>
    <m/>
    <m/>
    <x v="164"/>
  </r>
  <r>
    <x v="176"/>
    <x v="0"/>
    <x v="0"/>
    <m/>
    <x v="0"/>
    <x v="0"/>
    <x v="0"/>
    <m/>
    <m/>
    <x v="165"/>
  </r>
  <r>
    <x v="177"/>
    <x v="0"/>
    <x v="0"/>
    <m/>
    <x v="0"/>
    <x v="0"/>
    <x v="0"/>
    <m/>
    <m/>
    <x v="166"/>
  </r>
  <r>
    <x v="178"/>
    <x v="0"/>
    <x v="0"/>
    <m/>
    <x v="0"/>
    <x v="0"/>
    <x v="0"/>
    <m/>
    <m/>
    <x v="167"/>
  </r>
  <r>
    <x v="179"/>
    <x v="0"/>
    <x v="0"/>
    <m/>
    <x v="0"/>
    <x v="0"/>
    <x v="0"/>
    <m/>
    <m/>
    <x v="168"/>
  </r>
  <r>
    <x v="180"/>
    <x v="0"/>
    <x v="0"/>
    <m/>
    <x v="0"/>
    <x v="0"/>
    <x v="0"/>
    <m/>
    <m/>
    <x v="169"/>
  </r>
  <r>
    <x v="181"/>
    <x v="0"/>
    <x v="0"/>
    <m/>
    <x v="0"/>
    <x v="0"/>
    <x v="0"/>
    <m/>
    <m/>
    <x v="170"/>
  </r>
  <r>
    <x v="182"/>
    <x v="0"/>
    <x v="0"/>
    <m/>
    <x v="0"/>
    <x v="0"/>
    <x v="0"/>
    <m/>
    <m/>
    <x v="171"/>
  </r>
  <r>
    <x v="183"/>
    <x v="0"/>
    <x v="0"/>
    <m/>
    <x v="0"/>
    <x v="0"/>
    <x v="0"/>
    <m/>
    <m/>
    <x v="172"/>
  </r>
  <r>
    <x v="184"/>
    <x v="0"/>
    <x v="0"/>
    <m/>
    <x v="0"/>
    <x v="0"/>
    <x v="0"/>
    <m/>
    <m/>
    <x v="173"/>
  </r>
  <r>
    <x v="185"/>
    <x v="0"/>
    <x v="0"/>
    <m/>
    <x v="0"/>
    <x v="0"/>
    <x v="0"/>
    <m/>
    <m/>
    <x v="174"/>
  </r>
  <r>
    <x v="186"/>
    <x v="1"/>
    <x v="1"/>
    <s v="DEV-081"/>
    <x v="1"/>
    <x v="0"/>
    <x v="0"/>
    <m/>
    <m/>
    <x v="175"/>
  </r>
  <r>
    <x v="187"/>
    <x v="0"/>
    <x v="1"/>
    <s v="DEV-081"/>
    <x v="1"/>
    <x v="0"/>
    <x v="0"/>
    <m/>
    <m/>
    <x v="175"/>
  </r>
  <r>
    <x v="188"/>
    <x v="1"/>
    <x v="1"/>
    <s v="DEV-081"/>
    <x v="1"/>
    <x v="0"/>
    <x v="0"/>
    <m/>
    <m/>
    <x v="176"/>
  </r>
  <r>
    <x v="189"/>
    <x v="1"/>
    <x v="1"/>
    <s v="DEV-081"/>
    <x v="1"/>
    <x v="0"/>
    <x v="0"/>
    <m/>
    <m/>
    <x v="177"/>
  </r>
  <r>
    <x v="190"/>
    <x v="1"/>
    <x v="1"/>
    <s v="DEV-089"/>
    <x v="1"/>
    <x v="0"/>
    <x v="0"/>
    <m/>
    <m/>
    <x v="178"/>
  </r>
  <r>
    <x v="191"/>
    <x v="0"/>
    <x v="1"/>
    <s v="DEV-037"/>
    <x v="1"/>
    <x v="0"/>
    <x v="0"/>
    <m/>
    <m/>
    <x v="179"/>
  </r>
  <r>
    <x v="192"/>
    <x v="0"/>
    <x v="1"/>
    <s v="DEV-037"/>
    <x v="1"/>
    <x v="0"/>
    <x v="0"/>
    <m/>
    <m/>
    <x v="180"/>
  </r>
  <r>
    <x v="193"/>
    <x v="0"/>
    <x v="0"/>
    <s v="DEV-066"/>
    <x v="0"/>
    <x v="0"/>
    <x v="0"/>
    <m/>
    <m/>
    <x v="181"/>
  </r>
  <r>
    <x v="194"/>
    <x v="1"/>
    <x v="1"/>
    <s v="DEV-121"/>
    <x v="1"/>
    <x v="0"/>
    <x v="0"/>
    <m/>
    <m/>
    <x v="182"/>
  </r>
  <r>
    <x v="195"/>
    <x v="1"/>
    <x v="1"/>
    <s v="DEV-083"/>
    <x v="1"/>
    <x v="0"/>
    <x v="0"/>
    <m/>
    <m/>
    <x v="183"/>
  </r>
  <r>
    <x v="196"/>
    <x v="0"/>
    <x v="0"/>
    <m/>
    <x v="0"/>
    <x v="0"/>
    <x v="0"/>
    <m/>
    <m/>
    <x v="184"/>
  </r>
  <r>
    <x v="197"/>
    <x v="0"/>
    <x v="0"/>
    <m/>
    <x v="0"/>
    <x v="0"/>
    <x v="0"/>
    <m/>
    <m/>
    <x v="185"/>
  </r>
  <r>
    <x v="198"/>
    <x v="0"/>
    <x v="0"/>
    <m/>
    <x v="0"/>
    <x v="0"/>
    <x v="0"/>
    <m/>
    <m/>
    <x v="186"/>
  </r>
  <r>
    <x v="199"/>
    <x v="0"/>
    <x v="1"/>
    <m/>
    <x v="0"/>
    <x v="1"/>
    <x v="1"/>
    <m/>
    <m/>
    <x v="187"/>
  </r>
  <r>
    <x v="200"/>
    <x v="0"/>
    <x v="0"/>
    <m/>
    <x v="0"/>
    <x v="0"/>
    <x v="0"/>
    <m/>
    <m/>
    <x v="188"/>
  </r>
  <r>
    <x v="201"/>
    <x v="0"/>
    <x v="1"/>
    <m/>
    <x v="0"/>
    <x v="3"/>
    <x v="2"/>
    <m/>
    <m/>
    <x v="189"/>
  </r>
  <r>
    <x v="202"/>
    <x v="0"/>
    <x v="0"/>
    <m/>
    <x v="0"/>
    <x v="0"/>
    <x v="0"/>
    <m/>
    <m/>
    <x v="190"/>
  </r>
  <r>
    <x v="203"/>
    <x v="0"/>
    <x v="0"/>
    <m/>
    <x v="0"/>
    <x v="0"/>
    <x v="0"/>
    <m/>
    <m/>
    <x v="191"/>
  </r>
  <r>
    <x v="204"/>
    <x v="0"/>
    <x v="0"/>
    <m/>
    <x v="0"/>
    <x v="0"/>
    <x v="0"/>
    <m/>
    <m/>
    <x v="192"/>
  </r>
  <r>
    <x v="205"/>
    <x v="0"/>
    <x v="0"/>
    <m/>
    <x v="0"/>
    <x v="0"/>
    <x v="0"/>
    <m/>
    <m/>
    <x v="193"/>
  </r>
  <r>
    <x v="206"/>
    <x v="0"/>
    <x v="0"/>
    <m/>
    <x v="0"/>
    <x v="0"/>
    <x v="0"/>
    <m/>
    <m/>
    <x v="194"/>
  </r>
  <r>
    <x v="207"/>
    <x v="0"/>
    <x v="0"/>
    <m/>
    <x v="0"/>
    <x v="0"/>
    <x v="0"/>
    <m/>
    <m/>
    <x v="195"/>
  </r>
  <r>
    <x v="208"/>
    <x v="0"/>
    <x v="0"/>
    <m/>
    <x v="0"/>
    <x v="0"/>
    <x v="0"/>
    <m/>
    <m/>
    <x v="196"/>
  </r>
  <r>
    <x v="209"/>
    <x v="0"/>
    <x v="0"/>
    <m/>
    <x v="0"/>
    <x v="0"/>
    <x v="0"/>
    <m/>
    <m/>
    <x v="197"/>
  </r>
  <r>
    <x v="210"/>
    <x v="0"/>
    <x v="0"/>
    <m/>
    <x v="0"/>
    <x v="0"/>
    <x v="0"/>
    <m/>
    <m/>
    <x v="198"/>
  </r>
  <r>
    <x v="211"/>
    <x v="0"/>
    <x v="0"/>
    <m/>
    <x v="0"/>
    <x v="0"/>
    <x v="0"/>
    <m/>
    <m/>
    <x v="199"/>
  </r>
  <r>
    <x v="212"/>
    <x v="0"/>
    <x v="0"/>
    <m/>
    <x v="0"/>
    <x v="0"/>
    <x v="0"/>
    <m/>
    <m/>
    <x v="200"/>
  </r>
  <r>
    <x v="213"/>
    <x v="0"/>
    <x v="0"/>
    <m/>
    <x v="0"/>
    <x v="0"/>
    <x v="0"/>
    <m/>
    <m/>
    <x v="201"/>
  </r>
  <r>
    <x v="214"/>
    <x v="0"/>
    <x v="0"/>
    <m/>
    <x v="0"/>
    <x v="0"/>
    <x v="0"/>
    <m/>
    <m/>
    <x v="202"/>
  </r>
  <r>
    <x v="215"/>
    <x v="0"/>
    <x v="0"/>
    <m/>
    <x v="0"/>
    <x v="0"/>
    <x v="0"/>
    <m/>
    <m/>
    <x v="203"/>
  </r>
  <r>
    <x v="216"/>
    <x v="0"/>
    <x v="0"/>
    <m/>
    <x v="0"/>
    <x v="0"/>
    <x v="0"/>
    <m/>
    <m/>
    <x v="204"/>
  </r>
  <r>
    <x v="217"/>
    <x v="0"/>
    <x v="1"/>
    <m/>
    <x v="0"/>
    <x v="3"/>
    <x v="2"/>
    <m/>
    <m/>
    <x v="205"/>
  </r>
  <r>
    <x v="218"/>
    <x v="0"/>
    <x v="0"/>
    <m/>
    <x v="0"/>
    <x v="0"/>
    <x v="0"/>
    <m/>
    <m/>
    <x v="206"/>
  </r>
  <r>
    <x v="219"/>
    <x v="0"/>
    <x v="0"/>
    <m/>
    <x v="0"/>
    <x v="0"/>
    <x v="0"/>
    <m/>
    <m/>
    <x v="207"/>
  </r>
  <r>
    <x v="220"/>
    <x v="1"/>
    <x v="1"/>
    <s v="DEV-037"/>
    <x v="1"/>
    <x v="0"/>
    <x v="0"/>
    <m/>
    <m/>
    <x v="208"/>
  </r>
  <r>
    <x v="221"/>
    <x v="1"/>
    <x v="1"/>
    <s v="DEV-082"/>
    <x v="1"/>
    <x v="0"/>
    <x v="0"/>
    <m/>
    <m/>
    <x v="209"/>
  </r>
  <r>
    <x v="222"/>
    <x v="1"/>
    <x v="1"/>
    <s v="DEV-067"/>
    <x v="1"/>
    <x v="0"/>
    <x v="0"/>
    <m/>
    <m/>
    <x v="210"/>
  </r>
  <r>
    <x v="223"/>
    <x v="1"/>
    <x v="1"/>
    <m/>
    <x v="1"/>
    <x v="0"/>
    <x v="0"/>
    <m/>
    <m/>
    <x v="211"/>
  </r>
  <r>
    <x v="224"/>
    <x v="0"/>
    <x v="0"/>
    <m/>
    <x v="0"/>
    <x v="0"/>
    <x v="0"/>
    <m/>
    <m/>
    <x v="212"/>
  </r>
  <r>
    <x v="225"/>
    <x v="1"/>
    <x v="1"/>
    <s v="DEV-067"/>
    <x v="1"/>
    <x v="0"/>
    <x v="0"/>
    <m/>
    <m/>
    <x v="213"/>
  </r>
  <r>
    <x v="226"/>
    <x v="0"/>
    <x v="0"/>
    <m/>
    <x v="0"/>
    <x v="0"/>
    <x v="0"/>
    <m/>
    <m/>
    <x v="214"/>
  </r>
  <r>
    <x v="227"/>
    <x v="0"/>
    <x v="1"/>
    <s v="DEV-087"/>
    <x v="1"/>
    <x v="0"/>
    <x v="0"/>
    <m/>
    <m/>
    <x v="40"/>
  </r>
  <r>
    <x v="228"/>
    <x v="1"/>
    <x v="1"/>
    <m/>
    <x v="1"/>
    <x v="0"/>
    <x v="0"/>
    <m/>
    <m/>
    <x v="215"/>
  </r>
  <r>
    <x v="229"/>
    <x v="0"/>
    <x v="0"/>
    <m/>
    <x v="0"/>
    <x v="0"/>
    <x v="0"/>
    <m/>
    <m/>
    <x v="216"/>
  </r>
  <r>
    <x v="230"/>
    <x v="0"/>
    <x v="1"/>
    <s v="DEV-063"/>
    <x v="0"/>
    <x v="0"/>
    <x v="4"/>
    <m/>
    <m/>
    <x v="217"/>
  </r>
  <r>
    <x v="231"/>
    <x v="0"/>
    <x v="0"/>
    <m/>
    <x v="0"/>
    <x v="0"/>
    <x v="0"/>
    <m/>
    <m/>
    <x v="218"/>
  </r>
  <r>
    <x v="232"/>
    <x v="0"/>
    <x v="0"/>
    <m/>
    <x v="0"/>
    <x v="0"/>
    <x v="0"/>
    <m/>
    <m/>
    <x v="219"/>
  </r>
  <r>
    <x v="233"/>
    <x v="0"/>
    <x v="0"/>
    <m/>
    <x v="0"/>
    <x v="0"/>
    <x v="0"/>
    <m/>
    <m/>
    <x v="220"/>
  </r>
  <r>
    <x v="234"/>
    <x v="1"/>
    <x v="1"/>
    <m/>
    <x v="1"/>
    <x v="0"/>
    <x v="0"/>
    <m/>
    <m/>
    <x v="221"/>
  </r>
  <r>
    <x v="235"/>
    <x v="0"/>
    <x v="0"/>
    <m/>
    <x v="0"/>
    <x v="0"/>
    <x v="0"/>
    <m/>
    <m/>
    <x v="222"/>
  </r>
  <r>
    <x v="236"/>
    <x v="1"/>
    <x v="1"/>
    <s v="Nein"/>
    <x v="1"/>
    <x v="0"/>
    <x v="0"/>
    <m/>
    <m/>
    <x v="223"/>
  </r>
  <r>
    <x v="237"/>
    <x v="0"/>
    <x v="1"/>
    <s v="DEV-065"/>
    <x v="0"/>
    <x v="1"/>
    <x v="1"/>
    <m/>
    <m/>
    <x v="224"/>
  </r>
  <r>
    <x v="238"/>
    <x v="0"/>
    <x v="0"/>
    <m/>
    <x v="0"/>
    <x v="0"/>
    <x v="0"/>
    <m/>
    <m/>
    <x v="225"/>
  </r>
  <r>
    <x v="238"/>
    <x v="0"/>
    <x v="0"/>
    <s v="DEV-139"/>
    <x v="0"/>
    <x v="0"/>
    <x v="0"/>
    <m/>
    <m/>
    <x v="40"/>
  </r>
  <r>
    <x v="239"/>
    <x v="0"/>
    <x v="0"/>
    <m/>
    <x v="0"/>
    <x v="0"/>
    <x v="0"/>
    <m/>
    <m/>
    <x v="226"/>
  </r>
  <r>
    <x v="240"/>
    <x v="0"/>
    <x v="0"/>
    <m/>
    <x v="0"/>
    <x v="0"/>
    <x v="0"/>
    <m/>
    <m/>
    <x v="227"/>
  </r>
  <r>
    <x v="241"/>
    <x v="1"/>
    <x v="1"/>
    <s v="DEV-072"/>
    <x v="1"/>
    <x v="0"/>
    <x v="0"/>
    <m/>
    <m/>
    <x v="228"/>
  </r>
  <r>
    <x v="242"/>
    <x v="0"/>
    <x v="1"/>
    <s v="DEV-122"/>
    <x v="0"/>
    <x v="1"/>
    <x v="1"/>
    <m/>
    <m/>
    <x v="229"/>
  </r>
  <r>
    <x v="243"/>
    <x v="1"/>
    <x v="1"/>
    <s v="DEV-151"/>
    <x v="1"/>
    <x v="0"/>
    <x v="0"/>
    <m/>
    <m/>
    <x v="230"/>
  </r>
  <r>
    <x v="244"/>
    <x v="0"/>
    <x v="0"/>
    <s v="DEV-092"/>
    <x v="0"/>
    <x v="0"/>
    <x v="0"/>
    <m/>
    <m/>
    <x v="231"/>
  </r>
  <r>
    <x v="245"/>
    <x v="0"/>
    <x v="0"/>
    <m/>
    <x v="0"/>
    <x v="0"/>
    <x v="0"/>
    <m/>
    <m/>
    <x v="232"/>
  </r>
  <r>
    <x v="246"/>
    <x v="1"/>
    <x v="1"/>
    <s v="DEV-087"/>
    <x v="1"/>
    <x v="0"/>
    <x v="0"/>
    <m/>
    <m/>
    <x v="233"/>
  </r>
  <r>
    <x v="247"/>
    <x v="0"/>
    <x v="0"/>
    <m/>
    <x v="0"/>
    <x v="0"/>
    <x v="0"/>
    <m/>
    <m/>
    <x v="234"/>
  </r>
  <r>
    <x v="248"/>
    <x v="0"/>
    <x v="0"/>
    <m/>
    <x v="0"/>
    <x v="0"/>
    <x v="0"/>
    <m/>
    <m/>
    <x v="235"/>
  </r>
  <r>
    <x v="249"/>
    <x v="0"/>
    <x v="0"/>
    <m/>
    <x v="0"/>
    <x v="0"/>
    <x v="0"/>
    <m/>
    <m/>
    <x v="236"/>
  </r>
  <r>
    <x v="250"/>
    <x v="0"/>
    <x v="0"/>
    <m/>
    <x v="0"/>
    <x v="0"/>
    <x v="0"/>
    <m/>
    <m/>
    <x v="236"/>
  </r>
  <r>
    <x v="251"/>
    <x v="0"/>
    <x v="1"/>
    <s v="DEV-069"/>
    <x v="0"/>
    <x v="1"/>
    <x v="1"/>
    <m/>
    <m/>
    <x v="237"/>
  </r>
  <r>
    <x v="252"/>
    <x v="1"/>
    <x v="1"/>
    <s v="DEV-040"/>
    <x v="1"/>
    <x v="0"/>
    <x v="0"/>
    <m/>
    <m/>
    <x v="238"/>
  </r>
  <r>
    <x v="253"/>
    <x v="1"/>
    <x v="1"/>
    <s v="DEV-038"/>
    <x v="1"/>
    <x v="0"/>
    <x v="0"/>
    <m/>
    <m/>
    <x v="238"/>
  </r>
  <r>
    <x v="254"/>
    <x v="1"/>
    <x v="1"/>
    <s v="DEV-038"/>
    <x v="1"/>
    <x v="0"/>
    <x v="0"/>
    <m/>
    <m/>
    <x v="239"/>
  </r>
  <r>
    <x v="255"/>
    <x v="1"/>
    <x v="1"/>
    <s v="DEV-038"/>
    <x v="1"/>
    <x v="0"/>
    <x v="0"/>
    <m/>
    <m/>
    <x v="240"/>
  </r>
  <r>
    <x v="256"/>
    <x v="1"/>
    <x v="1"/>
    <s v="DEV-039"/>
    <x v="1"/>
    <x v="0"/>
    <x v="0"/>
    <m/>
    <m/>
    <x v="241"/>
  </r>
  <r>
    <x v="257"/>
    <x v="1"/>
    <x v="1"/>
    <s v="DEV-038"/>
    <x v="1"/>
    <x v="0"/>
    <x v="0"/>
    <m/>
    <m/>
    <x v="242"/>
  </r>
  <r>
    <x v="258"/>
    <x v="1"/>
    <x v="1"/>
    <s v="DEV-041"/>
    <x v="1"/>
    <x v="0"/>
    <x v="0"/>
    <m/>
    <m/>
    <x v="243"/>
  </r>
  <r>
    <x v="259"/>
    <x v="1"/>
    <x v="1"/>
    <s v="DEV-041"/>
    <x v="1"/>
    <x v="0"/>
    <x v="0"/>
    <m/>
    <m/>
    <x v="244"/>
  </r>
  <r>
    <x v="260"/>
    <x v="1"/>
    <x v="1"/>
    <s v="DEV-041"/>
    <x v="1"/>
    <x v="0"/>
    <x v="0"/>
    <m/>
    <m/>
    <x v="245"/>
  </r>
  <r>
    <x v="261"/>
    <x v="1"/>
    <x v="1"/>
    <s v="DEV-041"/>
    <x v="1"/>
    <x v="0"/>
    <x v="0"/>
    <m/>
    <m/>
    <x v="246"/>
  </r>
  <r>
    <x v="262"/>
    <x v="1"/>
    <x v="1"/>
    <s v="DEV-041"/>
    <x v="1"/>
    <x v="0"/>
    <x v="0"/>
    <m/>
    <m/>
    <x v="247"/>
  </r>
  <r>
    <x v="263"/>
    <x v="1"/>
    <x v="1"/>
    <s v="DEV-041"/>
    <x v="1"/>
    <x v="0"/>
    <x v="0"/>
    <m/>
    <m/>
    <x v="247"/>
  </r>
  <r>
    <x v="264"/>
    <x v="1"/>
    <x v="1"/>
    <s v="DEV-041"/>
    <x v="1"/>
    <x v="0"/>
    <x v="0"/>
    <m/>
    <m/>
    <x v="248"/>
  </r>
  <r>
    <x v="265"/>
    <x v="1"/>
    <x v="1"/>
    <s v="DEV-041"/>
    <x v="1"/>
    <x v="0"/>
    <x v="0"/>
    <m/>
    <m/>
    <x v="248"/>
  </r>
  <r>
    <x v="266"/>
    <x v="0"/>
    <x v="0"/>
    <m/>
    <x v="0"/>
    <x v="0"/>
    <x v="0"/>
    <m/>
    <m/>
    <x v="249"/>
  </r>
  <r>
    <x v="267"/>
    <x v="0"/>
    <x v="0"/>
    <m/>
    <x v="0"/>
    <x v="0"/>
    <x v="0"/>
    <m/>
    <m/>
    <x v="250"/>
  </r>
  <r>
    <x v="268"/>
    <x v="0"/>
    <x v="0"/>
    <m/>
    <x v="0"/>
    <x v="0"/>
    <x v="0"/>
    <m/>
    <m/>
    <x v="251"/>
  </r>
  <r>
    <x v="269"/>
    <x v="0"/>
    <x v="2"/>
    <m/>
    <x v="0"/>
    <x v="1"/>
    <x v="3"/>
    <m/>
    <m/>
    <x v="252"/>
  </r>
  <r>
    <x v="270"/>
    <x v="0"/>
    <x v="2"/>
    <m/>
    <x v="0"/>
    <x v="1"/>
    <x v="3"/>
    <m/>
    <m/>
    <x v="253"/>
  </r>
  <r>
    <x v="271"/>
    <x v="0"/>
    <x v="0"/>
    <m/>
    <x v="0"/>
    <x v="0"/>
    <x v="0"/>
    <m/>
    <m/>
    <x v="254"/>
  </r>
  <r>
    <x v="272"/>
    <x v="0"/>
    <x v="0"/>
    <m/>
    <x v="0"/>
    <x v="0"/>
    <x v="0"/>
    <m/>
    <m/>
    <x v="255"/>
  </r>
  <r>
    <x v="273"/>
    <x v="0"/>
    <x v="0"/>
    <s v="DEV-062"/>
    <x v="0"/>
    <x v="0"/>
    <x v="0"/>
    <m/>
    <m/>
    <x v="256"/>
  </r>
  <r>
    <x v="274"/>
    <x v="0"/>
    <x v="0"/>
    <m/>
    <x v="0"/>
    <x v="0"/>
    <x v="0"/>
    <m/>
    <m/>
    <x v="257"/>
  </r>
  <r>
    <x v="275"/>
    <x v="0"/>
    <x v="1"/>
    <m/>
    <x v="0"/>
    <x v="3"/>
    <x v="2"/>
    <m/>
    <m/>
    <x v="258"/>
  </r>
  <r>
    <x v="276"/>
    <x v="0"/>
    <x v="0"/>
    <m/>
    <x v="0"/>
    <x v="0"/>
    <x v="0"/>
    <m/>
    <m/>
    <x v="259"/>
  </r>
  <r>
    <x v="277"/>
    <x v="1"/>
    <x v="1"/>
    <s v="DEV-149"/>
    <x v="1"/>
    <x v="0"/>
    <x v="0"/>
    <m/>
    <m/>
    <x v="260"/>
  </r>
  <r>
    <x v="278"/>
    <x v="1"/>
    <x v="1"/>
    <s v="DEV-149"/>
    <x v="1"/>
    <x v="0"/>
    <x v="0"/>
    <m/>
    <m/>
    <x v="261"/>
  </r>
  <r>
    <x v="279"/>
    <x v="1"/>
    <x v="1"/>
    <s v="DEV-149"/>
    <x v="1"/>
    <x v="0"/>
    <x v="0"/>
    <s v="x"/>
    <m/>
    <x v="262"/>
  </r>
  <r>
    <x v="280"/>
    <x v="0"/>
    <x v="0"/>
    <m/>
    <x v="0"/>
    <x v="0"/>
    <x v="0"/>
    <m/>
    <m/>
    <x v="263"/>
  </r>
  <r>
    <x v="281"/>
    <x v="0"/>
    <x v="0"/>
    <s v="DEV-135"/>
    <x v="0"/>
    <x v="0"/>
    <x v="0"/>
    <m/>
    <m/>
    <x v="264"/>
  </r>
  <r>
    <x v="282"/>
    <x v="0"/>
    <x v="0"/>
    <s v="DEV-135"/>
    <x v="0"/>
    <x v="0"/>
    <x v="0"/>
    <m/>
    <m/>
    <x v="265"/>
  </r>
  <r>
    <x v="283"/>
    <x v="0"/>
    <x v="0"/>
    <s v="DEV-135"/>
    <x v="0"/>
    <x v="0"/>
    <x v="0"/>
    <m/>
    <m/>
    <x v="266"/>
  </r>
  <r>
    <x v="284"/>
    <x v="0"/>
    <x v="0"/>
    <s v="DEV-135"/>
    <x v="0"/>
    <x v="0"/>
    <x v="0"/>
    <m/>
    <m/>
    <x v="267"/>
  </r>
  <r>
    <x v="285"/>
    <x v="0"/>
    <x v="0"/>
    <s v="DEV-135"/>
    <x v="0"/>
    <x v="0"/>
    <x v="0"/>
    <m/>
    <m/>
    <x v="268"/>
  </r>
  <r>
    <x v="286"/>
    <x v="0"/>
    <x v="0"/>
    <s v="DEV-135"/>
    <x v="0"/>
    <x v="0"/>
    <x v="0"/>
    <m/>
    <m/>
    <x v="269"/>
  </r>
  <r>
    <x v="287"/>
    <x v="0"/>
    <x v="0"/>
    <s v="DEV-135"/>
    <x v="0"/>
    <x v="0"/>
    <x v="0"/>
    <m/>
    <m/>
    <x v="270"/>
  </r>
  <r>
    <x v="288"/>
    <x v="0"/>
    <x v="0"/>
    <s v="DEV-135"/>
    <x v="0"/>
    <x v="0"/>
    <x v="0"/>
    <m/>
    <m/>
    <x v="271"/>
  </r>
  <r>
    <x v="289"/>
    <x v="0"/>
    <x v="0"/>
    <m/>
    <x v="0"/>
    <x v="0"/>
    <x v="0"/>
    <m/>
    <m/>
    <x v="272"/>
  </r>
  <r>
    <x v="290"/>
    <x v="0"/>
    <x v="0"/>
    <m/>
    <x v="0"/>
    <x v="0"/>
    <x v="0"/>
    <m/>
    <m/>
    <x v="273"/>
  </r>
  <r>
    <x v="291"/>
    <x v="0"/>
    <x v="0"/>
    <m/>
    <x v="0"/>
    <x v="0"/>
    <x v="0"/>
    <m/>
    <m/>
    <x v="274"/>
  </r>
  <r>
    <x v="292"/>
    <x v="0"/>
    <x v="1"/>
    <s v="DEV-069"/>
    <x v="0"/>
    <x v="0"/>
    <x v="4"/>
    <m/>
    <m/>
    <x v="275"/>
  </r>
  <r>
    <x v="293"/>
    <x v="1"/>
    <x v="1"/>
    <m/>
    <x v="1"/>
    <x v="0"/>
    <x v="0"/>
    <m/>
    <m/>
    <x v="276"/>
  </r>
  <r>
    <x v="294"/>
    <x v="0"/>
    <x v="1"/>
    <s v="DEV-071"/>
    <x v="1"/>
    <x v="0"/>
    <x v="0"/>
    <m/>
    <m/>
    <x v="277"/>
  </r>
  <r>
    <x v="295"/>
    <x v="0"/>
    <x v="0"/>
    <m/>
    <x v="0"/>
    <x v="0"/>
    <x v="0"/>
    <m/>
    <m/>
    <x v="278"/>
  </r>
  <r>
    <x v="296"/>
    <x v="0"/>
    <x v="0"/>
    <m/>
    <x v="0"/>
    <x v="0"/>
    <x v="0"/>
    <m/>
    <m/>
    <x v="279"/>
  </r>
  <r>
    <x v="297"/>
    <x v="0"/>
    <x v="0"/>
    <m/>
    <x v="0"/>
    <x v="0"/>
    <x v="0"/>
    <m/>
    <m/>
    <x v="280"/>
  </r>
  <r>
    <x v="298"/>
    <x v="0"/>
    <x v="1"/>
    <s v="DEV-034"/>
    <x v="1"/>
    <x v="0"/>
    <x v="0"/>
    <m/>
    <m/>
    <x v="40"/>
  </r>
  <r>
    <x v="299"/>
    <x v="0"/>
    <x v="2"/>
    <m/>
    <x v="0"/>
    <x v="4"/>
    <x v="3"/>
    <m/>
    <s v="M. Demleitner"/>
    <x v="281"/>
  </r>
  <r>
    <x v="300"/>
    <x v="0"/>
    <x v="1"/>
    <s v="DEV-034"/>
    <x v="1"/>
    <x v="0"/>
    <x v="0"/>
    <m/>
    <m/>
    <x v="282"/>
  </r>
  <r>
    <x v="301"/>
    <x v="0"/>
    <x v="0"/>
    <m/>
    <x v="0"/>
    <x v="0"/>
    <x v="0"/>
    <m/>
    <m/>
    <x v="283"/>
  </r>
  <r>
    <x v="302"/>
    <x v="0"/>
    <x v="0"/>
    <m/>
    <x v="0"/>
    <x v="0"/>
    <x v="0"/>
    <m/>
    <m/>
    <x v="284"/>
  </r>
  <r>
    <x v="303"/>
    <x v="0"/>
    <x v="1"/>
    <s v="DEV-034"/>
    <x v="1"/>
    <x v="0"/>
    <x v="0"/>
    <m/>
    <m/>
    <x v="285"/>
  </r>
  <r>
    <x v="304"/>
    <x v="0"/>
    <x v="1"/>
    <s v="DEV-034"/>
    <x v="1"/>
    <x v="0"/>
    <x v="0"/>
    <m/>
    <m/>
    <x v="286"/>
  </r>
  <r>
    <x v="305"/>
    <x v="0"/>
    <x v="1"/>
    <s v="DEV-034"/>
    <x v="1"/>
    <x v="0"/>
    <x v="0"/>
    <m/>
    <m/>
    <x v="40"/>
  </r>
  <r>
    <x v="306"/>
    <x v="0"/>
    <x v="1"/>
    <s v="DEV-034"/>
    <x v="1"/>
    <x v="0"/>
    <x v="0"/>
    <m/>
    <m/>
    <x v="285"/>
  </r>
  <r>
    <x v="307"/>
    <x v="1"/>
    <x v="1"/>
    <s v="DEV-035"/>
    <x v="1"/>
    <x v="0"/>
    <x v="0"/>
    <m/>
    <m/>
    <x v="287"/>
  </r>
  <r>
    <x v="308"/>
    <x v="0"/>
    <x v="0"/>
    <s v="DEV-001"/>
    <x v="0"/>
    <x v="0"/>
    <x v="0"/>
    <m/>
    <m/>
    <x v="288"/>
  </r>
  <r>
    <x v="309"/>
    <x v="0"/>
    <x v="0"/>
    <m/>
    <x v="0"/>
    <x v="0"/>
    <x v="0"/>
    <m/>
    <m/>
    <x v="289"/>
  </r>
  <r>
    <x v="310"/>
    <x v="1"/>
    <x v="1"/>
    <m/>
    <x v="1"/>
    <x v="0"/>
    <x v="0"/>
    <m/>
    <m/>
    <x v="290"/>
  </r>
  <r>
    <x v="311"/>
    <x v="0"/>
    <x v="0"/>
    <m/>
    <x v="0"/>
    <x v="0"/>
    <x v="0"/>
    <m/>
    <m/>
    <x v="291"/>
  </r>
  <r>
    <x v="312"/>
    <x v="0"/>
    <x v="0"/>
    <m/>
    <x v="0"/>
    <x v="0"/>
    <x v="0"/>
    <m/>
    <m/>
    <x v="292"/>
  </r>
  <r>
    <x v="313"/>
    <x v="1"/>
    <x v="1"/>
    <s v="DEV-083"/>
    <x v="1"/>
    <x v="0"/>
    <x v="0"/>
    <m/>
    <m/>
    <x v="293"/>
  </r>
  <r>
    <x v="314"/>
    <x v="0"/>
    <x v="0"/>
    <s v="DEV-012"/>
    <x v="0"/>
    <x v="0"/>
    <x v="0"/>
    <m/>
    <m/>
    <x v="294"/>
  </r>
  <r>
    <x v="315"/>
    <x v="1"/>
    <x v="1"/>
    <s v="DEV-124"/>
    <x v="1"/>
    <x v="0"/>
    <x v="0"/>
    <m/>
    <m/>
    <x v="295"/>
  </r>
  <r>
    <x v="316"/>
    <x v="0"/>
    <x v="1"/>
    <s v="DEV-088"/>
    <x v="0"/>
    <x v="1"/>
    <x v="1"/>
    <m/>
    <m/>
    <x v="296"/>
  </r>
  <r>
    <x v="317"/>
    <x v="0"/>
    <x v="0"/>
    <m/>
    <x v="0"/>
    <x v="0"/>
    <x v="0"/>
    <m/>
    <m/>
    <x v="297"/>
  </r>
  <r>
    <x v="318"/>
    <x v="0"/>
    <x v="0"/>
    <m/>
    <x v="0"/>
    <x v="0"/>
    <x v="0"/>
    <m/>
    <m/>
    <x v="298"/>
  </r>
  <r>
    <x v="319"/>
    <x v="1"/>
    <x v="1"/>
    <m/>
    <x v="1"/>
    <x v="0"/>
    <x v="0"/>
    <m/>
    <m/>
    <x v="299"/>
  </r>
  <r>
    <x v="320"/>
    <x v="0"/>
    <x v="1"/>
    <m/>
    <x v="0"/>
    <x v="0"/>
    <x v="4"/>
    <m/>
    <m/>
    <x v="300"/>
  </r>
  <r>
    <x v="321"/>
    <x v="0"/>
    <x v="0"/>
    <m/>
    <x v="0"/>
    <x v="0"/>
    <x v="0"/>
    <m/>
    <m/>
    <x v="301"/>
  </r>
  <r>
    <x v="322"/>
    <x v="0"/>
    <x v="0"/>
    <m/>
    <x v="0"/>
    <x v="0"/>
    <x v="0"/>
    <m/>
    <m/>
    <x v="302"/>
  </r>
  <r>
    <x v="323"/>
    <x v="0"/>
    <x v="1"/>
    <m/>
    <x v="0"/>
    <x v="3"/>
    <x v="2"/>
    <m/>
    <m/>
    <x v="303"/>
  </r>
  <r>
    <x v="324"/>
    <x v="0"/>
    <x v="1"/>
    <m/>
    <x v="0"/>
    <x v="3"/>
    <x v="2"/>
    <m/>
    <m/>
    <x v="304"/>
  </r>
  <r>
    <x v="325"/>
    <x v="1"/>
    <x v="1"/>
    <s v="DEV-038"/>
    <x v="1"/>
    <x v="0"/>
    <x v="0"/>
    <m/>
    <m/>
    <x v="305"/>
  </r>
  <r>
    <x v="326"/>
    <x v="1"/>
    <x v="1"/>
    <s v="DEV-038"/>
    <x v="1"/>
    <x v="0"/>
    <x v="0"/>
    <m/>
    <m/>
    <x v="306"/>
  </r>
  <r>
    <x v="327"/>
    <x v="0"/>
    <x v="1"/>
    <s v="DEV-038"/>
    <x v="1"/>
    <x v="0"/>
    <x v="0"/>
    <m/>
    <m/>
    <x v="307"/>
  </r>
  <r>
    <x v="328"/>
    <x v="0"/>
    <x v="0"/>
    <m/>
    <x v="0"/>
    <x v="0"/>
    <x v="0"/>
    <m/>
    <m/>
    <x v="308"/>
  </r>
  <r>
    <x v="329"/>
    <x v="0"/>
    <x v="0"/>
    <m/>
    <x v="0"/>
    <x v="0"/>
    <x v="0"/>
    <m/>
    <m/>
    <x v="309"/>
  </r>
  <r>
    <x v="330"/>
    <x v="0"/>
    <x v="0"/>
    <m/>
    <x v="0"/>
    <x v="0"/>
    <x v="0"/>
    <m/>
    <m/>
    <x v="310"/>
  </r>
  <r>
    <x v="331"/>
    <x v="0"/>
    <x v="0"/>
    <m/>
    <x v="0"/>
    <x v="0"/>
    <x v="0"/>
    <m/>
    <m/>
    <x v="311"/>
  </r>
  <r>
    <x v="332"/>
    <x v="0"/>
    <x v="0"/>
    <m/>
    <x v="0"/>
    <x v="0"/>
    <x v="0"/>
    <m/>
    <m/>
    <x v="312"/>
  </r>
  <r>
    <x v="333"/>
    <x v="0"/>
    <x v="0"/>
    <m/>
    <x v="0"/>
    <x v="0"/>
    <x v="0"/>
    <m/>
    <m/>
    <x v="313"/>
  </r>
  <r>
    <x v="334"/>
    <x v="0"/>
    <x v="0"/>
    <m/>
    <x v="0"/>
    <x v="0"/>
    <x v="0"/>
    <m/>
    <m/>
    <x v="313"/>
  </r>
  <r>
    <x v="335"/>
    <x v="0"/>
    <x v="0"/>
    <m/>
    <x v="0"/>
    <x v="0"/>
    <x v="0"/>
    <m/>
    <m/>
    <x v="314"/>
  </r>
  <r>
    <x v="336"/>
    <x v="0"/>
    <x v="0"/>
    <m/>
    <x v="0"/>
    <x v="0"/>
    <x v="0"/>
    <m/>
    <m/>
    <x v="315"/>
  </r>
  <r>
    <x v="337"/>
    <x v="0"/>
    <x v="0"/>
    <m/>
    <x v="0"/>
    <x v="0"/>
    <x v="0"/>
    <m/>
    <m/>
    <x v="316"/>
  </r>
  <r>
    <x v="338"/>
    <x v="0"/>
    <x v="0"/>
    <m/>
    <x v="0"/>
    <x v="0"/>
    <x v="0"/>
    <m/>
    <m/>
    <x v="317"/>
  </r>
  <r>
    <x v="339"/>
    <x v="0"/>
    <x v="0"/>
    <m/>
    <x v="0"/>
    <x v="0"/>
    <x v="0"/>
    <m/>
    <m/>
    <x v="318"/>
  </r>
  <r>
    <x v="340"/>
    <x v="0"/>
    <x v="0"/>
    <m/>
    <x v="0"/>
    <x v="0"/>
    <x v="0"/>
    <m/>
    <m/>
    <x v="319"/>
  </r>
  <r>
    <x v="341"/>
    <x v="0"/>
    <x v="0"/>
    <m/>
    <x v="0"/>
    <x v="0"/>
    <x v="0"/>
    <m/>
    <m/>
    <x v="320"/>
  </r>
  <r>
    <x v="342"/>
    <x v="0"/>
    <x v="0"/>
    <m/>
    <x v="0"/>
    <x v="0"/>
    <x v="0"/>
    <m/>
    <m/>
    <x v="321"/>
  </r>
  <r>
    <x v="343"/>
    <x v="0"/>
    <x v="0"/>
    <m/>
    <x v="0"/>
    <x v="0"/>
    <x v="0"/>
    <m/>
    <m/>
    <x v="322"/>
  </r>
  <r>
    <x v="344"/>
    <x v="0"/>
    <x v="2"/>
    <m/>
    <x v="0"/>
    <x v="4"/>
    <x v="3"/>
    <m/>
    <s v="V. Niemann"/>
    <x v="323"/>
  </r>
  <r>
    <x v="345"/>
    <x v="1"/>
    <x v="1"/>
    <s v="DEV-032"/>
    <x v="1"/>
    <x v="0"/>
    <x v="0"/>
    <m/>
    <m/>
    <x v="324"/>
  </r>
  <r>
    <x v="346"/>
    <x v="0"/>
    <x v="0"/>
    <m/>
    <x v="0"/>
    <x v="0"/>
    <x v="0"/>
    <m/>
    <m/>
    <x v="325"/>
  </r>
  <r>
    <x v="347"/>
    <x v="0"/>
    <x v="0"/>
    <m/>
    <x v="0"/>
    <x v="0"/>
    <x v="0"/>
    <m/>
    <m/>
    <x v="326"/>
  </r>
  <r>
    <x v="348"/>
    <x v="1"/>
    <x v="1"/>
    <s v="DEV-087"/>
    <x v="1"/>
    <x v="0"/>
    <x v="0"/>
    <m/>
    <m/>
    <x v="327"/>
  </r>
  <r>
    <x v="349"/>
    <x v="0"/>
    <x v="0"/>
    <m/>
    <x v="0"/>
    <x v="0"/>
    <x v="0"/>
    <m/>
    <m/>
    <x v="328"/>
  </r>
  <r>
    <x v="350"/>
    <x v="0"/>
    <x v="0"/>
    <m/>
    <x v="0"/>
    <x v="0"/>
    <x v="0"/>
    <m/>
    <m/>
    <x v="329"/>
  </r>
  <r>
    <x v="351"/>
    <x v="0"/>
    <x v="0"/>
    <m/>
    <x v="0"/>
    <x v="0"/>
    <x v="0"/>
    <m/>
    <m/>
    <x v="330"/>
  </r>
  <r>
    <x v="352"/>
    <x v="0"/>
    <x v="0"/>
    <s v="DEV-075"/>
    <x v="0"/>
    <x v="0"/>
    <x v="0"/>
    <m/>
    <m/>
    <x v="331"/>
  </r>
  <r>
    <x v="353"/>
    <x v="0"/>
    <x v="0"/>
    <m/>
    <x v="0"/>
    <x v="0"/>
    <x v="0"/>
    <m/>
    <m/>
    <x v="332"/>
  </r>
  <r>
    <x v="354"/>
    <x v="0"/>
    <x v="0"/>
    <m/>
    <x v="0"/>
    <x v="0"/>
    <x v="0"/>
    <m/>
    <m/>
    <x v="333"/>
  </r>
  <r>
    <x v="355"/>
    <x v="0"/>
    <x v="1"/>
    <s v="DEV-125"/>
    <x v="0"/>
    <x v="3"/>
    <x v="2"/>
    <m/>
    <m/>
    <x v="334"/>
  </r>
  <r>
    <x v="356"/>
    <x v="0"/>
    <x v="0"/>
    <m/>
    <x v="0"/>
    <x v="0"/>
    <x v="0"/>
    <m/>
    <m/>
    <x v="335"/>
  </r>
  <r>
    <x v="357"/>
    <x v="0"/>
    <x v="0"/>
    <m/>
    <x v="0"/>
    <x v="0"/>
    <x v="0"/>
    <m/>
    <m/>
    <x v="336"/>
  </r>
  <r>
    <x v="358"/>
    <x v="0"/>
    <x v="0"/>
    <m/>
    <x v="0"/>
    <x v="0"/>
    <x v="0"/>
    <m/>
    <m/>
    <x v="337"/>
  </r>
  <r>
    <x v="359"/>
    <x v="1"/>
    <x v="1"/>
    <s v="DEV-076"/>
    <x v="1"/>
    <x v="0"/>
    <x v="0"/>
    <m/>
    <m/>
    <x v="338"/>
  </r>
  <r>
    <x v="360"/>
    <x v="1"/>
    <x v="1"/>
    <m/>
    <x v="1"/>
    <x v="0"/>
    <x v="0"/>
    <m/>
    <m/>
    <x v="339"/>
  </r>
  <r>
    <x v="361"/>
    <x v="0"/>
    <x v="0"/>
    <m/>
    <x v="0"/>
    <x v="0"/>
    <x v="0"/>
    <m/>
    <m/>
    <x v="339"/>
  </r>
  <r>
    <x v="362"/>
    <x v="0"/>
    <x v="0"/>
    <s v="DEV-136"/>
    <x v="0"/>
    <x v="0"/>
    <x v="0"/>
    <m/>
    <m/>
    <x v="340"/>
  </r>
  <r>
    <x v="363"/>
    <x v="1"/>
    <x v="1"/>
    <s v="DEV-126"/>
    <x v="1"/>
    <x v="0"/>
    <x v="0"/>
    <m/>
    <m/>
    <x v="341"/>
  </r>
  <r>
    <x v="364"/>
    <x v="0"/>
    <x v="0"/>
    <m/>
    <x v="0"/>
    <x v="0"/>
    <x v="0"/>
    <m/>
    <m/>
    <x v="342"/>
  </r>
  <r>
    <x v="365"/>
    <x v="1"/>
    <x v="1"/>
    <m/>
    <x v="1"/>
    <x v="0"/>
    <x v="0"/>
    <m/>
    <m/>
    <x v="343"/>
  </r>
  <r>
    <x v="366"/>
    <x v="1"/>
    <x v="1"/>
    <m/>
    <x v="1"/>
    <x v="0"/>
    <x v="0"/>
    <s v="x"/>
    <m/>
    <x v="40"/>
  </r>
  <r>
    <x v="367"/>
    <x v="0"/>
    <x v="1"/>
    <s v="DEV-127"/>
    <x v="0"/>
    <x v="3"/>
    <x v="2"/>
    <m/>
    <m/>
    <x v="344"/>
  </r>
  <r>
    <x v="368"/>
    <x v="0"/>
    <x v="1"/>
    <s v="DEV-127"/>
    <x v="0"/>
    <x v="3"/>
    <x v="2"/>
    <m/>
    <m/>
    <x v="345"/>
  </r>
  <r>
    <x v="369"/>
    <x v="0"/>
    <x v="0"/>
    <m/>
    <x v="0"/>
    <x v="0"/>
    <x v="0"/>
    <m/>
    <m/>
    <x v="346"/>
  </r>
  <r>
    <x v="370"/>
    <x v="1"/>
    <x v="1"/>
    <s v="DEV-128"/>
    <x v="1"/>
    <x v="0"/>
    <x v="0"/>
    <m/>
    <m/>
    <x v="347"/>
  </r>
  <r>
    <x v="371"/>
    <x v="1"/>
    <x v="1"/>
    <s v="DEV-128"/>
    <x v="1"/>
    <x v="0"/>
    <x v="0"/>
    <m/>
    <m/>
    <x v="348"/>
  </r>
  <r>
    <x v="372"/>
    <x v="1"/>
    <x v="1"/>
    <m/>
    <x v="1"/>
    <x v="0"/>
    <x v="0"/>
    <m/>
    <m/>
    <x v="349"/>
  </r>
  <r>
    <x v="373"/>
    <x v="0"/>
    <x v="1"/>
    <s v="DEV-037"/>
    <x v="1"/>
    <x v="0"/>
    <x v="0"/>
    <m/>
    <m/>
    <x v="350"/>
  </r>
  <r>
    <x v="374"/>
    <x v="1"/>
    <x v="1"/>
    <s v="DEV-147"/>
    <x v="1"/>
    <x v="0"/>
    <x v="0"/>
    <m/>
    <m/>
    <x v="351"/>
  </r>
  <r>
    <x v="375"/>
    <x v="1"/>
    <x v="1"/>
    <s v="DEV-147"/>
    <x v="1"/>
    <x v="0"/>
    <x v="0"/>
    <m/>
    <m/>
    <x v="352"/>
  </r>
  <r>
    <x v="376"/>
    <x v="1"/>
    <x v="1"/>
    <s v="DEV-147"/>
    <x v="1"/>
    <x v="0"/>
    <x v="0"/>
    <m/>
    <m/>
    <x v="353"/>
  </r>
  <r>
    <x v="377"/>
    <x v="1"/>
    <x v="1"/>
    <s v="DEV-147"/>
    <x v="1"/>
    <x v="0"/>
    <x v="0"/>
    <s v="x"/>
    <m/>
    <x v="353"/>
  </r>
  <r>
    <x v="378"/>
    <x v="1"/>
    <x v="1"/>
    <s v="DEV-147"/>
    <x v="1"/>
    <x v="0"/>
    <x v="0"/>
    <m/>
    <m/>
    <x v="354"/>
  </r>
  <r>
    <x v="379"/>
    <x v="1"/>
    <x v="1"/>
    <s v="DEV-147"/>
    <x v="1"/>
    <x v="0"/>
    <x v="0"/>
    <m/>
    <m/>
    <x v="355"/>
  </r>
  <r>
    <x v="380"/>
    <x v="1"/>
    <x v="1"/>
    <s v="DEV-147"/>
    <x v="1"/>
    <x v="0"/>
    <x v="0"/>
    <m/>
    <m/>
    <x v="356"/>
  </r>
  <r>
    <x v="381"/>
    <x v="1"/>
    <x v="1"/>
    <s v="DEV-147"/>
    <x v="1"/>
    <x v="0"/>
    <x v="0"/>
    <m/>
    <m/>
    <x v="357"/>
  </r>
  <r>
    <x v="382"/>
    <x v="1"/>
    <x v="1"/>
    <s v="DEV-147"/>
    <x v="1"/>
    <x v="0"/>
    <x v="0"/>
    <m/>
    <m/>
    <x v="358"/>
  </r>
  <r>
    <x v="383"/>
    <x v="1"/>
    <x v="1"/>
    <s v="DEV-147"/>
    <x v="1"/>
    <x v="0"/>
    <x v="0"/>
    <m/>
    <m/>
    <x v="359"/>
  </r>
  <r>
    <x v="384"/>
    <x v="1"/>
    <x v="1"/>
    <s v="DEV-147"/>
    <x v="1"/>
    <x v="0"/>
    <x v="0"/>
    <m/>
    <m/>
    <x v="360"/>
  </r>
  <r>
    <x v="385"/>
    <x v="1"/>
    <x v="1"/>
    <s v="DEV-147"/>
    <x v="1"/>
    <x v="0"/>
    <x v="0"/>
    <m/>
    <m/>
    <x v="361"/>
  </r>
  <r>
    <x v="386"/>
    <x v="1"/>
    <x v="1"/>
    <s v="DEV-147"/>
    <x v="1"/>
    <x v="0"/>
    <x v="0"/>
    <m/>
    <m/>
    <x v="362"/>
  </r>
  <r>
    <x v="387"/>
    <x v="0"/>
    <x v="0"/>
    <s v="DEV-001"/>
    <x v="0"/>
    <x v="0"/>
    <x v="0"/>
    <m/>
    <m/>
    <x v="363"/>
  </r>
  <r>
    <x v="388"/>
    <x v="0"/>
    <x v="1"/>
    <s v="DEV-063"/>
    <x v="0"/>
    <x v="0"/>
    <x v="4"/>
    <m/>
    <m/>
    <x v="364"/>
  </r>
  <r>
    <x v="389"/>
    <x v="0"/>
    <x v="0"/>
    <s v="DEV-063"/>
    <x v="0"/>
    <x v="0"/>
    <x v="0"/>
    <m/>
    <m/>
    <x v="365"/>
  </r>
  <r>
    <x v="390"/>
    <x v="1"/>
    <x v="1"/>
    <m/>
    <x v="1"/>
    <x v="0"/>
    <x v="0"/>
    <m/>
    <m/>
    <x v="366"/>
  </r>
  <r>
    <x v="391"/>
    <x v="0"/>
    <x v="0"/>
    <m/>
    <x v="0"/>
    <x v="0"/>
    <x v="0"/>
    <m/>
    <m/>
    <x v="367"/>
  </r>
  <r>
    <x v="392"/>
    <x v="0"/>
    <x v="0"/>
    <m/>
    <x v="0"/>
    <x v="0"/>
    <x v="0"/>
    <m/>
    <m/>
    <x v="367"/>
  </r>
  <r>
    <x v="393"/>
    <x v="1"/>
    <x v="1"/>
    <m/>
    <x v="1"/>
    <x v="0"/>
    <x v="0"/>
    <m/>
    <m/>
    <x v="368"/>
  </r>
  <r>
    <x v="394"/>
    <x v="0"/>
    <x v="0"/>
    <m/>
    <x v="0"/>
    <x v="0"/>
    <x v="0"/>
    <m/>
    <m/>
    <x v="369"/>
  </r>
  <r>
    <x v="395"/>
    <x v="0"/>
    <x v="1"/>
    <s v="DEV-129"/>
    <x v="0"/>
    <x v="1"/>
    <x v="1"/>
    <m/>
    <m/>
    <x v="370"/>
  </r>
  <r>
    <x v="396"/>
    <x v="0"/>
    <x v="0"/>
    <m/>
    <x v="0"/>
    <x v="0"/>
    <x v="0"/>
    <m/>
    <m/>
    <x v="371"/>
  </r>
  <r>
    <x v="397"/>
    <x v="1"/>
    <x v="1"/>
    <s v="DEV-041"/>
    <x v="1"/>
    <x v="0"/>
    <x v="0"/>
    <m/>
    <m/>
    <x v="372"/>
  </r>
  <r>
    <x v="398"/>
    <x v="0"/>
    <x v="0"/>
    <m/>
    <x v="0"/>
    <x v="0"/>
    <x v="0"/>
    <m/>
    <m/>
    <x v="373"/>
  </r>
  <r>
    <x v="399"/>
    <x v="0"/>
    <x v="0"/>
    <m/>
    <x v="0"/>
    <x v="0"/>
    <x v="0"/>
    <m/>
    <m/>
    <x v="374"/>
  </r>
  <r>
    <x v="400"/>
    <x v="0"/>
    <x v="1"/>
    <m/>
    <x v="0"/>
    <x v="1"/>
    <x v="1"/>
    <m/>
    <m/>
    <x v="375"/>
  </r>
  <r>
    <x v="401"/>
    <x v="0"/>
    <x v="1"/>
    <s v="DEV-130"/>
    <x v="0"/>
    <x v="0"/>
    <x v="4"/>
    <m/>
    <m/>
    <x v="376"/>
  </r>
  <r>
    <x v="402"/>
    <x v="0"/>
    <x v="0"/>
    <m/>
    <x v="0"/>
    <x v="0"/>
    <x v="0"/>
    <m/>
    <m/>
    <x v="377"/>
  </r>
  <r>
    <x v="403"/>
    <x v="0"/>
    <x v="0"/>
    <m/>
    <x v="0"/>
    <x v="0"/>
    <x v="0"/>
    <m/>
    <m/>
    <x v="378"/>
  </r>
  <r>
    <x v="404"/>
    <x v="0"/>
    <x v="0"/>
    <m/>
    <x v="0"/>
    <x v="0"/>
    <x v="0"/>
    <m/>
    <m/>
    <x v="379"/>
  </r>
  <r>
    <x v="405"/>
    <x v="0"/>
    <x v="0"/>
    <m/>
    <x v="0"/>
    <x v="0"/>
    <x v="0"/>
    <m/>
    <m/>
    <x v="380"/>
  </r>
  <r>
    <x v="406"/>
    <x v="0"/>
    <x v="2"/>
    <s v="DEV-131"/>
    <x v="0"/>
    <x v="4"/>
    <x v="3"/>
    <m/>
    <s v="M. Lex"/>
    <x v="381"/>
  </r>
  <r>
    <x v="407"/>
    <x v="0"/>
    <x v="0"/>
    <s v="DEV-094"/>
    <x v="0"/>
    <x v="0"/>
    <x v="0"/>
    <m/>
    <m/>
    <x v="382"/>
  </r>
  <r>
    <x v="408"/>
    <x v="0"/>
    <x v="0"/>
    <s v="DEV-094"/>
    <x v="0"/>
    <x v="0"/>
    <x v="0"/>
    <m/>
    <m/>
    <x v="383"/>
  </r>
  <r>
    <x v="409"/>
    <x v="0"/>
    <x v="0"/>
    <s v="DEV-094"/>
    <x v="0"/>
    <x v="0"/>
    <x v="0"/>
    <m/>
    <m/>
    <x v="384"/>
  </r>
  <r>
    <x v="410"/>
    <x v="0"/>
    <x v="0"/>
    <s v="DEV-094"/>
    <x v="0"/>
    <x v="0"/>
    <x v="0"/>
    <m/>
    <m/>
    <x v="385"/>
  </r>
  <r>
    <x v="411"/>
    <x v="0"/>
    <x v="0"/>
    <s v="DEV-094"/>
    <x v="0"/>
    <x v="0"/>
    <x v="0"/>
    <m/>
    <m/>
    <x v="386"/>
  </r>
  <r>
    <x v="412"/>
    <x v="0"/>
    <x v="0"/>
    <s v="DEV-094"/>
    <x v="0"/>
    <x v="0"/>
    <x v="0"/>
    <m/>
    <m/>
    <x v="387"/>
  </r>
  <r>
    <x v="413"/>
    <x v="0"/>
    <x v="2"/>
    <m/>
    <x v="0"/>
    <x v="4"/>
    <x v="3"/>
    <m/>
    <s v="M. Hoymayer"/>
    <x v="388"/>
  </r>
  <r>
    <x v="414"/>
    <x v="0"/>
    <x v="0"/>
    <m/>
    <x v="0"/>
    <x v="0"/>
    <x v="0"/>
    <m/>
    <m/>
    <x v="389"/>
  </r>
  <r>
    <x v="415"/>
    <x v="0"/>
    <x v="0"/>
    <m/>
    <x v="0"/>
    <x v="0"/>
    <x v="0"/>
    <m/>
    <m/>
    <x v="390"/>
  </r>
  <r>
    <x v="416"/>
    <x v="0"/>
    <x v="0"/>
    <m/>
    <x v="0"/>
    <x v="0"/>
    <x v="0"/>
    <m/>
    <m/>
    <x v="391"/>
  </r>
  <r>
    <x v="417"/>
    <x v="0"/>
    <x v="0"/>
    <m/>
    <x v="0"/>
    <x v="0"/>
    <x v="0"/>
    <m/>
    <m/>
    <x v="392"/>
  </r>
  <r>
    <x v="418"/>
    <x v="0"/>
    <x v="0"/>
    <m/>
    <x v="0"/>
    <x v="0"/>
    <x v="0"/>
    <m/>
    <m/>
    <x v="393"/>
  </r>
  <r>
    <x v="419"/>
    <x v="0"/>
    <x v="2"/>
    <s v="DEV-074"/>
    <x v="0"/>
    <x v="4"/>
    <x v="3"/>
    <m/>
    <s v="C. Cleff"/>
    <x v="194"/>
  </r>
  <r>
    <x v="420"/>
    <x v="0"/>
    <x v="0"/>
    <m/>
    <x v="0"/>
    <x v="0"/>
    <x v="0"/>
    <m/>
    <m/>
    <x v="394"/>
  </r>
  <r>
    <x v="421"/>
    <x v="0"/>
    <x v="0"/>
    <m/>
    <x v="0"/>
    <x v="0"/>
    <x v="0"/>
    <m/>
    <m/>
    <x v="395"/>
  </r>
  <r>
    <x v="422"/>
    <x v="0"/>
    <x v="0"/>
    <m/>
    <x v="0"/>
    <x v="0"/>
    <x v="0"/>
    <m/>
    <m/>
    <x v="396"/>
  </r>
  <r>
    <x v="423"/>
    <x v="0"/>
    <x v="0"/>
    <m/>
    <x v="0"/>
    <x v="0"/>
    <x v="0"/>
    <m/>
    <m/>
    <x v="397"/>
  </r>
  <r>
    <x v="424"/>
    <x v="0"/>
    <x v="0"/>
    <m/>
    <x v="0"/>
    <x v="0"/>
    <x v="0"/>
    <m/>
    <m/>
    <x v="398"/>
  </r>
  <r>
    <x v="425"/>
    <x v="0"/>
    <x v="0"/>
    <m/>
    <x v="0"/>
    <x v="0"/>
    <x v="0"/>
    <m/>
    <m/>
    <x v="396"/>
  </r>
  <r>
    <x v="426"/>
    <x v="0"/>
    <x v="0"/>
    <m/>
    <x v="0"/>
    <x v="0"/>
    <x v="0"/>
    <m/>
    <m/>
    <x v="399"/>
  </r>
  <r>
    <x v="427"/>
    <x v="1"/>
    <x v="1"/>
    <s v="DEV-086"/>
    <x v="1"/>
    <x v="0"/>
    <x v="0"/>
    <m/>
    <m/>
    <x v="400"/>
  </r>
  <r>
    <x v="428"/>
    <x v="1"/>
    <x v="1"/>
    <s v="DEV-086"/>
    <x v="1"/>
    <x v="0"/>
    <x v="0"/>
    <m/>
    <m/>
    <x v="401"/>
  </r>
  <r>
    <x v="429"/>
    <x v="1"/>
    <x v="1"/>
    <s v="DEV-086"/>
    <x v="1"/>
    <x v="0"/>
    <x v="0"/>
    <m/>
    <m/>
    <x v="402"/>
  </r>
  <r>
    <x v="430"/>
    <x v="1"/>
    <x v="1"/>
    <s v="DEV-086"/>
    <x v="1"/>
    <x v="0"/>
    <x v="0"/>
    <m/>
    <m/>
    <x v="403"/>
  </r>
  <r>
    <x v="431"/>
    <x v="1"/>
    <x v="1"/>
    <s v="DEV-086"/>
    <x v="1"/>
    <x v="0"/>
    <x v="0"/>
    <m/>
    <m/>
    <x v="404"/>
  </r>
  <r>
    <x v="432"/>
    <x v="1"/>
    <x v="1"/>
    <s v="DEV-086"/>
    <x v="1"/>
    <x v="0"/>
    <x v="0"/>
    <m/>
    <m/>
    <x v="405"/>
  </r>
  <r>
    <x v="433"/>
    <x v="1"/>
    <x v="1"/>
    <s v="DEV-086"/>
    <x v="1"/>
    <x v="0"/>
    <x v="0"/>
    <m/>
    <m/>
    <x v="406"/>
  </r>
  <r>
    <x v="434"/>
    <x v="0"/>
    <x v="1"/>
    <s v="DEV-132"/>
    <x v="1"/>
    <x v="0"/>
    <x v="0"/>
    <m/>
    <m/>
    <x v="407"/>
  </r>
  <r>
    <x v="435"/>
    <x v="1"/>
    <x v="1"/>
    <s v="DEV-086"/>
    <x v="1"/>
    <x v="0"/>
    <x v="0"/>
    <m/>
    <m/>
    <x v="408"/>
  </r>
  <r>
    <x v="436"/>
    <x v="0"/>
    <x v="0"/>
    <m/>
    <x v="0"/>
    <x v="0"/>
    <x v="0"/>
    <m/>
    <m/>
    <x v="409"/>
  </r>
  <r>
    <x v="437"/>
    <x v="0"/>
    <x v="0"/>
    <m/>
    <x v="0"/>
    <x v="0"/>
    <x v="0"/>
    <m/>
    <m/>
    <x v="410"/>
  </r>
  <r>
    <x v="438"/>
    <x v="0"/>
    <x v="0"/>
    <m/>
    <x v="0"/>
    <x v="0"/>
    <x v="0"/>
    <m/>
    <m/>
    <x v="411"/>
  </r>
  <r>
    <x v="439"/>
    <x v="0"/>
    <x v="0"/>
    <m/>
    <x v="0"/>
    <x v="0"/>
    <x v="0"/>
    <m/>
    <m/>
    <x v="412"/>
  </r>
  <r>
    <x v="440"/>
    <x v="0"/>
    <x v="0"/>
    <m/>
    <x v="0"/>
    <x v="0"/>
    <x v="0"/>
    <m/>
    <m/>
    <x v="40"/>
  </r>
  <r>
    <x v="441"/>
    <x v="0"/>
    <x v="0"/>
    <m/>
    <x v="0"/>
    <x v="0"/>
    <x v="0"/>
    <m/>
    <m/>
    <x v="413"/>
  </r>
  <r>
    <x v="442"/>
    <x v="0"/>
    <x v="0"/>
    <m/>
    <x v="0"/>
    <x v="0"/>
    <x v="0"/>
    <m/>
    <m/>
    <x v="414"/>
  </r>
  <r>
    <x v="443"/>
    <x v="0"/>
    <x v="0"/>
    <m/>
    <x v="0"/>
    <x v="0"/>
    <x v="0"/>
    <m/>
    <m/>
    <x v="415"/>
  </r>
  <r>
    <x v="444"/>
    <x v="0"/>
    <x v="0"/>
    <s v="DEV-152"/>
    <x v="0"/>
    <x v="0"/>
    <x v="0"/>
    <m/>
    <m/>
    <x v="416"/>
  </r>
  <r>
    <x v="445"/>
    <x v="0"/>
    <x v="0"/>
    <m/>
    <x v="0"/>
    <x v="0"/>
    <x v="0"/>
    <m/>
    <m/>
    <x v="417"/>
  </r>
  <r>
    <x v="446"/>
    <x v="0"/>
    <x v="0"/>
    <m/>
    <x v="0"/>
    <x v="0"/>
    <x v="0"/>
    <m/>
    <m/>
    <x v="418"/>
  </r>
  <r>
    <x v="447"/>
    <x v="0"/>
    <x v="0"/>
    <m/>
    <x v="0"/>
    <x v="0"/>
    <x v="0"/>
    <m/>
    <m/>
    <x v="419"/>
  </r>
  <r>
    <x v="448"/>
    <x v="0"/>
    <x v="0"/>
    <m/>
    <x v="0"/>
    <x v="0"/>
    <x v="0"/>
    <m/>
    <m/>
    <x v="420"/>
  </r>
  <r>
    <x v="449"/>
    <x v="0"/>
    <x v="0"/>
    <m/>
    <x v="0"/>
    <x v="0"/>
    <x v="0"/>
    <m/>
    <m/>
    <x v="421"/>
  </r>
  <r>
    <x v="450"/>
    <x v="0"/>
    <x v="1"/>
    <s v="DEV-152"/>
    <x v="1"/>
    <x v="0"/>
    <x v="0"/>
    <m/>
    <m/>
    <x v="422"/>
  </r>
  <r>
    <x v="451"/>
    <x v="0"/>
    <x v="2"/>
    <m/>
    <x v="0"/>
    <x v="4"/>
    <x v="3"/>
    <m/>
    <s v="V. Niemann"/>
    <x v="423"/>
  </r>
  <r>
    <x v="452"/>
    <x v="0"/>
    <x v="0"/>
    <m/>
    <x v="0"/>
    <x v="0"/>
    <x v="0"/>
    <m/>
    <m/>
    <x v="424"/>
  </r>
  <r>
    <x v="453"/>
    <x v="0"/>
    <x v="0"/>
    <m/>
    <x v="0"/>
    <x v="0"/>
    <x v="0"/>
    <m/>
    <m/>
    <x v="425"/>
  </r>
  <r>
    <x v="454"/>
    <x v="0"/>
    <x v="0"/>
    <m/>
    <x v="0"/>
    <x v="0"/>
    <x v="0"/>
    <m/>
    <m/>
    <x v="426"/>
  </r>
  <r>
    <x v="455"/>
    <x v="0"/>
    <x v="2"/>
    <m/>
    <x v="0"/>
    <x v="4"/>
    <x v="3"/>
    <m/>
    <s v="V. Niemann"/>
    <x v="427"/>
  </r>
  <r>
    <x v="456"/>
    <x v="0"/>
    <x v="0"/>
    <m/>
    <x v="0"/>
    <x v="0"/>
    <x v="0"/>
    <m/>
    <m/>
    <x v="428"/>
  </r>
  <r>
    <x v="457"/>
    <x v="0"/>
    <x v="2"/>
    <m/>
    <x v="0"/>
    <x v="4"/>
    <x v="3"/>
    <m/>
    <s v="V. Niemann"/>
    <x v="429"/>
  </r>
  <r>
    <x v="458"/>
    <x v="0"/>
    <x v="0"/>
    <m/>
    <x v="0"/>
    <x v="0"/>
    <x v="0"/>
    <m/>
    <m/>
    <x v="430"/>
  </r>
  <r>
    <x v="459"/>
    <x v="0"/>
    <x v="0"/>
    <m/>
    <x v="0"/>
    <x v="0"/>
    <x v="0"/>
    <m/>
    <m/>
    <x v="431"/>
  </r>
  <r>
    <x v="460"/>
    <x v="1"/>
    <x v="1"/>
    <m/>
    <x v="1"/>
    <x v="0"/>
    <x v="0"/>
    <m/>
    <m/>
    <x v="432"/>
  </r>
  <r>
    <x v="461"/>
    <x v="0"/>
    <x v="2"/>
    <m/>
    <x v="0"/>
    <x v="4"/>
    <x v="3"/>
    <m/>
    <s v="V. Niemann"/>
    <x v="433"/>
  </r>
  <r>
    <x v="462"/>
    <x v="1"/>
    <x v="1"/>
    <s v="DEV-010"/>
    <x v="1"/>
    <x v="0"/>
    <x v="0"/>
    <m/>
    <m/>
    <x v="434"/>
  </r>
  <r>
    <x v="463"/>
    <x v="1"/>
    <x v="1"/>
    <m/>
    <x v="1"/>
    <x v="0"/>
    <x v="0"/>
    <m/>
    <m/>
    <x v="435"/>
  </r>
  <r>
    <x v="464"/>
    <x v="1"/>
    <x v="1"/>
    <s v="DEV-070"/>
    <x v="1"/>
    <x v="0"/>
    <x v="0"/>
    <m/>
    <m/>
    <x v="436"/>
  </r>
  <r>
    <x v="465"/>
    <x v="1"/>
    <x v="1"/>
    <s v="DEV-009"/>
    <x v="1"/>
    <x v="0"/>
    <x v="0"/>
    <m/>
    <m/>
    <x v="437"/>
  </r>
  <r>
    <x v="466"/>
    <x v="1"/>
    <x v="1"/>
    <s v="DEV-009"/>
    <x v="1"/>
    <x v="0"/>
    <x v="0"/>
    <m/>
    <m/>
    <x v="438"/>
  </r>
  <r>
    <x v="467"/>
    <x v="1"/>
    <x v="1"/>
    <s v="DEV-009"/>
    <x v="1"/>
    <x v="0"/>
    <x v="0"/>
    <m/>
    <m/>
    <x v="439"/>
  </r>
  <r>
    <x v="468"/>
    <x v="1"/>
    <x v="1"/>
    <s v="DEV-009"/>
    <x v="1"/>
    <x v="0"/>
    <x v="0"/>
    <m/>
    <m/>
    <x v="440"/>
  </r>
  <r>
    <x v="469"/>
    <x v="1"/>
    <x v="1"/>
    <s v="DEV-009"/>
    <x v="1"/>
    <x v="0"/>
    <x v="0"/>
    <m/>
    <m/>
    <x v="441"/>
  </r>
  <r>
    <x v="470"/>
    <x v="1"/>
    <x v="1"/>
    <s v="DEV-009"/>
    <x v="1"/>
    <x v="0"/>
    <x v="0"/>
    <m/>
    <m/>
    <x v="442"/>
  </r>
  <r>
    <x v="471"/>
    <x v="1"/>
    <x v="1"/>
    <m/>
    <x v="1"/>
    <x v="0"/>
    <x v="0"/>
    <m/>
    <m/>
    <x v="443"/>
  </r>
  <r>
    <x v="472"/>
    <x v="1"/>
    <x v="1"/>
    <s v="DEV-009"/>
    <x v="1"/>
    <x v="0"/>
    <x v="0"/>
    <m/>
    <m/>
    <x v="444"/>
  </r>
  <r>
    <x v="473"/>
    <x v="1"/>
    <x v="1"/>
    <s v="DEV-009"/>
    <x v="1"/>
    <x v="0"/>
    <x v="0"/>
    <m/>
    <m/>
    <x v="445"/>
  </r>
  <r>
    <x v="474"/>
    <x v="1"/>
    <x v="1"/>
    <s v="DEV-009"/>
    <x v="1"/>
    <x v="0"/>
    <x v="0"/>
    <m/>
    <m/>
    <x v="446"/>
  </r>
  <r>
    <x v="475"/>
    <x v="1"/>
    <x v="1"/>
    <s v="DEV-009"/>
    <x v="1"/>
    <x v="0"/>
    <x v="0"/>
    <m/>
    <m/>
    <x v="447"/>
  </r>
  <r>
    <x v="476"/>
    <x v="1"/>
    <x v="1"/>
    <m/>
    <x v="1"/>
    <x v="0"/>
    <x v="0"/>
    <m/>
    <m/>
    <x v="448"/>
  </r>
  <r>
    <x v="477"/>
    <x v="1"/>
    <x v="1"/>
    <s v="DEV-053"/>
    <x v="1"/>
    <x v="0"/>
    <x v="0"/>
    <m/>
    <m/>
    <x v="449"/>
  </r>
  <r>
    <x v="478"/>
    <x v="1"/>
    <x v="1"/>
    <s v="DEV-053"/>
    <x v="1"/>
    <x v="0"/>
    <x v="0"/>
    <m/>
    <m/>
    <x v="450"/>
  </r>
  <r>
    <x v="479"/>
    <x v="1"/>
    <x v="1"/>
    <s v="DEV-070"/>
    <x v="1"/>
    <x v="0"/>
    <x v="0"/>
    <m/>
    <m/>
    <x v="451"/>
  </r>
  <r>
    <x v="480"/>
    <x v="1"/>
    <x v="1"/>
    <s v="DEV-006"/>
    <x v="1"/>
    <x v="0"/>
    <x v="0"/>
    <m/>
    <m/>
    <x v="452"/>
  </r>
  <r>
    <x v="481"/>
    <x v="1"/>
    <x v="1"/>
    <s v="DEV-010"/>
    <x v="1"/>
    <x v="0"/>
    <x v="0"/>
    <m/>
    <m/>
    <x v="453"/>
  </r>
  <r>
    <x v="482"/>
    <x v="1"/>
    <x v="1"/>
    <s v="DEV-010"/>
    <x v="1"/>
    <x v="0"/>
    <x v="0"/>
    <m/>
    <m/>
    <x v="454"/>
  </r>
  <r>
    <x v="483"/>
    <x v="1"/>
    <x v="1"/>
    <s v="DEV-006"/>
    <x v="1"/>
    <x v="0"/>
    <x v="0"/>
    <m/>
    <m/>
    <x v="455"/>
  </r>
  <r>
    <x v="484"/>
    <x v="1"/>
    <x v="1"/>
    <s v="DEV-006"/>
    <x v="1"/>
    <x v="0"/>
    <x v="0"/>
    <m/>
    <m/>
    <x v="456"/>
  </r>
  <r>
    <x v="485"/>
    <x v="1"/>
    <x v="1"/>
    <s v="DEV-006"/>
    <x v="1"/>
    <x v="0"/>
    <x v="0"/>
    <m/>
    <m/>
    <x v="457"/>
  </r>
  <r>
    <x v="486"/>
    <x v="0"/>
    <x v="0"/>
    <m/>
    <x v="0"/>
    <x v="0"/>
    <x v="0"/>
    <m/>
    <m/>
    <x v="458"/>
  </r>
  <r>
    <x v="487"/>
    <x v="0"/>
    <x v="0"/>
    <m/>
    <x v="0"/>
    <x v="0"/>
    <x v="0"/>
    <m/>
    <m/>
    <x v="459"/>
  </r>
  <r>
    <x v="488"/>
    <x v="0"/>
    <x v="0"/>
    <m/>
    <x v="0"/>
    <x v="0"/>
    <x v="0"/>
    <m/>
    <m/>
    <x v="460"/>
  </r>
  <r>
    <x v="489"/>
    <x v="0"/>
    <x v="0"/>
    <m/>
    <x v="0"/>
    <x v="0"/>
    <x v="0"/>
    <m/>
    <m/>
    <x v="461"/>
  </r>
  <r>
    <x v="490"/>
    <x v="0"/>
    <x v="0"/>
    <m/>
    <x v="0"/>
    <x v="0"/>
    <x v="0"/>
    <m/>
    <m/>
    <x v="462"/>
  </r>
  <r>
    <x v="491"/>
    <x v="0"/>
    <x v="0"/>
    <m/>
    <x v="0"/>
    <x v="0"/>
    <x v="0"/>
    <m/>
    <m/>
    <x v="463"/>
  </r>
  <r>
    <x v="492"/>
    <x v="0"/>
    <x v="0"/>
    <m/>
    <x v="0"/>
    <x v="0"/>
    <x v="0"/>
    <m/>
    <m/>
    <x v="464"/>
  </r>
  <r>
    <x v="493"/>
    <x v="0"/>
    <x v="0"/>
    <m/>
    <x v="0"/>
    <x v="0"/>
    <x v="0"/>
    <m/>
    <m/>
    <x v="465"/>
  </r>
  <r>
    <x v="494"/>
    <x v="0"/>
    <x v="2"/>
    <m/>
    <x v="0"/>
    <x v="4"/>
    <x v="3"/>
    <m/>
    <s v="V. Niemann"/>
    <x v="466"/>
  </r>
  <r>
    <x v="495"/>
    <x v="0"/>
    <x v="0"/>
    <m/>
    <x v="0"/>
    <x v="0"/>
    <x v="0"/>
    <m/>
    <m/>
    <x v="467"/>
  </r>
  <r>
    <x v="496"/>
    <x v="0"/>
    <x v="2"/>
    <m/>
    <x v="0"/>
    <x v="4"/>
    <x v="3"/>
    <m/>
    <s v="V. Niemann"/>
    <x v="468"/>
  </r>
  <r>
    <x v="497"/>
    <x v="0"/>
    <x v="0"/>
    <m/>
    <x v="0"/>
    <x v="0"/>
    <x v="0"/>
    <m/>
    <m/>
    <x v="469"/>
  </r>
  <r>
    <x v="498"/>
    <x v="1"/>
    <x v="1"/>
    <m/>
    <x v="1"/>
    <x v="0"/>
    <x v="0"/>
    <s v="x"/>
    <m/>
    <x v="470"/>
  </r>
  <r>
    <x v="499"/>
    <x v="0"/>
    <x v="0"/>
    <m/>
    <x v="0"/>
    <x v="0"/>
    <x v="0"/>
    <m/>
    <m/>
    <x v="471"/>
  </r>
  <r>
    <x v="500"/>
    <x v="0"/>
    <x v="0"/>
    <m/>
    <x v="0"/>
    <x v="0"/>
    <x v="0"/>
    <m/>
    <m/>
    <x v="472"/>
  </r>
  <r>
    <x v="501"/>
    <x v="0"/>
    <x v="2"/>
    <m/>
    <x v="0"/>
    <x v="4"/>
    <x v="3"/>
    <m/>
    <s v="R. Stanienda"/>
    <x v="473"/>
  </r>
  <r>
    <x v="502"/>
    <x v="0"/>
    <x v="2"/>
    <m/>
    <x v="0"/>
    <x v="4"/>
    <x v="3"/>
    <m/>
    <s v="R. Stanienda"/>
    <x v="474"/>
  </r>
  <r>
    <x v="503"/>
    <x v="0"/>
    <x v="2"/>
    <s v="DEV-133"/>
    <x v="0"/>
    <x v="4"/>
    <x v="3"/>
    <m/>
    <s v="R. Stanienda"/>
    <x v="475"/>
  </r>
  <r>
    <x v="504"/>
    <x v="0"/>
    <x v="2"/>
    <s v="DEV-133"/>
    <x v="0"/>
    <x v="4"/>
    <x v="3"/>
    <m/>
    <s v="R. Stanienda"/>
    <x v="476"/>
  </r>
  <r>
    <x v="505"/>
    <x v="0"/>
    <x v="2"/>
    <s v="DEV-133"/>
    <x v="0"/>
    <x v="4"/>
    <x v="3"/>
    <m/>
    <s v="R. Stanienda"/>
    <x v="477"/>
  </r>
  <r>
    <x v="506"/>
    <x v="0"/>
    <x v="0"/>
    <m/>
    <x v="0"/>
    <x v="0"/>
    <x v="0"/>
    <m/>
    <m/>
    <x v="478"/>
  </r>
  <r>
    <x v="507"/>
    <x v="0"/>
    <x v="0"/>
    <m/>
    <x v="0"/>
    <x v="0"/>
    <x v="0"/>
    <m/>
    <m/>
    <x v="479"/>
  </r>
  <r>
    <x v="508"/>
    <x v="0"/>
    <x v="0"/>
    <m/>
    <x v="0"/>
    <x v="0"/>
    <x v="0"/>
    <m/>
    <m/>
    <x v="479"/>
  </r>
  <r>
    <x v="509"/>
    <x v="0"/>
    <x v="0"/>
    <m/>
    <x v="0"/>
    <x v="0"/>
    <x v="0"/>
    <m/>
    <m/>
    <x v="480"/>
  </r>
  <r>
    <x v="510"/>
    <x v="0"/>
    <x v="0"/>
    <m/>
    <x v="0"/>
    <x v="0"/>
    <x v="0"/>
    <m/>
    <m/>
    <x v="481"/>
  </r>
  <r>
    <x v="511"/>
    <x v="0"/>
    <x v="0"/>
    <m/>
    <x v="0"/>
    <x v="0"/>
    <x v="0"/>
    <m/>
    <m/>
    <x v="482"/>
  </r>
  <r>
    <x v="512"/>
    <x v="1"/>
    <x v="1"/>
    <m/>
    <x v="1"/>
    <x v="0"/>
    <x v="0"/>
    <s v="x"/>
    <m/>
    <x v="470"/>
  </r>
  <r>
    <x v="513"/>
    <x v="0"/>
    <x v="0"/>
    <m/>
    <x v="0"/>
    <x v="0"/>
    <x v="0"/>
    <m/>
    <m/>
    <x v="483"/>
  </r>
  <r>
    <x v="514"/>
    <x v="1"/>
    <x v="1"/>
    <s v="DEV-068"/>
    <x v="1"/>
    <x v="0"/>
    <x v="0"/>
    <m/>
    <m/>
    <x v="484"/>
  </r>
  <r>
    <x v="515"/>
    <x v="0"/>
    <x v="0"/>
    <m/>
    <x v="0"/>
    <x v="0"/>
    <x v="0"/>
    <m/>
    <m/>
    <x v="485"/>
  </r>
  <r>
    <x v="516"/>
    <x v="0"/>
    <x v="0"/>
    <m/>
    <x v="0"/>
    <x v="0"/>
    <x v="0"/>
    <m/>
    <m/>
    <x v="486"/>
  </r>
  <r>
    <x v="517"/>
    <x v="0"/>
    <x v="2"/>
    <m/>
    <x v="0"/>
    <x v="4"/>
    <x v="3"/>
    <m/>
    <s v="V. Niemann"/>
    <x v="487"/>
  </r>
  <r>
    <x v="518"/>
    <x v="0"/>
    <x v="0"/>
    <m/>
    <x v="0"/>
    <x v="0"/>
    <x v="0"/>
    <m/>
    <m/>
    <x v="488"/>
  </r>
  <r>
    <x v="519"/>
    <x v="0"/>
    <x v="0"/>
    <m/>
    <x v="0"/>
    <x v="0"/>
    <x v="0"/>
    <m/>
    <m/>
    <x v="489"/>
  </r>
  <r>
    <x v="520"/>
    <x v="0"/>
    <x v="0"/>
    <m/>
    <x v="0"/>
    <x v="0"/>
    <x v="0"/>
    <m/>
    <m/>
    <x v="490"/>
  </r>
  <r>
    <x v="521"/>
    <x v="1"/>
    <x v="1"/>
    <s v="DEV-106"/>
    <x v="1"/>
    <x v="0"/>
    <x v="0"/>
    <m/>
    <m/>
    <x v="491"/>
  </r>
  <r>
    <x v="522"/>
    <x v="1"/>
    <x v="1"/>
    <m/>
    <x v="1"/>
    <x v="0"/>
    <x v="0"/>
    <m/>
    <m/>
    <x v="492"/>
  </r>
  <r>
    <x v="523"/>
    <x v="0"/>
    <x v="2"/>
    <m/>
    <x v="0"/>
    <x v="1"/>
    <x v="3"/>
    <m/>
    <m/>
    <x v="493"/>
  </r>
  <r>
    <x v="524"/>
    <x v="0"/>
    <x v="0"/>
    <m/>
    <x v="0"/>
    <x v="0"/>
    <x v="0"/>
    <m/>
    <m/>
    <x v="494"/>
  </r>
  <r>
    <x v="525"/>
    <x v="0"/>
    <x v="2"/>
    <m/>
    <x v="0"/>
    <x v="1"/>
    <x v="3"/>
    <m/>
    <m/>
    <x v="495"/>
  </r>
  <r>
    <x v="526"/>
    <x v="0"/>
    <x v="1"/>
    <m/>
    <x v="0"/>
    <x v="0"/>
    <x v="4"/>
    <m/>
    <m/>
    <x v="496"/>
  </r>
  <r>
    <x v="527"/>
    <x v="0"/>
    <x v="1"/>
    <m/>
    <x v="0"/>
    <x v="0"/>
    <x v="4"/>
    <m/>
    <m/>
    <x v="497"/>
  </r>
  <r>
    <x v="528"/>
    <x v="0"/>
    <x v="1"/>
    <m/>
    <x v="0"/>
    <x v="0"/>
    <x v="4"/>
    <m/>
    <m/>
    <x v="498"/>
  </r>
  <r>
    <x v="529"/>
    <x v="0"/>
    <x v="1"/>
    <m/>
    <x v="0"/>
    <x v="0"/>
    <x v="4"/>
    <m/>
    <m/>
    <x v="499"/>
  </r>
  <r>
    <x v="530"/>
    <x v="0"/>
    <x v="1"/>
    <m/>
    <x v="0"/>
    <x v="0"/>
    <x v="4"/>
    <m/>
    <m/>
    <x v="500"/>
  </r>
  <r>
    <x v="531"/>
    <x v="0"/>
    <x v="1"/>
    <m/>
    <x v="0"/>
    <x v="0"/>
    <x v="4"/>
    <m/>
    <m/>
    <x v="501"/>
  </r>
  <r>
    <x v="532"/>
    <x v="0"/>
    <x v="1"/>
    <m/>
    <x v="0"/>
    <x v="0"/>
    <x v="4"/>
    <m/>
    <m/>
    <x v="502"/>
  </r>
  <r>
    <x v="533"/>
    <x v="0"/>
    <x v="1"/>
    <m/>
    <x v="0"/>
    <x v="0"/>
    <x v="4"/>
    <m/>
    <m/>
    <x v="503"/>
  </r>
  <r>
    <x v="534"/>
    <x v="0"/>
    <x v="1"/>
    <m/>
    <x v="0"/>
    <x v="0"/>
    <x v="4"/>
    <m/>
    <m/>
    <x v="504"/>
  </r>
  <r>
    <x v="535"/>
    <x v="0"/>
    <x v="1"/>
    <m/>
    <x v="0"/>
    <x v="0"/>
    <x v="4"/>
    <m/>
    <m/>
    <x v="505"/>
  </r>
  <r>
    <x v="536"/>
    <x v="0"/>
    <x v="1"/>
    <m/>
    <x v="0"/>
    <x v="0"/>
    <x v="4"/>
    <m/>
    <m/>
    <x v="506"/>
  </r>
  <r>
    <x v="537"/>
    <x v="0"/>
    <x v="1"/>
    <s v="DEV-031"/>
    <x v="0"/>
    <x v="0"/>
    <x v="4"/>
    <m/>
    <m/>
    <x v="507"/>
  </r>
  <r>
    <x v="538"/>
    <x v="0"/>
    <x v="1"/>
    <s v="DEV-031"/>
    <x v="0"/>
    <x v="0"/>
    <x v="4"/>
    <m/>
    <m/>
    <x v="508"/>
  </r>
  <r>
    <x v="539"/>
    <x v="0"/>
    <x v="1"/>
    <s v="DEV-031"/>
    <x v="0"/>
    <x v="0"/>
    <x v="4"/>
    <m/>
    <m/>
    <x v="509"/>
  </r>
  <r>
    <x v="540"/>
    <x v="0"/>
    <x v="1"/>
    <s v="DEV-031"/>
    <x v="0"/>
    <x v="0"/>
    <x v="4"/>
    <m/>
    <m/>
    <x v="510"/>
  </r>
  <r>
    <x v="541"/>
    <x v="0"/>
    <x v="1"/>
    <s v="DEV-031"/>
    <x v="0"/>
    <x v="0"/>
    <x v="4"/>
    <m/>
    <m/>
    <x v="511"/>
  </r>
  <r>
    <x v="542"/>
    <x v="0"/>
    <x v="1"/>
    <s v="DEV-031"/>
    <x v="0"/>
    <x v="0"/>
    <x v="4"/>
    <m/>
    <m/>
    <x v="512"/>
  </r>
  <r>
    <x v="543"/>
    <x v="0"/>
    <x v="1"/>
    <s v="DEV-031"/>
    <x v="0"/>
    <x v="0"/>
    <x v="4"/>
    <m/>
    <m/>
    <x v="513"/>
  </r>
  <r>
    <x v="544"/>
    <x v="0"/>
    <x v="1"/>
    <s v="DEV-031"/>
    <x v="0"/>
    <x v="0"/>
    <x v="4"/>
    <m/>
    <m/>
    <x v="514"/>
  </r>
  <r>
    <x v="545"/>
    <x v="0"/>
    <x v="1"/>
    <s v="DEV-031"/>
    <x v="0"/>
    <x v="0"/>
    <x v="4"/>
    <m/>
    <m/>
    <x v="515"/>
  </r>
  <r>
    <x v="546"/>
    <x v="1"/>
    <x v="1"/>
    <s v="DEV-053"/>
    <x v="1"/>
    <x v="0"/>
    <x v="0"/>
    <m/>
    <m/>
    <x v="516"/>
  </r>
  <r>
    <x v="547"/>
    <x v="1"/>
    <x v="1"/>
    <s v="DEV-053"/>
    <x v="1"/>
    <x v="0"/>
    <x v="0"/>
    <s v="x"/>
    <m/>
    <x v="517"/>
  </r>
  <r>
    <x v="548"/>
    <x v="1"/>
    <x v="1"/>
    <s v="DEV-053"/>
    <x v="1"/>
    <x v="0"/>
    <x v="0"/>
    <s v="x"/>
    <m/>
    <x v="518"/>
  </r>
  <r>
    <x v="549"/>
    <x v="1"/>
    <x v="1"/>
    <s v="DEV-053"/>
    <x v="1"/>
    <x v="0"/>
    <x v="0"/>
    <m/>
    <m/>
    <x v="519"/>
  </r>
  <r>
    <x v="550"/>
    <x v="1"/>
    <x v="1"/>
    <s v="DEV-053"/>
    <x v="1"/>
    <x v="0"/>
    <x v="0"/>
    <s v="x"/>
    <m/>
    <x v="520"/>
  </r>
  <r>
    <x v="551"/>
    <x v="1"/>
    <x v="1"/>
    <s v="DEV-053"/>
    <x v="1"/>
    <x v="0"/>
    <x v="0"/>
    <m/>
    <m/>
    <x v="521"/>
  </r>
  <r>
    <x v="552"/>
    <x v="1"/>
    <x v="1"/>
    <s v="DEV-053"/>
    <x v="1"/>
    <x v="0"/>
    <x v="0"/>
    <m/>
    <m/>
    <x v="55"/>
  </r>
  <r>
    <x v="553"/>
    <x v="1"/>
    <x v="1"/>
    <s v="DEV-053"/>
    <x v="1"/>
    <x v="0"/>
    <x v="0"/>
    <m/>
    <m/>
    <x v="522"/>
  </r>
  <r>
    <x v="554"/>
    <x v="1"/>
    <x v="1"/>
    <m/>
    <x v="1"/>
    <x v="0"/>
    <x v="0"/>
    <m/>
    <m/>
    <x v="523"/>
  </r>
  <r>
    <x v="555"/>
    <x v="1"/>
    <x v="1"/>
    <s v="DEV-053"/>
    <x v="1"/>
    <x v="0"/>
    <x v="0"/>
    <m/>
    <m/>
    <x v="524"/>
  </r>
  <r>
    <x v="556"/>
    <x v="1"/>
    <x v="1"/>
    <m/>
    <x v="1"/>
    <x v="0"/>
    <x v="0"/>
    <m/>
    <m/>
    <x v="525"/>
  </r>
  <r>
    <x v="557"/>
    <x v="1"/>
    <x v="1"/>
    <s v="DEV-053"/>
    <x v="1"/>
    <x v="0"/>
    <x v="0"/>
    <m/>
    <m/>
    <x v="526"/>
  </r>
  <r>
    <x v="558"/>
    <x v="0"/>
    <x v="0"/>
    <m/>
    <x v="0"/>
    <x v="0"/>
    <x v="0"/>
    <m/>
    <m/>
    <x v="527"/>
  </r>
  <r>
    <x v="559"/>
    <x v="1"/>
    <x v="1"/>
    <m/>
    <x v="1"/>
    <x v="0"/>
    <x v="0"/>
    <m/>
    <m/>
    <x v="528"/>
  </r>
  <r>
    <x v="560"/>
    <x v="1"/>
    <x v="1"/>
    <s v="DEV-025"/>
    <x v="1"/>
    <x v="0"/>
    <x v="0"/>
    <m/>
    <m/>
    <x v="529"/>
  </r>
  <r>
    <x v="561"/>
    <x v="1"/>
    <x v="1"/>
    <s v="DEV-053"/>
    <x v="1"/>
    <x v="0"/>
    <x v="0"/>
    <m/>
    <m/>
    <x v="530"/>
  </r>
  <r>
    <x v="562"/>
    <x v="0"/>
    <x v="2"/>
    <s v="DEV-015"/>
    <x v="0"/>
    <x v="1"/>
    <x v="3"/>
    <m/>
    <m/>
    <x v="531"/>
  </r>
  <r>
    <x v="563"/>
    <x v="0"/>
    <x v="2"/>
    <s v="DEV-078"/>
    <x v="0"/>
    <x v="1"/>
    <x v="3"/>
    <m/>
    <m/>
    <x v="532"/>
  </r>
  <r>
    <x v="564"/>
    <x v="0"/>
    <x v="2"/>
    <s v="DEV-078"/>
    <x v="0"/>
    <x v="1"/>
    <x v="3"/>
    <m/>
    <m/>
    <x v="533"/>
  </r>
  <r>
    <x v="565"/>
    <x v="0"/>
    <x v="2"/>
    <s v="DEV-078"/>
    <x v="0"/>
    <x v="1"/>
    <x v="3"/>
    <m/>
    <m/>
    <x v="534"/>
  </r>
  <r>
    <x v="566"/>
    <x v="0"/>
    <x v="2"/>
    <s v="DEV-078"/>
    <x v="0"/>
    <x v="1"/>
    <x v="3"/>
    <m/>
    <m/>
    <x v="535"/>
  </r>
  <r>
    <x v="567"/>
    <x v="1"/>
    <x v="1"/>
    <s v="DEV-079"/>
    <x v="1"/>
    <x v="0"/>
    <x v="0"/>
    <m/>
    <m/>
    <x v="536"/>
  </r>
  <r>
    <x v="568"/>
    <x v="1"/>
    <x v="1"/>
    <s v="DEV-079"/>
    <x v="1"/>
    <x v="0"/>
    <x v="0"/>
    <m/>
    <m/>
    <x v="537"/>
  </r>
  <r>
    <x v="569"/>
    <x v="1"/>
    <x v="1"/>
    <s v="DEV-079"/>
    <x v="1"/>
    <x v="0"/>
    <x v="0"/>
    <m/>
    <m/>
    <x v="538"/>
  </r>
  <r>
    <x v="570"/>
    <x v="1"/>
    <x v="1"/>
    <s v="DEV-079"/>
    <x v="1"/>
    <x v="0"/>
    <x v="0"/>
    <m/>
    <m/>
    <x v="539"/>
  </r>
  <r>
    <x v="571"/>
    <x v="1"/>
    <x v="1"/>
    <s v="DEV-079"/>
    <x v="1"/>
    <x v="0"/>
    <x v="0"/>
    <m/>
    <m/>
    <x v="540"/>
  </r>
  <r>
    <x v="572"/>
    <x v="1"/>
    <x v="1"/>
    <m/>
    <x v="1"/>
    <x v="0"/>
    <x v="0"/>
    <m/>
    <m/>
    <x v="541"/>
  </r>
  <r>
    <x v="573"/>
    <x v="0"/>
    <x v="0"/>
    <m/>
    <x v="0"/>
    <x v="0"/>
    <x v="0"/>
    <m/>
    <m/>
    <x v="542"/>
  </r>
  <r>
    <x v="574"/>
    <x v="0"/>
    <x v="0"/>
    <m/>
    <x v="0"/>
    <x v="0"/>
    <x v="0"/>
    <m/>
    <m/>
    <x v="543"/>
  </r>
  <r>
    <x v="575"/>
    <x v="0"/>
    <x v="0"/>
    <m/>
    <x v="0"/>
    <x v="0"/>
    <x v="0"/>
    <m/>
    <m/>
    <x v="544"/>
  </r>
  <r>
    <x v="576"/>
    <x v="0"/>
    <x v="0"/>
    <m/>
    <x v="0"/>
    <x v="0"/>
    <x v="0"/>
    <m/>
    <m/>
    <x v="545"/>
  </r>
  <r>
    <x v="577"/>
    <x v="0"/>
    <x v="0"/>
    <m/>
    <x v="0"/>
    <x v="0"/>
    <x v="0"/>
    <m/>
    <m/>
    <x v="546"/>
  </r>
  <r>
    <x v="578"/>
    <x v="0"/>
    <x v="0"/>
    <m/>
    <x v="0"/>
    <x v="0"/>
    <x v="0"/>
    <m/>
    <m/>
    <x v="547"/>
  </r>
  <r>
    <x v="579"/>
    <x v="0"/>
    <x v="0"/>
    <m/>
    <x v="0"/>
    <x v="0"/>
    <x v="0"/>
    <m/>
    <m/>
    <x v="548"/>
  </r>
  <r>
    <x v="580"/>
    <x v="0"/>
    <x v="1"/>
    <m/>
    <x v="0"/>
    <x v="0"/>
    <x v="4"/>
    <m/>
    <m/>
    <x v="549"/>
  </r>
  <r>
    <x v="581"/>
    <x v="0"/>
    <x v="0"/>
    <m/>
    <x v="0"/>
    <x v="0"/>
    <x v="0"/>
    <m/>
    <m/>
    <x v="550"/>
  </r>
  <r>
    <x v="582"/>
    <x v="0"/>
    <x v="0"/>
    <m/>
    <x v="0"/>
    <x v="0"/>
    <x v="0"/>
    <m/>
    <m/>
    <x v="551"/>
  </r>
  <r>
    <x v="583"/>
    <x v="0"/>
    <x v="1"/>
    <m/>
    <x v="0"/>
    <x v="0"/>
    <x v="4"/>
    <m/>
    <m/>
    <x v="552"/>
  </r>
  <r>
    <x v="584"/>
    <x v="0"/>
    <x v="0"/>
    <m/>
    <x v="0"/>
    <x v="0"/>
    <x v="0"/>
    <m/>
    <m/>
    <x v="553"/>
  </r>
  <r>
    <x v="585"/>
    <x v="0"/>
    <x v="0"/>
    <m/>
    <x v="0"/>
    <x v="0"/>
    <x v="0"/>
    <m/>
    <m/>
    <x v="554"/>
  </r>
  <r>
    <x v="586"/>
    <x v="0"/>
    <x v="1"/>
    <m/>
    <x v="0"/>
    <x v="0"/>
    <x v="4"/>
    <m/>
    <m/>
    <x v="552"/>
  </r>
  <r>
    <x v="587"/>
    <x v="0"/>
    <x v="0"/>
    <m/>
    <x v="0"/>
    <x v="0"/>
    <x v="0"/>
    <m/>
    <m/>
    <x v="555"/>
  </r>
  <r>
    <x v="588"/>
    <x v="0"/>
    <x v="0"/>
    <m/>
    <x v="0"/>
    <x v="0"/>
    <x v="0"/>
    <m/>
    <m/>
    <x v="556"/>
  </r>
  <r>
    <x v="589"/>
    <x v="0"/>
    <x v="0"/>
    <m/>
    <x v="0"/>
    <x v="0"/>
    <x v="0"/>
    <m/>
    <m/>
    <x v="557"/>
  </r>
  <r>
    <x v="590"/>
    <x v="0"/>
    <x v="0"/>
    <m/>
    <x v="0"/>
    <x v="0"/>
    <x v="0"/>
    <m/>
    <m/>
    <x v="558"/>
  </r>
  <r>
    <x v="591"/>
    <x v="0"/>
    <x v="0"/>
    <m/>
    <x v="0"/>
    <x v="0"/>
    <x v="0"/>
    <m/>
    <m/>
    <x v="559"/>
  </r>
  <r>
    <x v="592"/>
    <x v="0"/>
    <x v="0"/>
    <m/>
    <x v="0"/>
    <x v="0"/>
    <x v="0"/>
    <m/>
    <m/>
    <x v="560"/>
  </r>
  <r>
    <x v="593"/>
    <x v="0"/>
    <x v="0"/>
    <m/>
    <x v="0"/>
    <x v="0"/>
    <x v="0"/>
    <m/>
    <m/>
    <x v="561"/>
  </r>
  <r>
    <x v="594"/>
    <x v="0"/>
    <x v="0"/>
    <m/>
    <x v="0"/>
    <x v="0"/>
    <x v="0"/>
    <m/>
    <m/>
    <x v="562"/>
  </r>
  <r>
    <x v="595"/>
    <x v="0"/>
    <x v="1"/>
    <s v="DEV-063"/>
    <x v="0"/>
    <x v="0"/>
    <x v="4"/>
    <m/>
    <m/>
    <x v="563"/>
  </r>
  <r>
    <x v="596"/>
    <x v="0"/>
    <x v="0"/>
    <m/>
    <x v="0"/>
    <x v="0"/>
    <x v="0"/>
    <m/>
    <m/>
    <x v="564"/>
  </r>
  <r>
    <x v="597"/>
    <x v="0"/>
    <x v="0"/>
    <m/>
    <x v="0"/>
    <x v="0"/>
    <x v="0"/>
    <m/>
    <m/>
    <x v="565"/>
  </r>
  <r>
    <x v="598"/>
    <x v="0"/>
    <x v="0"/>
    <m/>
    <x v="0"/>
    <x v="0"/>
    <x v="0"/>
    <m/>
    <m/>
    <x v="566"/>
  </r>
  <r>
    <x v="599"/>
    <x v="0"/>
    <x v="0"/>
    <m/>
    <x v="0"/>
    <x v="0"/>
    <x v="0"/>
    <m/>
    <m/>
    <x v="567"/>
  </r>
  <r>
    <x v="600"/>
    <x v="0"/>
    <x v="0"/>
    <m/>
    <x v="0"/>
    <x v="0"/>
    <x v="0"/>
    <m/>
    <m/>
    <x v="568"/>
  </r>
  <r>
    <x v="601"/>
    <x v="0"/>
    <x v="0"/>
    <m/>
    <x v="0"/>
    <x v="0"/>
    <x v="0"/>
    <m/>
    <m/>
    <x v="569"/>
  </r>
  <r>
    <x v="602"/>
    <x v="0"/>
    <x v="0"/>
    <m/>
    <x v="0"/>
    <x v="0"/>
    <x v="0"/>
    <m/>
    <m/>
    <x v="570"/>
  </r>
  <r>
    <x v="603"/>
    <x v="0"/>
    <x v="0"/>
    <m/>
    <x v="0"/>
    <x v="0"/>
    <x v="0"/>
    <m/>
    <m/>
    <x v="571"/>
  </r>
  <r>
    <x v="604"/>
    <x v="0"/>
    <x v="0"/>
    <m/>
    <x v="0"/>
    <x v="0"/>
    <x v="0"/>
    <m/>
    <m/>
    <x v="572"/>
  </r>
  <r>
    <x v="605"/>
    <x v="0"/>
    <x v="0"/>
    <m/>
    <x v="0"/>
    <x v="0"/>
    <x v="0"/>
    <m/>
    <m/>
    <x v="573"/>
  </r>
  <r>
    <x v="606"/>
    <x v="0"/>
    <x v="0"/>
    <m/>
    <x v="0"/>
    <x v="0"/>
    <x v="0"/>
    <m/>
    <m/>
    <x v="574"/>
  </r>
  <r>
    <x v="607"/>
    <x v="0"/>
    <x v="0"/>
    <m/>
    <x v="0"/>
    <x v="0"/>
    <x v="0"/>
    <m/>
    <m/>
    <x v="575"/>
  </r>
  <r>
    <x v="608"/>
    <x v="0"/>
    <x v="2"/>
    <s v="DEV-085"/>
    <x v="0"/>
    <x v="1"/>
    <x v="3"/>
    <m/>
    <m/>
    <x v="576"/>
  </r>
  <r>
    <x v="609"/>
    <x v="0"/>
    <x v="2"/>
    <s v="DEV-085"/>
    <x v="0"/>
    <x v="1"/>
    <x v="3"/>
    <m/>
    <m/>
    <x v="577"/>
  </r>
  <r>
    <x v="610"/>
    <x v="0"/>
    <x v="2"/>
    <s v="DEV-085"/>
    <x v="0"/>
    <x v="1"/>
    <x v="3"/>
    <m/>
    <m/>
    <x v="578"/>
  </r>
  <r>
    <x v="611"/>
    <x v="0"/>
    <x v="2"/>
    <s v="DEV-085"/>
    <x v="0"/>
    <x v="1"/>
    <x v="3"/>
    <m/>
    <m/>
    <x v="579"/>
  </r>
  <r>
    <x v="612"/>
    <x v="0"/>
    <x v="2"/>
    <s v="DEV-085"/>
    <x v="0"/>
    <x v="1"/>
    <x v="3"/>
    <m/>
    <m/>
    <x v="580"/>
  </r>
  <r>
    <x v="613"/>
    <x v="0"/>
    <x v="2"/>
    <s v="DEV-085"/>
    <x v="0"/>
    <x v="1"/>
    <x v="3"/>
    <m/>
    <m/>
    <x v="581"/>
  </r>
  <r>
    <x v="614"/>
    <x v="0"/>
    <x v="2"/>
    <s v="DEV-085"/>
    <x v="0"/>
    <x v="1"/>
    <x v="3"/>
    <m/>
    <m/>
    <x v="582"/>
  </r>
  <r>
    <x v="615"/>
    <x v="0"/>
    <x v="2"/>
    <s v="DEV-085"/>
    <x v="0"/>
    <x v="1"/>
    <x v="3"/>
    <m/>
    <m/>
    <x v="583"/>
  </r>
  <r>
    <x v="616"/>
    <x v="0"/>
    <x v="2"/>
    <s v="DEV-085"/>
    <x v="0"/>
    <x v="1"/>
    <x v="3"/>
    <m/>
    <m/>
    <x v="584"/>
  </r>
  <r>
    <x v="617"/>
    <x v="0"/>
    <x v="2"/>
    <s v="DEV-085"/>
    <x v="0"/>
    <x v="1"/>
    <x v="3"/>
    <m/>
    <m/>
    <x v="585"/>
  </r>
  <r>
    <x v="618"/>
    <x v="0"/>
    <x v="2"/>
    <s v="DEV-085"/>
    <x v="0"/>
    <x v="1"/>
    <x v="3"/>
    <m/>
    <m/>
    <x v="586"/>
  </r>
  <r>
    <x v="619"/>
    <x v="0"/>
    <x v="2"/>
    <s v="DEV-085"/>
    <x v="0"/>
    <x v="1"/>
    <x v="3"/>
    <m/>
    <m/>
    <x v="587"/>
  </r>
  <r>
    <x v="620"/>
    <x v="0"/>
    <x v="2"/>
    <s v="DEV-085"/>
    <x v="0"/>
    <x v="1"/>
    <x v="3"/>
    <m/>
    <m/>
    <x v="588"/>
  </r>
  <r>
    <x v="621"/>
    <x v="0"/>
    <x v="2"/>
    <s v="DEV-085"/>
    <x v="0"/>
    <x v="1"/>
    <x v="3"/>
    <m/>
    <m/>
    <x v="589"/>
  </r>
  <r>
    <x v="622"/>
    <x v="0"/>
    <x v="2"/>
    <s v="DEV-085"/>
    <x v="0"/>
    <x v="1"/>
    <x v="3"/>
    <m/>
    <m/>
    <x v="590"/>
  </r>
  <r>
    <x v="623"/>
    <x v="0"/>
    <x v="2"/>
    <s v="DEV-085"/>
    <x v="0"/>
    <x v="1"/>
    <x v="3"/>
    <m/>
    <m/>
    <x v="591"/>
  </r>
  <r>
    <x v="624"/>
    <x v="0"/>
    <x v="2"/>
    <s v="DEV-085"/>
    <x v="0"/>
    <x v="1"/>
    <x v="3"/>
    <m/>
    <m/>
    <x v="592"/>
  </r>
  <r>
    <x v="625"/>
    <x v="0"/>
    <x v="2"/>
    <s v="DEV-085"/>
    <x v="0"/>
    <x v="1"/>
    <x v="3"/>
    <m/>
    <m/>
    <x v="593"/>
  </r>
  <r>
    <x v="626"/>
    <x v="0"/>
    <x v="2"/>
    <s v="DEV-085"/>
    <x v="0"/>
    <x v="1"/>
    <x v="3"/>
    <m/>
    <m/>
    <x v="594"/>
  </r>
  <r>
    <x v="627"/>
    <x v="0"/>
    <x v="2"/>
    <s v="DEV-085"/>
    <x v="0"/>
    <x v="1"/>
    <x v="3"/>
    <m/>
    <m/>
    <x v="595"/>
  </r>
  <r>
    <x v="628"/>
    <x v="0"/>
    <x v="2"/>
    <s v="DEV-085"/>
    <x v="0"/>
    <x v="1"/>
    <x v="3"/>
    <m/>
    <m/>
    <x v="596"/>
  </r>
  <r>
    <x v="629"/>
    <x v="0"/>
    <x v="2"/>
    <s v="DEV-085"/>
    <x v="0"/>
    <x v="1"/>
    <x v="3"/>
    <m/>
    <m/>
    <x v="597"/>
  </r>
  <r>
    <x v="630"/>
    <x v="0"/>
    <x v="2"/>
    <s v="DEV-085"/>
    <x v="0"/>
    <x v="1"/>
    <x v="3"/>
    <m/>
    <m/>
    <x v="598"/>
  </r>
  <r>
    <x v="631"/>
    <x v="0"/>
    <x v="2"/>
    <s v="DEV-085"/>
    <x v="0"/>
    <x v="1"/>
    <x v="3"/>
    <m/>
    <m/>
    <x v="599"/>
  </r>
  <r>
    <x v="632"/>
    <x v="0"/>
    <x v="2"/>
    <s v="DEV-085"/>
    <x v="0"/>
    <x v="1"/>
    <x v="3"/>
    <m/>
    <m/>
    <x v="600"/>
  </r>
  <r>
    <x v="633"/>
    <x v="0"/>
    <x v="2"/>
    <s v="DEV-085"/>
    <x v="0"/>
    <x v="1"/>
    <x v="3"/>
    <m/>
    <m/>
    <x v="601"/>
  </r>
  <r>
    <x v="634"/>
    <x v="0"/>
    <x v="1"/>
    <m/>
    <x v="0"/>
    <x v="1"/>
    <x v="1"/>
    <m/>
    <m/>
    <x v="602"/>
  </r>
  <r>
    <x v="635"/>
    <x v="0"/>
    <x v="1"/>
    <s v="DEV-107"/>
    <x v="0"/>
    <x v="0"/>
    <x v="4"/>
    <m/>
    <m/>
    <x v="603"/>
  </r>
  <r>
    <x v="636"/>
    <x v="0"/>
    <x v="0"/>
    <m/>
    <x v="0"/>
    <x v="0"/>
    <x v="0"/>
    <m/>
    <m/>
    <x v="604"/>
  </r>
  <r>
    <x v="637"/>
    <x v="0"/>
    <x v="2"/>
    <s v="DEV-107"/>
    <x v="0"/>
    <x v="1"/>
    <x v="3"/>
    <m/>
    <m/>
    <x v="605"/>
  </r>
  <r>
    <x v="638"/>
    <x v="0"/>
    <x v="2"/>
    <s v="DEV-107"/>
    <x v="0"/>
    <x v="1"/>
    <x v="3"/>
    <m/>
    <m/>
    <x v="606"/>
  </r>
  <r>
    <x v="639"/>
    <x v="0"/>
    <x v="0"/>
    <s v="DEV-107"/>
    <x v="0"/>
    <x v="0"/>
    <x v="0"/>
    <m/>
    <m/>
    <x v="607"/>
  </r>
  <r>
    <x v="640"/>
    <x v="0"/>
    <x v="2"/>
    <m/>
    <x v="0"/>
    <x v="1"/>
    <x v="3"/>
    <m/>
    <m/>
    <x v="608"/>
  </r>
  <r>
    <x v="641"/>
    <x v="1"/>
    <x v="1"/>
    <s v="DEV-108"/>
    <x v="1"/>
    <x v="0"/>
    <x v="0"/>
    <m/>
    <m/>
    <x v="609"/>
  </r>
  <r>
    <x v="642"/>
    <x v="0"/>
    <x v="0"/>
    <m/>
    <x v="0"/>
    <x v="0"/>
    <x v="0"/>
    <m/>
    <m/>
    <x v="610"/>
  </r>
  <r>
    <x v="643"/>
    <x v="0"/>
    <x v="0"/>
    <m/>
    <x v="0"/>
    <x v="0"/>
    <x v="0"/>
    <m/>
    <m/>
    <x v="611"/>
  </r>
  <r>
    <x v="644"/>
    <x v="0"/>
    <x v="0"/>
    <m/>
    <x v="0"/>
    <x v="0"/>
    <x v="0"/>
    <m/>
    <m/>
    <x v="612"/>
  </r>
  <r>
    <x v="645"/>
    <x v="0"/>
    <x v="0"/>
    <m/>
    <x v="0"/>
    <x v="0"/>
    <x v="0"/>
    <m/>
    <m/>
    <x v="613"/>
  </r>
  <r>
    <x v="646"/>
    <x v="0"/>
    <x v="0"/>
    <m/>
    <x v="0"/>
    <x v="0"/>
    <x v="0"/>
    <m/>
    <m/>
    <x v="614"/>
  </r>
  <r>
    <x v="647"/>
    <x v="0"/>
    <x v="2"/>
    <s v="DEV-022"/>
    <x v="0"/>
    <x v="4"/>
    <x v="3"/>
    <m/>
    <s v="V. Niemann"/>
    <x v="615"/>
  </r>
  <r>
    <x v="648"/>
    <x v="0"/>
    <x v="0"/>
    <m/>
    <x v="0"/>
    <x v="0"/>
    <x v="0"/>
    <m/>
    <m/>
    <x v="616"/>
  </r>
  <r>
    <x v="649"/>
    <x v="0"/>
    <x v="1"/>
    <s v="DEV-142"/>
    <x v="1"/>
    <x v="0"/>
    <x v="0"/>
    <m/>
    <m/>
    <x v="617"/>
  </r>
  <r>
    <x v="650"/>
    <x v="0"/>
    <x v="2"/>
    <m/>
    <x v="0"/>
    <x v="4"/>
    <x v="3"/>
    <m/>
    <s v="M. Lex"/>
    <x v="618"/>
  </r>
  <r>
    <x v="651"/>
    <x v="0"/>
    <x v="2"/>
    <m/>
    <x v="0"/>
    <x v="4"/>
    <x v="3"/>
    <m/>
    <s v="M. Lex"/>
    <x v="619"/>
  </r>
  <r>
    <x v="652"/>
    <x v="0"/>
    <x v="2"/>
    <m/>
    <x v="0"/>
    <x v="4"/>
    <x v="3"/>
    <m/>
    <s v="M. Lex"/>
    <x v="620"/>
  </r>
  <r>
    <x v="653"/>
    <x v="0"/>
    <x v="2"/>
    <m/>
    <x v="0"/>
    <x v="4"/>
    <x v="3"/>
    <m/>
    <s v="M. Lex"/>
    <x v="621"/>
  </r>
  <r>
    <x v="654"/>
    <x v="0"/>
    <x v="2"/>
    <s v="DEV-138"/>
    <x v="0"/>
    <x v="4"/>
    <x v="3"/>
    <m/>
    <s v="M. Lex"/>
    <x v="622"/>
  </r>
  <r>
    <x v="655"/>
    <x v="0"/>
    <x v="2"/>
    <m/>
    <x v="0"/>
    <x v="4"/>
    <x v="3"/>
    <m/>
    <s v="M. Lex"/>
    <x v="619"/>
  </r>
  <r>
    <x v="656"/>
    <x v="1"/>
    <x v="1"/>
    <s v="DEV-134"/>
    <x v="1"/>
    <x v="0"/>
    <x v="0"/>
    <m/>
    <m/>
    <x v="623"/>
  </r>
  <r>
    <x v="657"/>
    <x v="1"/>
    <x v="1"/>
    <s v="DEV-134"/>
    <x v="1"/>
    <x v="0"/>
    <x v="0"/>
    <m/>
    <m/>
    <x v="624"/>
  </r>
  <r>
    <x v="658"/>
    <x v="1"/>
    <x v="1"/>
    <m/>
    <x v="1"/>
    <x v="0"/>
    <x v="0"/>
    <s v="x"/>
    <m/>
    <x v="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42868-D755-451B-8AAF-62EE22F9A6A1}" name="PivotTable1" cacheId="44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>
  <location ref="A2:R6" firstHeaderRow="1" firstDataRow="4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Col" compact="0" outline="0" showAll="0">
      <items count="6">
        <item x="4"/>
        <item x="3"/>
        <item x="1"/>
        <item x="2"/>
        <item x="0"/>
        <item t="default"/>
      </items>
    </pivotField>
    <pivotField axis="axisCol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/>
  </pivotFields>
  <rowItems count="1">
    <i/>
  </rowItems>
  <colFields count="3">
    <field x="4"/>
    <field x="5"/>
    <field x="6"/>
  </colFields>
  <colItems count="17">
    <i>
      <x/>
      <x v="4"/>
      <x v="4"/>
    </i>
    <i t="default" r="1">
      <x v="4"/>
    </i>
    <i t="default">
      <x/>
    </i>
    <i>
      <x v="1"/>
      <x/>
      <x/>
    </i>
    <i t="default" r="1">
      <x/>
    </i>
    <i r="1">
      <x v="1"/>
      <x v="2"/>
    </i>
    <i t="default" r="1">
      <x v="1"/>
    </i>
    <i r="1">
      <x v="2"/>
      <x/>
    </i>
    <i r="2">
      <x v="1"/>
    </i>
    <i t="default" r="1">
      <x v="2"/>
    </i>
    <i r="1">
      <x v="3"/>
      <x v="1"/>
    </i>
    <i t="default" r="1">
      <x v="3"/>
    </i>
    <i r="1">
      <x v="4"/>
      <x v="3"/>
    </i>
    <i r="2">
      <x v="4"/>
    </i>
    <i t="default" r="1">
      <x v="4"/>
    </i>
    <i t="default">
      <x v="1"/>
    </i>
    <i t="grand">
      <x/>
    </i>
  </colItems>
  <dataFields count="1">
    <dataField name="Anzahl von Z-Programm R/3_x000a_(insgesamt 654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35476-11B3-4057-B471-2E41B09C228E}" name="PivotTable2" cacheId="44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>
  <location ref="A2:B6" firstHeaderRow="1" firstDataRow="1" firstDataCol="1"/>
  <pivotFields count="10">
    <pivotField compact="0" outline="0" showAll="0"/>
    <pivotField compact="0" outline="0" showAll="0"/>
    <pivotField axis="axisRow" dataField="1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nzahl von Übernahme _x000a_in S/4_x000a_gepla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5D680-66B7-4DFE-8FC1-CC8C693264F2}" name="PivotTable4" cacheId="44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>
  <location ref="A5:E7" firstHeaderRow="1" firstDataRow="2" firstDataCol="1" rowPageCount="3" colPageCount="1"/>
  <pivotFields count="10">
    <pivotField dataField="1" compact="0" outline="0" showAll="0">
      <items count="6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t="default"/>
      </items>
    </pivotField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6">
        <item x="4"/>
        <item x="3"/>
        <item x="1"/>
        <item x="2"/>
        <item x="0"/>
        <item t="default"/>
      </items>
    </pivotField>
    <pivotField axis="axisPage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/>
    <pivotField compact="0" outline="0" showAll="0"/>
    <pivotField compact="0" outline="0" showAll="0">
      <items count="626">
        <item x="619"/>
        <item x="588"/>
        <item x="349"/>
        <item x="596"/>
        <item x="80"/>
        <item x="164"/>
        <item x="72"/>
        <item x="81"/>
        <item x="532"/>
        <item x="121"/>
        <item x="122"/>
        <item x="107"/>
        <item x="187"/>
        <item x="119"/>
        <item x="120"/>
        <item x="123"/>
        <item x="124"/>
        <item x="125"/>
        <item x="456"/>
        <item x="590"/>
        <item x="126"/>
        <item x="378"/>
        <item x="226"/>
        <item x="229"/>
        <item x="372"/>
        <item x="483"/>
        <item x="129"/>
        <item x="10"/>
        <item x="326"/>
        <item x="329"/>
        <item x="330"/>
        <item x="331"/>
        <item x="130"/>
        <item x="205"/>
        <item x="273"/>
        <item x="108"/>
        <item x="117"/>
        <item x="15"/>
        <item x="13"/>
        <item x="9"/>
        <item x="8"/>
        <item x="24"/>
        <item x="624"/>
        <item x="132"/>
        <item x="311"/>
        <item x="334"/>
        <item x="64"/>
        <item x="543"/>
        <item x="19"/>
        <item x="148"/>
        <item x="497"/>
        <item x="566"/>
        <item x="128"/>
        <item x="21"/>
        <item x="23"/>
        <item x="22"/>
        <item x="135"/>
        <item x="25"/>
        <item x="312"/>
        <item x="313"/>
        <item x="149"/>
        <item x="498"/>
        <item x="567"/>
        <item x="136"/>
        <item x="154"/>
        <item x="332"/>
        <item x="159"/>
        <item x="184"/>
        <item x="29"/>
        <item x="96"/>
        <item x="484"/>
        <item x="485"/>
        <item x="541"/>
        <item x="609"/>
        <item x="32"/>
        <item x="206"/>
        <item x="179"/>
        <item x="227"/>
        <item x="83"/>
        <item x="503"/>
        <item x="554"/>
        <item x="196"/>
        <item x="57"/>
        <item x="382"/>
        <item x="390"/>
        <item x="502"/>
        <item x="551"/>
        <item x="616"/>
        <item x="369"/>
        <item x="402"/>
        <item x="144"/>
        <item x="150"/>
        <item x="389"/>
        <item x="277"/>
        <item x="176"/>
        <item x="177"/>
        <item x="160"/>
        <item x="162"/>
        <item x="158"/>
        <item x="161"/>
        <item x="354"/>
        <item x="560"/>
        <item x="555"/>
        <item x="27"/>
        <item x="26"/>
        <item x="168"/>
        <item x="171"/>
        <item x="300"/>
        <item x="270"/>
        <item x="367"/>
        <item x="579"/>
        <item x="450"/>
        <item x="583"/>
        <item x="581"/>
        <item x="486"/>
        <item x="416"/>
        <item x="544"/>
        <item x="422"/>
        <item x="413"/>
        <item x="545"/>
        <item x="248"/>
        <item x="247"/>
        <item x="173"/>
        <item x="327"/>
        <item x="283"/>
        <item x="472"/>
        <item x="16"/>
        <item x="87"/>
        <item x="381"/>
        <item x="499"/>
        <item x="500"/>
        <item x="113"/>
        <item x="401"/>
        <item x="427"/>
        <item x="490"/>
        <item x="570"/>
        <item x="228"/>
        <item x="37"/>
        <item x="36"/>
        <item x="78"/>
        <item x="286"/>
        <item x="7"/>
        <item x="222"/>
        <item x="53"/>
        <item x="209"/>
        <item x="153"/>
        <item x="189"/>
        <item x="188"/>
        <item x="191"/>
        <item x="604"/>
        <item x="195"/>
        <item x="197"/>
        <item x="199"/>
        <item x="198"/>
        <item x="200"/>
        <item x="201"/>
        <item x="348"/>
        <item x="38"/>
        <item x="208"/>
        <item x="54"/>
        <item x="309"/>
        <item x="397"/>
        <item x="398"/>
        <item x="296"/>
        <item x="415"/>
        <item x="417"/>
        <item x="424"/>
        <item x="425"/>
        <item x="429"/>
        <item x="580"/>
        <item x="142"/>
        <item x="210"/>
        <item x="244"/>
        <item x="218"/>
        <item x="278"/>
        <item x="180"/>
        <item x="118"/>
        <item x="333"/>
        <item x="56"/>
        <item x="308"/>
        <item x="268"/>
        <item x="28"/>
        <item x="607"/>
        <item x="192"/>
        <item x="258"/>
        <item x="146"/>
        <item x="276"/>
        <item x="388"/>
        <item x="478"/>
        <item x="219"/>
        <item x="536"/>
        <item x="157"/>
        <item x="564"/>
        <item x="170"/>
        <item x="339"/>
        <item x="371"/>
        <item x="340"/>
        <item x="133"/>
        <item x="73"/>
        <item x="363"/>
        <item x="190"/>
        <item x="181"/>
        <item x="263"/>
        <item x="364"/>
        <item x="143"/>
        <item x="337"/>
        <item x="297"/>
        <item x="365"/>
        <item x="373"/>
        <item x="377"/>
        <item x="376"/>
        <item x="323"/>
        <item x="347"/>
        <item x="305"/>
        <item x="414"/>
        <item x="410"/>
        <item x="138"/>
        <item x="140"/>
        <item x="548"/>
        <item x="569"/>
        <item x="47"/>
        <item x="405"/>
        <item x="139"/>
        <item x="33"/>
        <item x="207"/>
        <item x="466"/>
        <item x="589"/>
        <item x="67"/>
        <item x="474"/>
        <item x="0"/>
        <item x="375"/>
        <item x="374"/>
        <item x="1"/>
        <item x="174"/>
        <item x="220"/>
        <item x="538"/>
        <item x="411"/>
        <item x="156"/>
        <item x="428"/>
        <item x="77"/>
        <item x="238"/>
        <item x="479"/>
        <item x="249"/>
        <item x="233"/>
        <item x="230"/>
        <item x="431"/>
        <item x="488"/>
        <item x="453"/>
        <item x="454"/>
        <item x="432"/>
        <item x="434"/>
        <item x="11"/>
        <item x="12"/>
        <item x="319"/>
        <item x="251"/>
        <item x="252"/>
        <item x="253"/>
        <item x="39"/>
        <item x="321"/>
        <item x="314"/>
        <item x="316"/>
        <item x="254"/>
        <item x="91"/>
        <item x="492"/>
        <item x="328"/>
        <item x="370"/>
        <item x="92"/>
        <item x="93"/>
        <item x="493"/>
        <item x="224"/>
        <item x="165"/>
        <item x="166"/>
        <item x="214"/>
        <item x="352"/>
        <item x="85"/>
        <item x="183"/>
        <item x="240"/>
        <item x="66"/>
        <item x="76"/>
        <item x="95"/>
        <item x="97"/>
        <item x="98"/>
        <item x="99"/>
        <item x="256"/>
        <item x="458"/>
        <item x="257"/>
        <item x="621"/>
        <item x="556"/>
        <item x="442"/>
        <item x="262"/>
        <item x="101"/>
        <item x="100"/>
        <item x="62"/>
        <item x="271"/>
        <item x="267"/>
        <item x="274"/>
        <item x="495"/>
        <item x="43"/>
        <item x="116"/>
        <item x="282"/>
        <item x="281"/>
        <item x="202"/>
        <item x="234"/>
        <item x="50"/>
        <item x="147"/>
        <item x="496"/>
        <item x="565"/>
        <item x="203"/>
        <item x="439"/>
        <item x="444"/>
        <item x="446"/>
        <item x="440"/>
        <item x="445"/>
        <item x="447"/>
        <item x="448"/>
        <item x="437"/>
        <item x="443"/>
        <item x="438"/>
        <item x="441"/>
        <item x="620"/>
        <item x="618"/>
        <item x="506"/>
        <item x="511"/>
        <item x="507"/>
        <item x="508"/>
        <item x="509"/>
        <item x="510"/>
        <item x="512"/>
        <item x="513"/>
        <item x="515"/>
        <item x="505"/>
        <item x="318"/>
        <item x="317"/>
        <item x="514"/>
        <item x="407"/>
        <item x="404"/>
        <item x="279"/>
        <item x="204"/>
        <item x="280"/>
        <item x="287"/>
        <item x="519"/>
        <item x="68"/>
        <item x="522"/>
        <item x="526"/>
        <item x="523"/>
        <item x="517"/>
        <item x="518"/>
        <item x="525"/>
        <item x="520"/>
        <item x="501"/>
        <item x="14"/>
        <item x="288"/>
        <item x="451"/>
        <item x="455"/>
        <item x="452"/>
        <item x="457"/>
        <item x="325"/>
        <item x="5"/>
        <item x="423"/>
        <item x="141"/>
        <item x="464"/>
        <item x="524"/>
        <item x="421"/>
        <item x="420"/>
        <item x="30"/>
        <item x="430"/>
        <item x="459"/>
        <item x="461"/>
        <item x="463"/>
        <item x="460"/>
        <item x="465"/>
        <item x="462"/>
        <item x="6"/>
        <item x="384"/>
        <item x="275"/>
        <item x="212"/>
        <item x="232"/>
        <item x="269"/>
        <item x="265"/>
        <item x="48"/>
        <item x="291"/>
        <item x="292"/>
        <item x="426"/>
        <item x="504"/>
        <item x="289"/>
        <item x="71"/>
        <item x="52"/>
        <item x="106"/>
        <item x="102"/>
        <item x="593"/>
        <item x="594"/>
        <item x="412"/>
        <item x="239"/>
        <item x="285"/>
        <item x="359"/>
        <item x="284"/>
        <item x="302"/>
        <item x="595"/>
        <item x="109"/>
        <item x="103"/>
        <item x="315"/>
        <item x="4"/>
        <item x="399"/>
        <item x="59"/>
        <item x="75"/>
        <item x="79"/>
        <item x="89"/>
        <item x="82"/>
        <item x="84"/>
        <item x="94"/>
        <item x="104"/>
        <item x="105"/>
        <item x="110"/>
        <item x="114"/>
        <item x="115"/>
        <item x="169"/>
        <item x="216"/>
        <item x="260"/>
        <item x="293"/>
        <item x="301"/>
        <item x="320"/>
        <item x="433"/>
        <item x="473"/>
        <item x="489"/>
        <item x="527"/>
        <item x="530"/>
        <item x="539"/>
        <item x="550"/>
        <item x="557"/>
        <item x="46"/>
        <item x="41"/>
        <item x="167"/>
        <item x="400"/>
        <item x="391"/>
        <item x="194"/>
        <item x="368"/>
        <item x="74"/>
        <item x="574"/>
        <item x="471"/>
        <item x="304"/>
        <item x="475"/>
        <item x="476"/>
        <item x="310"/>
        <item x="529"/>
        <item x="477"/>
        <item x="324"/>
        <item x="61"/>
        <item x="3"/>
        <item x="20"/>
        <item x="137"/>
        <item x="559"/>
        <item x="60"/>
        <item x="261"/>
        <item x="245"/>
        <item x="246"/>
        <item x="351"/>
        <item x="185"/>
        <item x="335"/>
        <item x="88"/>
        <item x="338"/>
        <item x="303"/>
        <item x="221"/>
        <item x="408"/>
        <item x="235"/>
        <item x="236"/>
        <item x="272"/>
        <item x="537"/>
        <item x="516"/>
        <item x="576"/>
        <item x="487"/>
        <item x="612"/>
        <item x="491"/>
        <item x="521"/>
        <item x="231"/>
        <item x="225"/>
        <item x="343"/>
        <item x="342"/>
        <item x="533"/>
        <item x="535"/>
        <item x="534"/>
        <item x="42"/>
        <item x="344"/>
        <item x="345"/>
        <item x="540"/>
        <item x="392"/>
        <item x="346"/>
        <item x="112"/>
        <item x="366"/>
        <item x="542"/>
        <item x="17"/>
        <item x="193"/>
        <item x="357"/>
        <item x="353"/>
        <item x="358"/>
        <item x="360"/>
        <item x="356"/>
        <item x="361"/>
        <item x="362"/>
        <item x="355"/>
        <item x="494"/>
        <item x="467"/>
        <item x="552"/>
        <item x="547"/>
        <item x="561"/>
        <item x="562"/>
        <item x="553"/>
        <item x="610"/>
        <item x="546"/>
        <item x="563"/>
        <item x="549"/>
        <item x="571"/>
        <item x="480"/>
        <item x="481"/>
        <item x="482"/>
        <item x="531"/>
        <item x="383"/>
        <item x="387"/>
        <item x="298"/>
        <item x="573"/>
        <item x="575"/>
        <item x="51"/>
        <item x="69"/>
        <item x="49"/>
        <item x="623"/>
        <item x="582"/>
        <item x="577"/>
        <item x="598"/>
        <item x="608"/>
        <item x="603"/>
        <item x="602"/>
        <item x="622"/>
        <item x="215"/>
        <item x="213"/>
        <item x="243"/>
        <item x="615"/>
        <item x="86"/>
        <item x="585"/>
        <item x="586"/>
        <item x="336"/>
        <item x="18"/>
        <item x="587"/>
        <item x="597"/>
        <item x="217"/>
        <item x="599"/>
        <item x="152"/>
        <item x="341"/>
        <item x="255"/>
        <item x="611"/>
        <item x="591"/>
        <item x="299"/>
        <item x="528"/>
        <item x="45"/>
        <item x="350"/>
        <item x="35"/>
        <item x="266"/>
        <item x="151"/>
        <item x="131"/>
        <item x="290"/>
        <item x="470"/>
        <item x="65"/>
        <item x="264"/>
        <item x="211"/>
        <item x="223"/>
        <item x="436"/>
        <item x="127"/>
        <item x="175"/>
        <item x="182"/>
        <item x="295"/>
        <item x="584"/>
        <item x="592"/>
        <item x="578"/>
        <item x="134"/>
        <item x="163"/>
        <item x="380"/>
        <item x="379"/>
        <item x="601"/>
        <item x="90"/>
        <item x="385"/>
        <item x="386"/>
        <item x="605"/>
        <item x="70"/>
        <item x="468"/>
        <item x="613"/>
        <item x="469"/>
        <item x="614"/>
        <item x="178"/>
        <item x="31"/>
        <item x="409"/>
        <item x="2"/>
        <item x="34"/>
        <item x="403"/>
        <item x="406"/>
        <item x="242"/>
        <item x="294"/>
        <item x="237"/>
        <item x="393"/>
        <item x="155"/>
        <item x="394"/>
        <item x="617"/>
        <item x="145"/>
        <item x="395"/>
        <item x="396"/>
        <item x="44"/>
        <item x="58"/>
        <item x="111"/>
        <item x="418"/>
        <item x="419"/>
        <item x="63"/>
        <item x="172"/>
        <item x="186"/>
        <item x="241"/>
        <item x="250"/>
        <item x="306"/>
        <item x="307"/>
        <item x="259"/>
        <item x="435"/>
        <item x="449"/>
        <item x="558"/>
        <item x="568"/>
        <item x="572"/>
        <item x="606"/>
        <item x="322"/>
        <item x="600"/>
        <item x="55"/>
        <item x="40"/>
        <item t="default"/>
      </items>
    </pivotField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pageFields count="3">
    <pageField fld="4" hier="-1"/>
    <pageField fld="5" hier="-1"/>
    <pageField fld="6" hier="-1"/>
  </pageFields>
  <dataFields count="1">
    <dataField name="Anzahl von Z-Programm R/3_x000a_(insgesamt 654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atenschnitt_Übernahme__in_S_4_geplant" xr10:uid="{86B46C76-5636-4F4C-AFBF-C2435F982C8D}" sourceName="Übernahme _x000a_in S/4_x000a_geplant">
  <pivotTables>
    <pivotTable tabId="15" name="PivotTable4"/>
  </pivotTables>
  <data>
    <tabular pivotCacheId="49644327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Übernahme _x000a_in S/4_x000a_geplant" xr10:uid="{B326AB32-55B2-4BCF-9329-16671579D22D}" cache="Datenschnitt_Übernahme__in_S_4_geplant" caption="Übernahme _x000a_in S/4_x000a_geplant" rowHeight="22860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11-01T13:09:53.45" personId="{8EBA9B96-29FE-4C8D-8517-7C321573D7B3}" id="{A3FD767D-018A-41BB-A356-5B69935FA3FA}">
    <text>Nicht zu jedem Programm gibt es eine entsprechende Transaktion</text>
  </threadedComment>
  <threadedComment ref="O1" dT="2023-11-01T12:25:47.94" personId="{8EBA9B96-29FE-4C8D-8517-7C321573D7B3}" id="{596280B7-B7BA-456B-A3D5-451AD6070BA6}">
    <text>Alles was aus den Gaplisten kommt, wurde bereits durchs KDB freigegeben, deshalb Formel: Wenn aus Gapliste, dann Freigabe</text>
  </threadedComment>
  <threadedComment ref="Q1" dT="2023-11-01T12:24:24.26" personId="{8EBA9B96-29FE-4C8D-8517-7C321573D7B3}" id="{6F406BA4-BAF7-47F1-8BF3-5380A91592E9}">
    <text>Bewertung der Übernahme aus den entsprechenden Listen - falls vorhanden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7FCC-E7DE-4433-849B-09583EF953AA}">
  <sheetPr codeName="Tabelle1" filterMode="1">
    <tabColor rgb="FF92D050"/>
  </sheetPr>
  <dimension ref="A1:J1048576"/>
  <sheetViews>
    <sheetView tabSelected="1" zoomScale="106" zoomScaleNormal="106" workbookViewId="0"/>
  </sheetViews>
  <sheetFormatPr defaultColWidth="11.42578125" defaultRowHeight="15"/>
  <cols>
    <col min="1" max="1" width="46" style="3" bestFit="1" customWidth="1"/>
    <col min="2" max="2" width="15.140625" style="57" customWidth="1"/>
    <col min="3" max="3" width="16" style="4" customWidth="1"/>
    <col min="4" max="7" width="11.42578125" style="4" customWidth="1"/>
    <col min="8" max="8" width="11.42578125" style="4" hidden="1" customWidth="1"/>
    <col min="9" max="9" width="11.42578125" style="4" customWidth="1"/>
    <col min="10" max="10" width="44.85546875" style="3" customWidth="1"/>
    <col min="11" max="16384" width="11.42578125" style="3"/>
  </cols>
  <sheetData>
    <row r="1" spans="1:10" s="2" customFormat="1" ht="45">
      <c r="A1" s="65" t="s">
        <v>0</v>
      </c>
      <c r="B1" s="65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7" t="s">
        <v>9</v>
      </c>
    </row>
    <row r="2" spans="1:10" s="17" customFormat="1" hidden="1">
      <c r="A2" s="62" t="s">
        <v>10</v>
      </c>
      <c r="B2" s="63" t="s">
        <v>11</v>
      </c>
      <c r="C2" s="63" t="s">
        <v>11</v>
      </c>
      <c r="D2" s="61"/>
      <c r="E2" s="61"/>
      <c r="F2" s="61"/>
      <c r="G2" s="61"/>
      <c r="H2" s="61"/>
      <c r="I2" s="61"/>
      <c r="J2" s="62" t="s">
        <v>12</v>
      </c>
    </row>
    <row r="3" spans="1:10" s="17" customFormat="1" hidden="1">
      <c r="A3" s="62" t="s">
        <v>13</v>
      </c>
      <c r="B3" s="63" t="s">
        <v>11</v>
      </c>
      <c r="C3" s="61" t="s">
        <v>14</v>
      </c>
      <c r="D3" s="61"/>
      <c r="E3" s="61"/>
      <c r="F3" s="61" t="s">
        <v>11</v>
      </c>
      <c r="G3" s="61" t="s">
        <v>14</v>
      </c>
      <c r="H3" s="61"/>
      <c r="I3" s="61"/>
      <c r="J3" s="62" t="s">
        <v>15</v>
      </c>
    </row>
    <row r="4" spans="1:10" s="17" customFormat="1" hidden="1">
      <c r="A4" s="62" t="s">
        <v>16</v>
      </c>
      <c r="B4" s="63" t="s">
        <v>11</v>
      </c>
      <c r="C4" s="63" t="s">
        <v>11</v>
      </c>
      <c r="D4" s="61"/>
      <c r="E4" s="61"/>
      <c r="F4" s="61"/>
      <c r="G4" s="61"/>
      <c r="H4" s="61"/>
      <c r="I4" s="61"/>
      <c r="J4" s="62" t="s">
        <v>17</v>
      </c>
    </row>
    <row r="5" spans="1:10" s="17" customFormat="1" hidden="1">
      <c r="A5" s="62" t="s">
        <v>18</v>
      </c>
      <c r="B5" s="63" t="s">
        <v>11</v>
      </c>
      <c r="C5" s="63" t="s">
        <v>11</v>
      </c>
      <c r="D5" s="61"/>
      <c r="E5" s="61"/>
      <c r="F5" s="61"/>
      <c r="G5" s="61"/>
      <c r="H5" s="61"/>
      <c r="I5" s="61"/>
      <c r="J5" s="62" t="s">
        <v>19</v>
      </c>
    </row>
    <row r="6" spans="1:10" s="17" customFormat="1" hidden="1">
      <c r="A6" s="62" t="s">
        <v>20</v>
      </c>
      <c r="B6" s="63" t="s">
        <v>11</v>
      </c>
      <c r="C6" s="61" t="s">
        <v>14</v>
      </c>
      <c r="D6" s="61"/>
      <c r="E6" s="61"/>
      <c r="F6" s="61" t="s">
        <v>21</v>
      </c>
      <c r="G6" s="61" t="s">
        <v>14</v>
      </c>
      <c r="H6" s="61"/>
      <c r="I6" s="61"/>
      <c r="J6" s="62" t="s">
        <v>22</v>
      </c>
    </row>
    <row r="7" spans="1:10" s="17" customFormat="1" hidden="1">
      <c r="A7" s="62" t="s">
        <v>23</v>
      </c>
      <c r="B7" s="63" t="s">
        <v>11</v>
      </c>
      <c r="C7" s="61" t="s">
        <v>14</v>
      </c>
      <c r="D7" s="61"/>
      <c r="E7" s="61"/>
      <c r="F7" s="61" t="s">
        <v>21</v>
      </c>
      <c r="G7" s="61" t="s">
        <v>14</v>
      </c>
      <c r="H7" s="61"/>
      <c r="I7" s="61"/>
      <c r="J7" s="62" t="s">
        <v>24</v>
      </c>
    </row>
    <row r="8" spans="1:10" s="17" customFormat="1" hidden="1">
      <c r="A8" s="62" t="s">
        <v>25</v>
      </c>
      <c r="B8" s="63" t="s">
        <v>11</v>
      </c>
      <c r="C8" s="61" t="s">
        <v>14</v>
      </c>
      <c r="D8" s="61"/>
      <c r="E8" s="61"/>
      <c r="F8" s="61" t="s">
        <v>21</v>
      </c>
      <c r="G8" s="61" t="s">
        <v>14</v>
      </c>
      <c r="H8" s="61"/>
      <c r="I8" s="61"/>
      <c r="J8" s="62" t="s">
        <v>26</v>
      </c>
    </row>
    <row r="9" spans="1:10" s="17" customFormat="1" hidden="1">
      <c r="A9" s="62" t="s">
        <v>27</v>
      </c>
      <c r="B9" s="63" t="s">
        <v>11</v>
      </c>
      <c r="C9" s="63" t="s">
        <v>11</v>
      </c>
      <c r="D9" s="61"/>
      <c r="E9" s="61"/>
      <c r="F9" s="61"/>
      <c r="G9" s="61"/>
      <c r="H9" s="61"/>
      <c r="I9" s="61"/>
      <c r="J9" s="62" t="s">
        <v>28</v>
      </c>
    </row>
    <row r="10" spans="1:10" s="17" customFormat="1" hidden="1">
      <c r="A10" s="62" t="s">
        <v>29</v>
      </c>
      <c r="B10" s="63" t="s">
        <v>11</v>
      </c>
      <c r="C10" s="63" t="s">
        <v>11</v>
      </c>
      <c r="D10" s="61"/>
      <c r="E10" s="61"/>
      <c r="F10" s="61"/>
      <c r="G10" s="61"/>
      <c r="H10" s="61"/>
      <c r="I10" s="61"/>
      <c r="J10" s="62" t="s">
        <v>30</v>
      </c>
    </row>
    <row r="11" spans="1:10" s="17" customFormat="1" hidden="1">
      <c r="A11" s="62" t="s">
        <v>31</v>
      </c>
      <c r="B11" s="63" t="s">
        <v>11</v>
      </c>
      <c r="C11" s="63" t="s">
        <v>11</v>
      </c>
      <c r="D11" s="61"/>
      <c r="E11" s="61"/>
      <c r="F11" s="61"/>
      <c r="G11" s="61"/>
      <c r="H11" s="61"/>
      <c r="I11" s="61"/>
      <c r="J11" s="62" t="s">
        <v>32</v>
      </c>
    </row>
    <row r="12" spans="1:10" s="17" customFormat="1" hidden="1">
      <c r="A12" s="62" t="s">
        <v>33</v>
      </c>
      <c r="B12" s="63" t="s">
        <v>11</v>
      </c>
      <c r="C12" s="63" t="s">
        <v>11</v>
      </c>
      <c r="D12" s="61"/>
      <c r="E12" s="61"/>
      <c r="F12" s="61"/>
      <c r="G12" s="61"/>
      <c r="H12" s="61"/>
      <c r="I12" s="61"/>
      <c r="J12" s="62" t="s">
        <v>34</v>
      </c>
    </row>
    <row r="13" spans="1:10" s="17" customFormat="1" hidden="1">
      <c r="A13" s="62" t="s">
        <v>35</v>
      </c>
      <c r="B13" s="63" t="s">
        <v>11</v>
      </c>
      <c r="C13" s="63" t="s">
        <v>11</v>
      </c>
      <c r="D13" s="61"/>
      <c r="E13" s="61"/>
      <c r="F13" s="61"/>
      <c r="G13" s="61"/>
      <c r="H13" s="61"/>
      <c r="I13" s="61"/>
      <c r="J13" s="62" t="s">
        <v>36</v>
      </c>
    </row>
    <row r="14" spans="1:10" s="17" customFormat="1" hidden="1">
      <c r="A14" s="62" t="s">
        <v>37</v>
      </c>
      <c r="B14" s="63" t="s">
        <v>11</v>
      </c>
      <c r="C14" s="63" t="s">
        <v>11</v>
      </c>
      <c r="D14" s="61"/>
      <c r="E14" s="61"/>
      <c r="F14" s="61"/>
      <c r="G14" s="61"/>
      <c r="H14" s="61"/>
      <c r="I14" s="61"/>
      <c r="J14" s="62" t="s">
        <v>36</v>
      </c>
    </row>
    <row r="15" spans="1:10" s="17" customFormat="1" hidden="1">
      <c r="A15" s="62" t="s">
        <v>38</v>
      </c>
      <c r="B15" s="63" t="s">
        <v>11</v>
      </c>
      <c r="C15" s="63" t="s">
        <v>11</v>
      </c>
      <c r="D15" s="61"/>
      <c r="E15" s="61"/>
      <c r="F15" s="61"/>
      <c r="G15" s="61"/>
      <c r="H15" s="61"/>
      <c r="I15" s="61"/>
      <c r="J15" s="62" t="s">
        <v>39</v>
      </c>
    </row>
    <row r="16" spans="1:10" s="17" customFormat="1" hidden="1">
      <c r="A16" s="62" t="s">
        <v>40</v>
      </c>
      <c r="B16" s="63" t="s">
        <v>11</v>
      </c>
      <c r="C16" s="63" t="s">
        <v>11</v>
      </c>
      <c r="D16" s="61" t="s">
        <v>41</v>
      </c>
      <c r="E16" s="61"/>
      <c r="F16" s="61"/>
      <c r="G16" s="61"/>
      <c r="H16" s="61"/>
      <c r="I16" s="61"/>
      <c r="J16" s="62" t="s">
        <v>42</v>
      </c>
    </row>
    <row r="17" spans="1:10" s="17" customFormat="1" hidden="1">
      <c r="A17" s="62" t="s">
        <v>43</v>
      </c>
      <c r="B17" s="63" t="s">
        <v>11</v>
      </c>
      <c r="C17" s="63" t="s">
        <v>11</v>
      </c>
      <c r="D17" s="61" t="s">
        <v>41</v>
      </c>
      <c r="E17" s="61"/>
      <c r="F17" s="61"/>
      <c r="G17" s="61"/>
      <c r="H17" s="61"/>
      <c r="I17" s="61"/>
      <c r="J17" s="62" t="s">
        <v>44</v>
      </c>
    </row>
    <row r="18" spans="1:10" s="17" customFormat="1" hidden="1">
      <c r="A18" s="62" t="s">
        <v>45</v>
      </c>
      <c r="B18" s="63" t="s">
        <v>11</v>
      </c>
      <c r="C18" s="63" t="s">
        <v>11</v>
      </c>
      <c r="D18" s="61"/>
      <c r="E18" s="61"/>
      <c r="F18" s="61"/>
      <c r="G18" s="61"/>
      <c r="H18" s="61"/>
      <c r="I18" s="61"/>
      <c r="J18" s="62" t="s">
        <v>46</v>
      </c>
    </row>
    <row r="19" spans="1:10" s="17" customFormat="1" hidden="1">
      <c r="A19" s="62" t="s">
        <v>47</v>
      </c>
      <c r="B19" s="63" t="s">
        <v>11</v>
      </c>
      <c r="C19" s="63" t="s">
        <v>11</v>
      </c>
      <c r="D19" s="61"/>
      <c r="E19" s="61"/>
      <c r="F19" s="61"/>
      <c r="G19" s="61"/>
      <c r="H19" s="61"/>
      <c r="I19" s="61"/>
      <c r="J19" s="62" t="s">
        <v>48</v>
      </c>
    </row>
    <row r="20" spans="1:10" s="17" customFormat="1" hidden="1">
      <c r="A20" s="62" t="s">
        <v>49</v>
      </c>
      <c r="B20" s="63" t="s">
        <v>11</v>
      </c>
      <c r="C20" s="63" t="s">
        <v>11</v>
      </c>
      <c r="D20" s="61" t="s">
        <v>41</v>
      </c>
      <c r="E20" s="61"/>
      <c r="F20" s="61"/>
      <c r="G20" s="61"/>
      <c r="H20" s="61"/>
      <c r="I20" s="61"/>
      <c r="J20" s="62" t="s">
        <v>50</v>
      </c>
    </row>
    <row r="21" spans="1:10" s="17" customFormat="1">
      <c r="A21" s="62" t="s">
        <v>51</v>
      </c>
      <c r="B21" s="63" t="s">
        <v>14</v>
      </c>
      <c r="C21" s="63" t="s">
        <v>14</v>
      </c>
      <c r="D21" s="61" t="s">
        <v>52</v>
      </c>
      <c r="E21" s="61" t="s">
        <v>14</v>
      </c>
      <c r="F21" s="61"/>
      <c r="G21" s="61"/>
      <c r="H21" s="61"/>
      <c r="I21" s="61"/>
      <c r="J21" s="62" t="s">
        <v>53</v>
      </c>
    </row>
    <row r="22" spans="1:10" s="17" customFormat="1" hidden="1">
      <c r="A22" s="62" t="s">
        <v>54</v>
      </c>
      <c r="B22" s="63" t="s">
        <v>11</v>
      </c>
      <c r="C22" s="61" t="s">
        <v>11</v>
      </c>
      <c r="D22" s="61"/>
      <c r="E22" s="61"/>
      <c r="F22" s="61"/>
      <c r="G22" s="61"/>
      <c r="H22" s="61"/>
      <c r="I22" s="61"/>
      <c r="J22" s="62" t="s">
        <v>55</v>
      </c>
    </row>
    <row r="23" spans="1:10" s="17" customFormat="1" hidden="1">
      <c r="A23" s="62" t="s">
        <v>56</v>
      </c>
      <c r="B23" s="63" t="s">
        <v>11</v>
      </c>
      <c r="C23" s="61" t="s">
        <v>11</v>
      </c>
      <c r="D23" s="61"/>
      <c r="E23" s="61"/>
      <c r="F23" s="61"/>
      <c r="G23" s="61"/>
      <c r="H23" s="61"/>
      <c r="I23" s="61"/>
      <c r="J23" s="62" t="s">
        <v>57</v>
      </c>
    </row>
    <row r="24" spans="1:10" s="17" customFormat="1" hidden="1">
      <c r="A24" s="62" t="s">
        <v>58</v>
      </c>
      <c r="B24" s="63" t="s">
        <v>11</v>
      </c>
      <c r="C24" s="61" t="s">
        <v>14</v>
      </c>
      <c r="D24" s="61"/>
      <c r="E24" s="61"/>
      <c r="F24" s="61" t="s">
        <v>14</v>
      </c>
      <c r="G24" s="61" t="s">
        <v>11</v>
      </c>
      <c r="H24" s="61"/>
      <c r="I24" s="61"/>
      <c r="J24" s="62" t="s">
        <v>59</v>
      </c>
    </row>
    <row r="25" spans="1:10" s="17" customFormat="1" hidden="1">
      <c r="A25" s="62" t="s">
        <v>60</v>
      </c>
      <c r="B25" s="63" t="s">
        <v>11</v>
      </c>
      <c r="C25" s="61" t="s">
        <v>14</v>
      </c>
      <c r="D25" s="61"/>
      <c r="E25" s="61"/>
      <c r="F25" s="61" t="s">
        <v>14</v>
      </c>
      <c r="G25" s="61" t="s">
        <v>11</v>
      </c>
      <c r="H25" s="61"/>
      <c r="I25" s="61"/>
      <c r="J25" s="62" t="s">
        <v>61</v>
      </c>
    </row>
    <row r="26" spans="1:10" s="17" customFormat="1" hidden="1">
      <c r="A26" s="62" t="s">
        <v>62</v>
      </c>
      <c r="B26" s="63" t="s">
        <v>11</v>
      </c>
      <c r="C26" s="61" t="s">
        <v>14</v>
      </c>
      <c r="D26" s="61"/>
      <c r="E26" s="61"/>
      <c r="F26" s="61" t="s">
        <v>14</v>
      </c>
      <c r="G26" s="61" t="s">
        <v>11</v>
      </c>
      <c r="H26" s="61"/>
      <c r="I26" s="61"/>
      <c r="J26" s="62" t="s">
        <v>63</v>
      </c>
    </row>
    <row r="27" spans="1:10" s="17" customFormat="1" hidden="1">
      <c r="A27" s="62" t="s">
        <v>64</v>
      </c>
      <c r="B27" s="63" t="s">
        <v>11</v>
      </c>
      <c r="C27" s="61" t="s">
        <v>14</v>
      </c>
      <c r="D27" s="61"/>
      <c r="E27" s="61"/>
      <c r="F27" s="61" t="s">
        <v>14</v>
      </c>
      <c r="G27" s="61" t="s">
        <v>11</v>
      </c>
      <c r="H27" s="61"/>
      <c r="I27" s="61"/>
      <c r="J27" s="62" t="s">
        <v>65</v>
      </c>
    </row>
    <row r="28" spans="1:10" s="17" customFormat="1" hidden="1">
      <c r="A28" s="62" t="s">
        <v>66</v>
      </c>
      <c r="B28" s="63" t="s">
        <v>11</v>
      </c>
      <c r="C28" s="61" t="s">
        <v>14</v>
      </c>
      <c r="D28" s="61"/>
      <c r="E28" s="61"/>
      <c r="F28" s="61" t="s">
        <v>14</v>
      </c>
      <c r="G28" s="61" t="s">
        <v>11</v>
      </c>
      <c r="H28" s="61"/>
      <c r="I28" s="61"/>
      <c r="J28" s="62" t="s">
        <v>67</v>
      </c>
    </row>
    <row r="29" spans="1:10" s="17" customFormat="1" hidden="1">
      <c r="A29" s="62" t="s">
        <v>68</v>
      </c>
      <c r="B29" s="63" t="s">
        <v>11</v>
      </c>
      <c r="C29" s="61" t="s">
        <v>14</v>
      </c>
      <c r="D29" s="61"/>
      <c r="E29" s="61"/>
      <c r="F29" s="61" t="s">
        <v>14</v>
      </c>
      <c r="G29" s="61" t="s">
        <v>11</v>
      </c>
      <c r="H29" s="61"/>
      <c r="I29" s="61"/>
      <c r="J29" s="62" t="s">
        <v>69</v>
      </c>
    </row>
    <row r="30" spans="1:10" s="17" customFormat="1" hidden="1">
      <c r="A30" s="62" t="s">
        <v>70</v>
      </c>
      <c r="B30" s="63" t="s">
        <v>11</v>
      </c>
      <c r="C30" s="61" t="s">
        <v>14</v>
      </c>
      <c r="D30" s="61"/>
      <c r="E30" s="61"/>
      <c r="F30" s="61" t="s">
        <v>14</v>
      </c>
      <c r="G30" s="61" t="s">
        <v>11</v>
      </c>
      <c r="H30" s="61"/>
      <c r="I30" s="61"/>
      <c r="J30" s="62" t="s">
        <v>71</v>
      </c>
    </row>
    <row r="31" spans="1:10" s="17" customFormat="1" hidden="1">
      <c r="A31" s="62" t="s">
        <v>72</v>
      </c>
      <c r="B31" s="63" t="s">
        <v>11</v>
      </c>
      <c r="C31" s="61" t="s">
        <v>11</v>
      </c>
      <c r="D31" s="61"/>
      <c r="E31" s="61"/>
      <c r="F31" s="61"/>
      <c r="G31" s="61"/>
      <c r="H31" s="61"/>
      <c r="I31" s="61"/>
      <c r="J31" s="62" t="s">
        <v>73</v>
      </c>
    </row>
    <row r="32" spans="1:10" s="17" customFormat="1" hidden="1">
      <c r="A32" s="62" t="s">
        <v>74</v>
      </c>
      <c r="B32" s="63" t="s">
        <v>11</v>
      </c>
      <c r="C32" s="63" t="s">
        <v>11</v>
      </c>
      <c r="D32" s="61"/>
      <c r="E32" s="61"/>
      <c r="F32" s="61"/>
      <c r="G32" s="61"/>
      <c r="H32" s="61"/>
      <c r="I32" s="61"/>
      <c r="J32" s="62" t="s">
        <v>75</v>
      </c>
    </row>
    <row r="33" spans="1:10" s="17" customFormat="1" hidden="1">
      <c r="A33" s="62" t="s">
        <v>76</v>
      </c>
      <c r="B33" s="63" t="s">
        <v>11</v>
      </c>
      <c r="C33" s="61" t="s">
        <v>14</v>
      </c>
      <c r="D33" s="61"/>
      <c r="E33" s="61"/>
      <c r="F33" s="61" t="s">
        <v>14</v>
      </c>
      <c r="G33" s="61" t="s">
        <v>11</v>
      </c>
      <c r="H33" s="61"/>
      <c r="I33" s="61"/>
      <c r="J33" s="62" t="s">
        <v>77</v>
      </c>
    </row>
    <row r="34" spans="1:10" s="17" customFormat="1" hidden="1">
      <c r="A34" s="62" t="s">
        <v>78</v>
      </c>
      <c r="B34" s="63" t="s">
        <v>11</v>
      </c>
      <c r="C34" s="61" t="s">
        <v>14</v>
      </c>
      <c r="D34" s="61"/>
      <c r="E34" s="61"/>
      <c r="F34" s="61" t="s">
        <v>14</v>
      </c>
      <c r="G34" s="61" t="s">
        <v>11</v>
      </c>
      <c r="H34" s="61"/>
      <c r="I34" s="61"/>
      <c r="J34" s="62" t="s">
        <v>79</v>
      </c>
    </row>
    <row r="35" spans="1:10" s="17" customFormat="1">
      <c r="A35" s="62" t="s">
        <v>80</v>
      </c>
      <c r="B35" s="63" t="s">
        <v>14</v>
      </c>
      <c r="C35" s="63" t="s">
        <v>14</v>
      </c>
      <c r="D35" s="61"/>
      <c r="E35" s="61" t="s">
        <v>14</v>
      </c>
      <c r="F35" s="61"/>
      <c r="G35" s="61"/>
      <c r="H35" s="61"/>
      <c r="I35" s="61"/>
      <c r="J35" s="62" t="s">
        <v>81</v>
      </c>
    </row>
    <row r="36" spans="1:10" s="17" customFormat="1" hidden="1">
      <c r="A36" s="62" t="s">
        <v>82</v>
      </c>
      <c r="B36" s="63" t="s">
        <v>11</v>
      </c>
      <c r="C36" s="61" t="s">
        <v>11</v>
      </c>
      <c r="D36" s="61"/>
      <c r="E36" s="61"/>
      <c r="F36" s="61"/>
      <c r="G36" s="61"/>
      <c r="H36" s="61"/>
      <c r="I36" s="61"/>
      <c r="J36" s="62" t="s">
        <v>83</v>
      </c>
    </row>
    <row r="37" spans="1:10" s="17" customFormat="1" hidden="1">
      <c r="A37" s="62" t="s">
        <v>84</v>
      </c>
      <c r="B37" s="63" t="s">
        <v>11</v>
      </c>
      <c r="C37" s="61" t="s">
        <v>85</v>
      </c>
      <c r="D37" s="61"/>
      <c r="E37" s="61"/>
      <c r="F37" s="61" t="s">
        <v>86</v>
      </c>
      <c r="G37" s="61" t="s">
        <v>86</v>
      </c>
      <c r="H37" s="61"/>
      <c r="I37" s="61" t="s">
        <v>87</v>
      </c>
      <c r="J37" s="62" t="s">
        <v>88</v>
      </c>
    </row>
    <row r="38" spans="1:10" s="17" customFormat="1" hidden="1">
      <c r="A38" s="62" t="s">
        <v>89</v>
      </c>
      <c r="B38" s="63" t="s">
        <v>11</v>
      </c>
      <c r="C38" s="61" t="s">
        <v>85</v>
      </c>
      <c r="D38" s="61"/>
      <c r="E38" s="61"/>
      <c r="F38" s="61" t="s">
        <v>86</v>
      </c>
      <c r="G38" s="61" t="s">
        <v>86</v>
      </c>
      <c r="H38" s="61"/>
      <c r="I38" s="61" t="s">
        <v>87</v>
      </c>
      <c r="J38" s="62" t="s">
        <v>90</v>
      </c>
    </row>
    <row r="39" spans="1:10" s="17" customFormat="1">
      <c r="A39" s="62" t="s">
        <v>91</v>
      </c>
      <c r="B39" s="63" t="s">
        <v>14</v>
      </c>
      <c r="C39" s="61" t="s">
        <v>14</v>
      </c>
      <c r="D39" s="61"/>
      <c r="E39" s="61" t="s">
        <v>14</v>
      </c>
      <c r="F39" s="61"/>
      <c r="G39" s="61"/>
      <c r="H39" s="61"/>
      <c r="I39" s="61"/>
      <c r="J39" s="62" t="s">
        <v>92</v>
      </c>
    </row>
    <row r="40" spans="1:10" s="17" customFormat="1">
      <c r="A40" s="62" t="s">
        <v>93</v>
      </c>
      <c r="B40" s="63" t="s">
        <v>14</v>
      </c>
      <c r="C40" s="61" t="s">
        <v>14</v>
      </c>
      <c r="D40" s="61"/>
      <c r="E40" s="61" t="s">
        <v>14</v>
      </c>
      <c r="F40" s="61"/>
      <c r="G40" s="61"/>
      <c r="H40" s="61"/>
      <c r="I40" s="61"/>
      <c r="J40" s="62" t="s">
        <v>94</v>
      </c>
    </row>
    <row r="41" spans="1:10" s="17" customFormat="1" hidden="1">
      <c r="A41" s="62" t="s">
        <v>95</v>
      </c>
      <c r="B41" s="63" t="s">
        <v>11</v>
      </c>
      <c r="C41" s="61" t="s">
        <v>11</v>
      </c>
      <c r="D41" s="61"/>
      <c r="E41" s="61"/>
      <c r="F41" s="61"/>
      <c r="G41" s="61"/>
      <c r="H41" s="61"/>
      <c r="I41" s="61"/>
      <c r="J41" s="62" t="s">
        <v>96</v>
      </c>
    </row>
    <row r="42" spans="1:10" s="17" customFormat="1">
      <c r="A42" s="62" t="s">
        <v>97</v>
      </c>
      <c r="B42" s="63" t="s">
        <v>14</v>
      </c>
      <c r="C42" s="61" t="s">
        <v>14</v>
      </c>
      <c r="D42" s="61"/>
      <c r="E42" s="61" t="s">
        <v>14</v>
      </c>
      <c r="F42" s="61"/>
      <c r="G42" s="61"/>
      <c r="H42" s="61"/>
      <c r="I42" s="61"/>
      <c r="J42" s="62" t="s">
        <v>98</v>
      </c>
    </row>
    <row r="43" spans="1:10" s="17" customFormat="1" hidden="1">
      <c r="A43" s="62" t="s">
        <v>99</v>
      </c>
      <c r="B43" s="63" t="s">
        <v>11</v>
      </c>
      <c r="C43" s="61" t="s">
        <v>11</v>
      </c>
      <c r="D43" s="61"/>
      <c r="E43" s="61"/>
      <c r="F43" s="61"/>
      <c r="G43" s="61"/>
      <c r="H43" s="61"/>
      <c r="I43" s="61"/>
      <c r="J43" s="62"/>
    </row>
    <row r="44" spans="1:10" s="17" customFormat="1" hidden="1">
      <c r="A44" s="62" t="s">
        <v>100</v>
      </c>
      <c r="B44" s="63" t="s">
        <v>11</v>
      </c>
      <c r="C44" s="61" t="s">
        <v>11</v>
      </c>
      <c r="D44" s="61"/>
      <c r="E44" s="61"/>
      <c r="F44" s="61"/>
      <c r="G44" s="61"/>
      <c r="H44" s="61"/>
      <c r="I44" s="61"/>
      <c r="J44" s="62" t="s">
        <v>101</v>
      </c>
    </row>
    <row r="45" spans="1:10" s="17" customFormat="1" hidden="1">
      <c r="A45" s="62" t="s">
        <v>102</v>
      </c>
      <c r="B45" s="63" t="s">
        <v>11</v>
      </c>
      <c r="C45" s="61" t="s">
        <v>11</v>
      </c>
      <c r="D45" s="61"/>
      <c r="E45" s="61"/>
      <c r="F45" s="61"/>
      <c r="G45" s="61"/>
      <c r="H45" s="61"/>
      <c r="I45" s="61"/>
      <c r="J45" s="62" t="s">
        <v>103</v>
      </c>
    </row>
    <row r="46" spans="1:10" s="17" customFormat="1" hidden="1">
      <c r="A46" s="62" t="s">
        <v>104</v>
      </c>
      <c r="B46" s="63" t="s">
        <v>11</v>
      </c>
      <c r="C46" s="61" t="s">
        <v>11</v>
      </c>
      <c r="D46" s="61"/>
      <c r="E46" s="61"/>
      <c r="F46" s="61"/>
      <c r="G46" s="61"/>
      <c r="H46" s="62"/>
      <c r="I46" s="61" t="s">
        <v>105</v>
      </c>
      <c r="J46" s="17" t="s">
        <v>106</v>
      </c>
    </row>
    <row r="47" spans="1:10" s="17" customFormat="1" hidden="1">
      <c r="A47" s="62" t="s">
        <v>107</v>
      </c>
      <c r="B47" s="63" t="s">
        <v>11</v>
      </c>
      <c r="C47" s="63" t="s">
        <v>11</v>
      </c>
      <c r="D47" s="61"/>
      <c r="E47" s="61"/>
      <c r="F47" s="61"/>
      <c r="G47" s="61"/>
      <c r="H47" s="61"/>
      <c r="I47" s="61"/>
      <c r="J47" s="62" t="s">
        <v>107</v>
      </c>
    </row>
    <row r="48" spans="1:10" s="17" customFormat="1" hidden="1">
      <c r="A48" s="62" t="s">
        <v>108</v>
      </c>
      <c r="B48" s="63" t="s">
        <v>11</v>
      </c>
      <c r="C48" s="61" t="s">
        <v>14</v>
      </c>
      <c r="D48" s="61"/>
      <c r="E48" s="61"/>
      <c r="F48" s="61" t="s">
        <v>14</v>
      </c>
      <c r="G48" s="61" t="s">
        <v>86</v>
      </c>
      <c r="I48" s="61" t="s">
        <v>109</v>
      </c>
      <c r="J48" s="17" t="s">
        <v>110</v>
      </c>
    </row>
    <row r="49" spans="1:10" s="17" customFormat="1" hidden="1">
      <c r="A49" s="62" t="s">
        <v>111</v>
      </c>
      <c r="B49" s="63" t="s">
        <v>11</v>
      </c>
      <c r="C49" s="61" t="s">
        <v>11</v>
      </c>
      <c r="D49" s="61"/>
      <c r="E49" s="61"/>
      <c r="F49" s="61"/>
      <c r="G49" s="61"/>
      <c r="H49" s="61"/>
      <c r="I49" s="61"/>
      <c r="J49" s="62" t="s">
        <v>112</v>
      </c>
    </row>
    <row r="50" spans="1:10" s="17" customFormat="1">
      <c r="A50" s="62" t="s">
        <v>113</v>
      </c>
      <c r="B50" s="63" t="s">
        <v>14</v>
      </c>
      <c r="C50" s="63" t="s">
        <v>14</v>
      </c>
      <c r="D50" s="61" t="s">
        <v>114</v>
      </c>
      <c r="E50" s="61" t="s">
        <v>14</v>
      </c>
      <c r="F50" s="61"/>
      <c r="G50" s="61"/>
      <c r="H50" s="61"/>
      <c r="I50" s="61"/>
      <c r="J50" s="62" t="s">
        <v>115</v>
      </c>
    </row>
    <row r="51" spans="1:10" s="17" customFormat="1">
      <c r="A51" s="62" t="s">
        <v>116</v>
      </c>
      <c r="B51" s="63" t="s">
        <v>14</v>
      </c>
      <c r="C51" s="61" t="s">
        <v>14</v>
      </c>
      <c r="D51" s="61"/>
      <c r="E51" s="61" t="s">
        <v>14</v>
      </c>
      <c r="F51" s="61"/>
      <c r="G51" s="61"/>
      <c r="H51" s="61"/>
      <c r="I51" s="61"/>
      <c r="J51" s="62" t="s">
        <v>117</v>
      </c>
    </row>
    <row r="52" spans="1:10" s="17" customFormat="1" hidden="1">
      <c r="A52" s="62" t="s">
        <v>118</v>
      </c>
      <c r="B52" s="63" t="s">
        <v>11</v>
      </c>
      <c r="C52" s="61" t="s">
        <v>11</v>
      </c>
      <c r="D52" s="61"/>
      <c r="E52" s="61"/>
      <c r="F52" s="61"/>
      <c r="G52" s="61"/>
      <c r="I52" s="61" t="s">
        <v>105</v>
      </c>
      <c r="J52" s="17" t="s">
        <v>119</v>
      </c>
    </row>
    <row r="53" spans="1:10" s="17" customFormat="1" hidden="1">
      <c r="A53" s="62" t="s">
        <v>120</v>
      </c>
      <c r="B53" s="63" t="s">
        <v>11</v>
      </c>
      <c r="C53" s="61" t="s">
        <v>85</v>
      </c>
      <c r="D53" s="61"/>
      <c r="E53" s="61"/>
      <c r="F53" s="61" t="s">
        <v>86</v>
      </c>
      <c r="G53" s="61" t="s">
        <v>86</v>
      </c>
      <c r="I53" s="61" t="s">
        <v>121</v>
      </c>
      <c r="J53" s="17" t="s">
        <v>122</v>
      </c>
    </row>
    <row r="54" spans="1:10" s="17" customFormat="1">
      <c r="A54" s="62" t="s">
        <v>123</v>
      </c>
      <c r="B54" s="63" t="s">
        <v>11</v>
      </c>
      <c r="C54" s="63" t="s">
        <v>14</v>
      </c>
      <c r="D54" s="61" t="s">
        <v>114</v>
      </c>
      <c r="E54" s="61" t="s">
        <v>14</v>
      </c>
      <c r="F54" s="61"/>
      <c r="G54" s="61"/>
      <c r="H54" s="61"/>
      <c r="I54" s="61"/>
      <c r="J54" s="62" t="s">
        <v>124</v>
      </c>
    </row>
    <row r="55" spans="1:10" s="17" customFormat="1">
      <c r="A55" s="62" t="s">
        <v>125</v>
      </c>
      <c r="B55" s="63" t="s">
        <v>14</v>
      </c>
      <c r="C55" s="61" t="s">
        <v>14</v>
      </c>
      <c r="D55" s="61"/>
      <c r="E55" s="61" t="s">
        <v>14</v>
      </c>
      <c r="F55" s="61"/>
      <c r="G55" s="61"/>
      <c r="H55" s="61"/>
      <c r="I55" s="61"/>
      <c r="J55" s="62" t="s">
        <v>126</v>
      </c>
    </row>
    <row r="56" spans="1:10" s="17" customFormat="1" hidden="1">
      <c r="A56" s="62" t="s">
        <v>127</v>
      </c>
      <c r="B56" s="63" t="s">
        <v>11</v>
      </c>
      <c r="C56" s="61" t="s">
        <v>11</v>
      </c>
      <c r="D56" s="61"/>
      <c r="E56" s="61"/>
      <c r="F56" s="61"/>
      <c r="G56" s="61"/>
      <c r="H56" s="61"/>
      <c r="I56" s="61"/>
      <c r="J56" s="62" t="s">
        <v>128</v>
      </c>
    </row>
    <row r="57" spans="1:10" s="17" customFormat="1">
      <c r="A57" s="62" t="s">
        <v>129</v>
      </c>
      <c r="B57" s="63" t="s">
        <v>14</v>
      </c>
      <c r="C57" s="61" t="s">
        <v>14</v>
      </c>
      <c r="D57" s="61"/>
      <c r="E57" s="61" t="s">
        <v>14</v>
      </c>
      <c r="F57" s="61"/>
      <c r="G57" s="61"/>
      <c r="H57" s="61"/>
      <c r="I57" s="61"/>
      <c r="J57" s="62" t="s">
        <v>130</v>
      </c>
    </row>
    <row r="58" spans="1:10" s="17" customFormat="1">
      <c r="A58" s="62" t="s">
        <v>131</v>
      </c>
      <c r="B58" s="63" t="s">
        <v>14</v>
      </c>
      <c r="C58" s="61" t="s">
        <v>14</v>
      </c>
      <c r="D58" s="61"/>
      <c r="E58" s="61" t="s">
        <v>14</v>
      </c>
      <c r="F58" s="61"/>
      <c r="G58" s="61"/>
      <c r="H58" s="61"/>
      <c r="I58" s="61"/>
      <c r="J58" s="62" t="s">
        <v>132</v>
      </c>
    </row>
    <row r="59" spans="1:10" s="17" customFormat="1" hidden="1">
      <c r="A59" s="62" t="s">
        <v>133</v>
      </c>
      <c r="B59" s="63" t="s">
        <v>11</v>
      </c>
      <c r="C59" s="61" t="s">
        <v>14</v>
      </c>
      <c r="D59" s="61"/>
      <c r="E59" s="61"/>
      <c r="F59" s="61" t="s">
        <v>14</v>
      </c>
      <c r="G59" s="61" t="s">
        <v>11</v>
      </c>
      <c r="H59" s="61"/>
      <c r="I59" s="61"/>
      <c r="J59" s="62" t="s">
        <v>134</v>
      </c>
    </row>
    <row r="60" spans="1:10" s="17" customFormat="1" hidden="1">
      <c r="A60" s="62" t="s">
        <v>135</v>
      </c>
      <c r="B60" s="63" t="s">
        <v>11</v>
      </c>
      <c r="C60" s="61" t="s">
        <v>11</v>
      </c>
      <c r="D60" s="61"/>
      <c r="E60" s="61"/>
      <c r="F60" s="61"/>
      <c r="G60" s="61"/>
      <c r="H60" s="61"/>
      <c r="I60" s="61"/>
      <c r="J60" s="62" t="s">
        <v>136</v>
      </c>
    </row>
    <row r="61" spans="1:10" s="17" customFormat="1">
      <c r="A61" s="62" t="s">
        <v>137</v>
      </c>
      <c r="B61" s="63" t="s">
        <v>14</v>
      </c>
      <c r="C61" s="61" t="s">
        <v>14</v>
      </c>
      <c r="D61" s="61"/>
      <c r="E61" s="61" t="s">
        <v>14</v>
      </c>
      <c r="F61" s="61"/>
      <c r="G61" s="61"/>
      <c r="H61" s="61"/>
      <c r="I61" s="61"/>
      <c r="J61" s="62" t="s">
        <v>138</v>
      </c>
    </row>
    <row r="62" spans="1:10" s="17" customFormat="1" hidden="1">
      <c r="A62" s="62" t="s">
        <v>139</v>
      </c>
      <c r="B62" s="63" t="s">
        <v>11</v>
      </c>
      <c r="C62" s="61" t="s">
        <v>11</v>
      </c>
      <c r="D62" s="61"/>
      <c r="E62" s="61"/>
      <c r="F62" s="61"/>
      <c r="G62" s="61"/>
      <c r="H62" s="61"/>
      <c r="I62" s="61"/>
      <c r="J62" s="62" t="s">
        <v>140</v>
      </c>
    </row>
    <row r="63" spans="1:10" s="17" customFormat="1">
      <c r="A63" s="62" t="s">
        <v>141</v>
      </c>
      <c r="B63" s="63" t="s">
        <v>11</v>
      </c>
      <c r="C63" s="63" t="s">
        <v>14</v>
      </c>
      <c r="D63" s="61" t="s">
        <v>142</v>
      </c>
      <c r="E63" s="61" t="s">
        <v>14</v>
      </c>
      <c r="F63" s="61"/>
      <c r="G63" s="61"/>
      <c r="H63" s="61"/>
      <c r="I63" s="61"/>
      <c r="J63" s="62" t="s">
        <v>112</v>
      </c>
    </row>
    <row r="64" spans="1:10" s="17" customFormat="1" hidden="1">
      <c r="A64" s="62" t="s">
        <v>143</v>
      </c>
      <c r="B64" s="63" t="s">
        <v>11</v>
      </c>
      <c r="C64" s="61" t="s">
        <v>14</v>
      </c>
      <c r="D64" s="61"/>
      <c r="E64" s="61"/>
      <c r="F64" s="61" t="s">
        <v>14</v>
      </c>
      <c r="G64" s="61" t="s">
        <v>11</v>
      </c>
      <c r="H64" s="61"/>
      <c r="I64" s="61"/>
      <c r="J64" s="62" t="s">
        <v>144</v>
      </c>
    </row>
    <row r="65" spans="1:10" s="17" customFormat="1" hidden="1">
      <c r="A65" s="62" t="s">
        <v>145</v>
      </c>
      <c r="B65" s="63" t="s">
        <v>11</v>
      </c>
      <c r="C65" s="61" t="s">
        <v>14</v>
      </c>
      <c r="D65" s="61"/>
      <c r="E65" s="61"/>
      <c r="F65" s="61" t="s">
        <v>14</v>
      </c>
      <c r="G65" s="61" t="s">
        <v>11</v>
      </c>
      <c r="H65" s="61"/>
      <c r="I65" s="61"/>
      <c r="J65" s="62" t="s">
        <v>144</v>
      </c>
    </row>
    <row r="66" spans="1:10" s="17" customFormat="1">
      <c r="A66" s="62" t="s">
        <v>146</v>
      </c>
      <c r="B66" s="63" t="s">
        <v>11</v>
      </c>
      <c r="C66" s="63" t="s">
        <v>14</v>
      </c>
      <c r="D66" s="61" t="s">
        <v>142</v>
      </c>
      <c r="E66" s="61" t="s">
        <v>14</v>
      </c>
      <c r="F66" s="61"/>
      <c r="G66" s="61"/>
      <c r="H66" s="61"/>
      <c r="I66" s="61"/>
      <c r="J66" s="62" t="s">
        <v>147</v>
      </c>
    </row>
    <row r="67" spans="1:10" s="17" customFormat="1">
      <c r="A67" s="62" t="s">
        <v>148</v>
      </c>
      <c r="B67" s="63" t="s">
        <v>14</v>
      </c>
      <c r="C67" s="63" t="s">
        <v>14</v>
      </c>
      <c r="D67" s="61" t="s">
        <v>142</v>
      </c>
      <c r="E67" s="61" t="s">
        <v>14</v>
      </c>
      <c r="F67" s="61"/>
      <c r="G67" s="61"/>
      <c r="H67" s="61"/>
      <c r="I67" s="61"/>
      <c r="J67" s="62" t="s">
        <v>149</v>
      </c>
    </row>
    <row r="68" spans="1:10" s="17" customFormat="1">
      <c r="A68" s="62" t="s">
        <v>150</v>
      </c>
      <c r="B68" s="63" t="s">
        <v>14</v>
      </c>
      <c r="C68" s="63" t="s">
        <v>14</v>
      </c>
      <c r="D68" s="61" t="s">
        <v>142</v>
      </c>
      <c r="E68" s="61" t="s">
        <v>14</v>
      </c>
      <c r="F68" s="61"/>
      <c r="G68" s="61"/>
      <c r="H68" s="61"/>
      <c r="I68" s="61"/>
      <c r="J68" s="62" t="s">
        <v>151</v>
      </c>
    </row>
    <row r="69" spans="1:10" s="17" customFormat="1">
      <c r="A69" s="62" t="s">
        <v>152</v>
      </c>
      <c r="B69" s="63" t="s">
        <v>14</v>
      </c>
      <c r="C69" s="61" t="s">
        <v>14</v>
      </c>
      <c r="D69" s="61"/>
      <c r="E69" s="61" t="s">
        <v>14</v>
      </c>
      <c r="F69" s="61"/>
      <c r="G69" s="61"/>
      <c r="H69" s="61"/>
      <c r="I69" s="61"/>
      <c r="J69" s="62" t="s">
        <v>153</v>
      </c>
    </row>
    <row r="70" spans="1:10" s="17" customFormat="1">
      <c r="A70" s="62" t="s">
        <v>154</v>
      </c>
      <c r="B70" s="63" t="s">
        <v>11</v>
      </c>
      <c r="C70" s="63" t="s">
        <v>14</v>
      </c>
      <c r="D70" s="61" t="s">
        <v>142</v>
      </c>
      <c r="E70" s="61" t="s">
        <v>14</v>
      </c>
      <c r="F70" s="61"/>
      <c r="G70" s="61"/>
      <c r="H70" s="61"/>
      <c r="I70" s="61"/>
      <c r="J70" s="62" t="s">
        <v>155</v>
      </c>
    </row>
    <row r="71" spans="1:10" s="17" customFormat="1" hidden="1">
      <c r="A71" s="62" t="s">
        <v>156</v>
      </c>
      <c r="B71" s="63" t="s">
        <v>11</v>
      </c>
      <c r="C71" s="61" t="s">
        <v>11</v>
      </c>
      <c r="D71" s="61"/>
      <c r="E71" s="61"/>
      <c r="F71" s="61"/>
      <c r="G71" s="61"/>
      <c r="H71" s="61"/>
      <c r="I71" s="61"/>
      <c r="J71" s="62" t="s">
        <v>157</v>
      </c>
    </row>
    <row r="72" spans="1:10" s="17" customFormat="1" hidden="1">
      <c r="A72" s="62" t="s">
        <v>158</v>
      </c>
      <c r="B72" s="63" t="s">
        <v>11</v>
      </c>
      <c r="C72" s="61" t="s">
        <v>11</v>
      </c>
      <c r="D72" s="61"/>
      <c r="E72" s="61"/>
      <c r="F72" s="61"/>
      <c r="G72" s="61"/>
      <c r="H72" s="61"/>
      <c r="I72" s="61"/>
      <c r="J72" s="62" t="s">
        <v>157</v>
      </c>
    </row>
    <row r="73" spans="1:10" s="17" customFormat="1" hidden="1">
      <c r="A73" s="62" t="s">
        <v>159</v>
      </c>
      <c r="B73" s="63" t="s">
        <v>11</v>
      </c>
      <c r="C73" s="61" t="s">
        <v>11</v>
      </c>
      <c r="D73" s="61"/>
      <c r="E73" s="61"/>
      <c r="F73" s="61"/>
      <c r="G73" s="61"/>
      <c r="H73" s="61"/>
      <c r="I73" s="61"/>
      <c r="J73" s="62" t="s">
        <v>160</v>
      </c>
    </row>
    <row r="74" spans="1:10" s="17" customFormat="1">
      <c r="A74" s="62" t="s">
        <v>161</v>
      </c>
      <c r="B74" s="63" t="s">
        <v>14</v>
      </c>
      <c r="C74" s="61" t="s">
        <v>14</v>
      </c>
      <c r="D74" s="61"/>
      <c r="E74" s="61" t="s">
        <v>14</v>
      </c>
      <c r="F74" s="61"/>
      <c r="G74" s="61"/>
      <c r="H74" s="61"/>
      <c r="I74" s="61"/>
      <c r="J74" s="62" t="s">
        <v>162</v>
      </c>
    </row>
    <row r="75" spans="1:10" s="17" customFormat="1" hidden="1">
      <c r="A75" s="62" t="s">
        <v>163</v>
      </c>
      <c r="B75" s="63" t="s">
        <v>11</v>
      </c>
      <c r="C75" s="61" t="s">
        <v>11</v>
      </c>
      <c r="D75" s="61"/>
      <c r="E75" s="61"/>
      <c r="F75" s="61"/>
      <c r="G75" s="61"/>
      <c r="H75" s="61"/>
      <c r="I75" s="61"/>
      <c r="J75" s="62" t="s">
        <v>164</v>
      </c>
    </row>
    <row r="76" spans="1:10" s="17" customFormat="1">
      <c r="A76" s="62" t="s">
        <v>165</v>
      </c>
      <c r="B76" s="63" t="s">
        <v>14</v>
      </c>
      <c r="C76" s="61" t="s">
        <v>14</v>
      </c>
      <c r="D76" s="61"/>
      <c r="E76" s="61" t="s">
        <v>14</v>
      </c>
      <c r="F76" s="61"/>
      <c r="G76" s="61"/>
      <c r="H76" s="61"/>
      <c r="I76" s="61"/>
      <c r="J76" s="62" t="s">
        <v>166</v>
      </c>
    </row>
    <row r="77" spans="1:10" s="17" customFormat="1" hidden="1">
      <c r="A77" s="62" t="s">
        <v>167</v>
      </c>
      <c r="B77" s="63" t="s">
        <v>11</v>
      </c>
      <c r="C77" s="63" t="s">
        <v>11</v>
      </c>
      <c r="D77" s="61"/>
      <c r="E77" s="61"/>
      <c r="F77" s="61"/>
      <c r="G77" s="61"/>
      <c r="H77" s="61"/>
      <c r="I77" s="61"/>
      <c r="J77" s="62" t="s">
        <v>168</v>
      </c>
    </row>
    <row r="78" spans="1:10" s="17" customFormat="1" hidden="1">
      <c r="A78" s="62" t="s">
        <v>169</v>
      </c>
      <c r="B78" s="63" t="s">
        <v>11</v>
      </c>
      <c r="C78" s="63" t="s">
        <v>11</v>
      </c>
      <c r="D78" s="61"/>
      <c r="E78" s="61"/>
      <c r="F78" s="61"/>
      <c r="G78" s="61"/>
      <c r="H78" s="61"/>
      <c r="I78" s="61"/>
      <c r="J78" s="62" t="s">
        <v>170</v>
      </c>
    </row>
    <row r="79" spans="1:10" s="17" customFormat="1" hidden="1">
      <c r="A79" s="62" t="s">
        <v>171</v>
      </c>
      <c r="B79" s="63" t="s">
        <v>11</v>
      </c>
      <c r="C79" s="63" t="s">
        <v>11</v>
      </c>
      <c r="D79" s="61"/>
      <c r="E79" s="61"/>
      <c r="F79" s="61"/>
      <c r="G79" s="61"/>
      <c r="H79" s="61"/>
      <c r="I79" s="61"/>
      <c r="J79" s="62" t="s">
        <v>172</v>
      </c>
    </row>
    <row r="80" spans="1:10" s="17" customFormat="1" hidden="1">
      <c r="A80" s="62" t="s">
        <v>173</v>
      </c>
      <c r="B80" s="63" t="s">
        <v>11</v>
      </c>
      <c r="C80" s="63" t="s">
        <v>11</v>
      </c>
      <c r="D80" s="61"/>
      <c r="E80" s="61"/>
      <c r="F80" s="61"/>
      <c r="G80" s="61"/>
      <c r="H80" s="61"/>
      <c r="I80" s="61"/>
      <c r="J80" s="62" t="s">
        <v>174</v>
      </c>
    </row>
    <row r="81" spans="1:10" s="17" customFormat="1" hidden="1">
      <c r="A81" s="62" t="s">
        <v>175</v>
      </c>
      <c r="B81" s="63" t="s">
        <v>11</v>
      </c>
      <c r="C81" s="63" t="s">
        <v>11</v>
      </c>
      <c r="D81" s="61" t="s">
        <v>176</v>
      </c>
      <c r="E81" s="61"/>
      <c r="F81" s="61"/>
      <c r="G81" s="61"/>
      <c r="H81" s="61"/>
      <c r="I81" s="61"/>
      <c r="J81" s="62" t="s">
        <v>177</v>
      </c>
    </row>
    <row r="82" spans="1:10" s="17" customFormat="1" hidden="1">
      <c r="A82" s="62" t="s">
        <v>178</v>
      </c>
      <c r="B82" s="63" t="s">
        <v>11</v>
      </c>
      <c r="C82" s="63" t="s">
        <v>11</v>
      </c>
      <c r="D82" s="61" t="s">
        <v>179</v>
      </c>
      <c r="E82" s="61"/>
      <c r="F82" s="61"/>
      <c r="G82" s="61"/>
      <c r="H82" s="61"/>
      <c r="I82" s="61"/>
      <c r="J82" s="62" t="s">
        <v>180</v>
      </c>
    </row>
    <row r="83" spans="1:10" s="17" customFormat="1" hidden="1">
      <c r="A83" s="62" t="s">
        <v>181</v>
      </c>
      <c r="B83" s="63" t="s">
        <v>11</v>
      </c>
      <c r="C83" s="63" t="s">
        <v>11</v>
      </c>
      <c r="D83" s="61"/>
      <c r="E83" s="61"/>
      <c r="F83" s="61"/>
      <c r="G83" s="61"/>
      <c r="H83" s="61"/>
      <c r="I83" s="61"/>
      <c r="J83" s="62" t="s">
        <v>182</v>
      </c>
    </row>
    <row r="84" spans="1:10" s="17" customFormat="1" hidden="1">
      <c r="A84" s="62" t="s">
        <v>183</v>
      </c>
      <c r="B84" s="63" t="s">
        <v>11</v>
      </c>
      <c r="C84" s="63" t="s">
        <v>11</v>
      </c>
      <c r="D84" s="61"/>
      <c r="E84" s="61"/>
      <c r="F84" s="61"/>
      <c r="G84" s="61"/>
      <c r="H84" s="61"/>
      <c r="I84" s="61"/>
      <c r="J84" s="62"/>
    </row>
    <row r="85" spans="1:10" s="17" customFormat="1" hidden="1">
      <c r="A85" s="62" t="s">
        <v>184</v>
      </c>
      <c r="B85" s="63" t="s">
        <v>11</v>
      </c>
      <c r="C85" s="63" t="s">
        <v>11</v>
      </c>
      <c r="D85" s="61" t="s">
        <v>185</v>
      </c>
      <c r="E85" s="61"/>
      <c r="F85" s="61"/>
      <c r="G85" s="61"/>
      <c r="H85" s="61"/>
      <c r="I85" s="61"/>
      <c r="J85" s="62"/>
    </row>
    <row r="86" spans="1:10" s="17" customFormat="1" hidden="1">
      <c r="A86" s="62" t="s">
        <v>186</v>
      </c>
      <c r="B86" s="63" t="s">
        <v>11</v>
      </c>
      <c r="C86" s="63" t="s">
        <v>11</v>
      </c>
      <c r="D86" s="61"/>
      <c r="E86" s="61"/>
      <c r="F86" s="61"/>
      <c r="G86" s="61"/>
      <c r="H86" s="61"/>
      <c r="I86" s="61"/>
      <c r="J86" s="62" t="s">
        <v>187</v>
      </c>
    </row>
    <row r="87" spans="1:10" s="17" customFormat="1" hidden="1">
      <c r="A87" s="62" t="s">
        <v>188</v>
      </c>
      <c r="B87" s="63" t="s">
        <v>11</v>
      </c>
      <c r="C87" s="63" t="s">
        <v>11</v>
      </c>
      <c r="D87" s="61"/>
      <c r="E87" s="61"/>
      <c r="F87" s="61"/>
      <c r="G87" s="61"/>
      <c r="H87" s="61"/>
      <c r="I87" s="61"/>
      <c r="J87" s="62" t="s">
        <v>189</v>
      </c>
    </row>
    <row r="88" spans="1:10" s="17" customFormat="1" hidden="1">
      <c r="A88" s="62" t="s">
        <v>190</v>
      </c>
      <c r="B88" s="63" t="s">
        <v>11</v>
      </c>
      <c r="C88" s="63" t="s">
        <v>11</v>
      </c>
      <c r="D88" s="61"/>
      <c r="E88" s="61"/>
      <c r="F88" s="61"/>
      <c r="G88" s="61"/>
      <c r="H88" s="61"/>
      <c r="I88" s="61"/>
      <c r="J88" s="62" t="s">
        <v>191</v>
      </c>
    </row>
    <row r="89" spans="1:10" s="17" customFormat="1" hidden="1">
      <c r="A89" s="62" t="s">
        <v>192</v>
      </c>
      <c r="B89" s="63" t="s">
        <v>11</v>
      </c>
      <c r="C89" s="63" t="s">
        <v>11</v>
      </c>
      <c r="D89" s="61"/>
      <c r="E89" s="61"/>
      <c r="F89" s="61"/>
      <c r="G89" s="61"/>
      <c r="H89" s="61"/>
      <c r="I89" s="61"/>
      <c r="J89" s="62" t="s">
        <v>193</v>
      </c>
    </row>
    <row r="90" spans="1:10" s="17" customFormat="1" hidden="1">
      <c r="A90" s="62" t="s">
        <v>194</v>
      </c>
      <c r="B90" s="63" t="s">
        <v>11</v>
      </c>
      <c r="C90" s="63" t="s">
        <v>11</v>
      </c>
      <c r="D90" s="61"/>
      <c r="E90" s="61"/>
      <c r="F90" s="61"/>
      <c r="G90" s="61"/>
      <c r="H90" s="61"/>
      <c r="I90" s="61"/>
      <c r="J90" s="62" t="s">
        <v>195</v>
      </c>
    </row>
    <row r="91" spans="1:10" s="17" customFormat="1" hidden="1">
      <c r="A91" s="62" t="s">
        <v>196</v>
      </c>
      <c r="B91" s="63" t="s">
        <v>11</v>
      </c>
      <c r="C91" s="63" t="s">
        <v>11</v>
      </c>
      <c r="D91" s="61"/>
      <c r="E91" s="61"/>
      <c r="F91" s="61"/>
      <c r="G91" s="61"/>
      <c r="H91" s="61"/>
      <c r="I91" s="61"/>
      <c r="J91" s="62" t="s">
        <v>197</v>
      </c>
    </row>
    <row r="92" spans="1:10" s="17" customFormat="1" hidden="1">
      <c r="A92" s="62" t="s">
        <v>198</v>
      </c>
      <c r="B92" s="63" t="s">
        <v>11</v>
      </c>
      <c r="C92" s="63" t="s">
        <v>11</v>
      </c>
      <c r="D92" s="61"/>
      <c r="E92" s="61"/>
      <c r="F92" s="61"/>
      <c r="G92" s="61"/>
      <c r="H92" s="61"/>
      <c r="I92" s="61"/>
      <c r="J92" s="62" t="s">
        <v>199</v>
      </c>
    </row>
    <row r="93" spans="1:10" s="17" customFormat="1" hidden="1">
      <c r="A93" s="62" t="s">
        <v>200</v>
      </c>
      <c r="B93" s="63" t="s">
        <v>11</v>
      </c>
      <c r="C93" s="63" t="s">
        <v>11</v>
      </c>
      <c r="D93" s="61"/>
      <c r="E93" s="61"/>
      <c r="F93" s="61"/>
      <c r="G93" s="61"/>
      <c r="H93" s="61"/>
      <c r="I93" s="61"/>
      <c r="J93" s="62" t="s">
        <v>201</v>
      </c>
    </row>
    <row r="94" spans="1:10" s="17" customFormat="1" hidden="1">
      <c r="A94" s="62" t="s">
        <v>202</v>
      </c>
      <c r="B94" s="63" t="s">
        <v>11</v>
      </c>
      <c r="C94" s="63" t="s">
        <v>11</v>
      </c>
      <c r="D94" s="61"/>
      <c r="E94" s="61"/>
      <c r="F94" s="61"/>
      <c r="G94" s="61"/>
      <c r="H94" s="61"/>
      <c r="I94" s="61"/>
      <c r="J94" s="62"/>
    </row>
    <row r="95" spans="1:10" s="17" customFormat="1" hidden="1">
      <c r="A95" s="62" t="s">
        <v>203</v>
      </c>
      <c r="B95" s="63" t="s">
        <v>11</v>
      </c>
      <c r="C95" s="63" t="s">
        <v>11</v>
      </c>
      <c r="D95" s="61"/>
      <c r="E95" s="61"/>
      <c r="F95" s="61"/>
      <c r="G95" s="61"/>
      <c r="H95" s="61"/>
      <c r="I95" s="61"/>
      <c r="J95" s="62" t="s">
        <v>204</v>
      </c>
    </row>
    <row r="96" spans="1:10" s="17" customFormat="1" hidden="1">
      <c r="A96" s="62" t="s">
        <v>205</v>
      </c>
      <c r="B96" s="63" t="s">
        <v>11</v>
      </c>
      <c r="C96" s="63" t="s">
        <v>11</v>
      </c>
      <c r="D96" s="61"/>
      <c r="E96" s="61"/>
      <c r="F96" s="61"/>
      <c r="G96" s="61"/>
      <c r="H96" s="61"/>
      <c r="I96" s="61"/>
      <c r="J96" s="62" t="s">
        <v>206</v>
      </c>
    </row>
    <row r="97" spans="1:10" s="17" customFormat="1" hidden="1">
      <c r="A97" s="62" t="s">
        <v>207</v>
      </c>
      <c r="B97" s="63" t="s">
        <v>11</v>
      </c>
      <c r="C97" s="63" t="s">
        <v>11</v>
      </c>
      <c r="D97" s="61"/>
      <c r="E97" s="61"/>
      <c r="F97" s="61"/>
      <c r="G97" s="61"/>
      <c r="H97" s="61"/>
      <c r="I97" s="61"/>
      <c r="J97" s="62" t="s">
        <v>208</v>
      </c>
    </row>
    <row r="98" spans="1:10" s="17" customFormat="1" hidden="1">
      <c r="A98" s="62" t="s">
        <v>209</v>
      </c>
      <c r="B98" s="63" t="s">
        <v>11</v>
      </c>
      <c r="C98" s="63" t="s">
        <v>11</v>
      </c>
      <c r="D98" s="61"/>
      <c r="E98" s="61"/>
      <c r="F98" s="61"/>
      <c r="G98" s="61"/>
      <c r="H98" s="61"/>
      <c r="I98" s="61"/>
      <c r="J98" s="62" t="s">
        <v>210</v>
      </c>
    </row>
    <row r="99" spans="1:10" s="17" customFormat="1" hidden="1">
      <c r="A99" s="62" t="s">
        <v>211</v>
      </c>
      <c r="B99" s="63" t="s">
        <v>11</v>
      </c>
      <c r="C99" s="63" t="s">
        <v>11</v>
      </c>
      <c r="D99" s="61"/>
      <c r="E99" s="61"/>
      <c r="F99" s="61"/>
      <c r="G99" s="61"/>
      <c r="H99" s="61"/>
      <c r="I99" s="61"/>
      <c r="J99" s="62" t="s">
        <v>212</v>
      </c>
    </row>
    <row r="100" spans="1:10" s="17" customFormat="1" hidden="1">
      <c r="A100" s="62" t="s">
        <v>213</v>
      </c>
      <c r="B100" s="63" t="s">
        <v>11</v>
      </c>
      <c r="C100" s="63" t="s">
        <v>11</v>
      </c>
      <c r="D100" s="61"/>
      <c r="E100" s="61"/>
      <c r="F100" s="61"/>
      <c r="G100" s="61"/>
      <c r="H100" s="61"/>
      <c r="I100" s="61"/>
      <c r="J100" s="62" t="s">
        <v>214</v>
      </c>
    </row>
    <row r="101" spans="1:10" s="17" customFormat="1">
      <c r="A101" s="62" t="s">
        <v>215</v>
      </c>
      <c r="B101" s="63" t="s">
        <v>11</v>
      </c>
      <c r="C101" s="63" t="s">
        <v>14</v>
      </c>
      <c r="D101" s="61" t="s">
        <v>216</v>
      </c>
      <c r="E101" s="61" t="s">
        <v>14</v>
      </c>
      <c r="F101" s="61"/>
      <c r="G101" s="61"/>
      <c r="H101" s="61"/>
      <c r="I101" s="61"/>
      <c r="J101" s="62" t="s">
        <v>217</v>
      </c>
    </row>
    <row r="102" spans="1:10" s="17" customFormat="1">
      <c r="A102" s="62" t="s">
        <v>218</v>
      </c>
      <c r="B102" s="63" t="s">
        <v>14</v>
      </c>
      <c r="C102" s="63" t="s">
        <v>14</v>
      </c>
      <c r="D102" s="61" t="s">
        <v>216</v>
      </c>
      <c r="E102" s="61" t="s">
        <v>14</v>
      </c>
      <c r="F102" s="61"/>
      <c r="G102" s="61"/>
      <c r="H102" s="61"/>
      <c r="I102" s="61"/>
      <c r="J102" s="62" t="s">
        <v>219</v>
      </c>
    </row>
    <row r="103" spans="1:10" s="17" customFormat="1" hidden="1">
      <c r="A103" s="62" t="s">
        <v>220</v>
      </c>
      <c r="B103" s="63" t="s">
        <v>11</v>
      </c>
      <c r="C103" s="63" t="s">
        <v>11</v>
      </c>
      <c r="D103" s="61"/>
      <c r="E103" s="61"/>
      <c r="F103" s="61"/>
      <c r="G103" s="61"/>
      <c r="H103" s="61"/>
      <c r="I103" s="61"/>
      <c r="J103" s="62" t="s">
        <v>221</v>
      </c>
    </row>
    <row r="104" spans="1:10" s="17" customFormat="1" hidden="1">
      <c r="A104" s="62" t="s">
        <v>222</v>
      </c>
      <c r="B104" s="63" t="s">
        <v>11</v>
      </c>
      <c r="C104" s="63" t="s">
        <v>11</v>
      </c>
      <c r="D104" s="61"/>
      <c r="E104" s="61"/>
      <c r="F104" s="61"/>
      <c r="G104" s="61"/>
      <c r="H104" s="61"/>
      <c r="I104" s="61"/>
      <c r="J104" s="62" t="s">
        <v>223</v>
      </c>
    </row>
    <row r="105" spans="1:10" s="17" customFormat="1" hidden="1">
      <c r="A105" s="62" t="s">
        <v>224</v>
      </c>
      <c r="B105" s="63" t="s">
        <v>11</v>
      </c>
      <c r="C105" s="63" t="s">
        <v>11</v>
      </c>
      <c r="D105" s="61"/>
      <c r="E105" s="61"/>
      <c r="F105" s="61"/>
      <c r="G105" s="61"/>
      <c r="H105" s="61"/>
      <c r="I105" s="61"/>
      <c r="J105" s="62" t="s">
        <v>225</v>
      </c>
    </row>
    <row r="106" spans="1:10" s="17" customFormat="1" hidden="1">
      <c r="A106" s="62" t="s">
        <v>226</v>
      </c>
      <c r="B106" s="63" t="s">
        <v>11</v>
      </c>
      <c r="C106" s="63" t="s">
        <v>11</v>
      </c>
      <c r="D106" s="61" t="s">
        <v>227</v>
      </c>
      <c r="E106" s="61"/>
      <c r="F106" s="61"/>
      <c r="G106" s="61"/>
      <c r="H106" s="61"/>
      <c r="I106" s="61"/>
      <c r="J106" s="62" t="s">
        <v>228</v>
      </c>
    </row>
    <row r="107" spans="1:10" s="17" customFormat="1" hidden="1">
      <c r="A107" s="62" t="s">
        <v>229</v>
      </c>
      <c r="B107" s="63" t="s">
        <v>11</v>
      </c>
      <c r="C107" s="63" t="s">
        <v>11</v>
      </c>
      <c r="D107" s="61"/>
      <c r="E107" s="61"/>
      <c r="F107" s="61"/>
      <c r="G107" s="61"/>
      <c r="H107" s="61"/>
      <c r="I107" s="61"/>
      <c r="J107" s="62" t="s">
        <v>230</v>
      </c>
    </row>
    <row r="108" spans="1:10" s="17" customFormat="1" hidden="1">
      <c r="A108" s="62" t="s">
        <v>231</v>
      </c>
      <c r="B108" s="63" t="s">
        <v>11</v>
      </c>
      <c r="C108" s="63" t="s">
        <v>11</v>
      </c>
      <c r="D108" s="61"/>
      <c r="E108" s="61"/>
      <c r="F108" s="61"/>
      <c r="G108" s="61"/>
      <c r="H108" s="61"/>
      <c r="I108" s="61"/>
      <c r="J108" s="62" t="s">
        <v>230</v>
      </c>
    </row>
    <row r="109" spans="1:10" s="17" customFormat="1">
      <c r="A109" s="62" t="s">
        <v>232</v>
      </c>
      <c r="B109" s="63" t="s">
        <v>11</v>
      </c>
      <c r="C109" s="63" t="s">
        <v>14</v>
      </c>
      <c r="D109" s="61" t="s">
        <v>233</v>
      </c>
      <c r="E109" s="61" t="s">
        <v>14</v>
      </c>
      <c r="F109" s="61"/>
      <c r="G109" s="61"/>
      <c r="H109" s="61"/>
      <c r="I109" s="61"/>
      <c r="J109" s="62" t="s">
        <v>234</v>
      </c>
    </row>
    <row r="110" spans="1:10" s="17" customFormat="1" hidden="1">
      <c r="A110" s="62" t="s">
        <v>235</v>
      </c>
      <c r="B110" s="63" t="s">
        <v>11</v>
      </c>
      <c r="C110" s="63" t="s">
        <v>11</v>
      </c>
      <c r="D110" s="61"/>
      <c r="E110" s="61"/>
      <c r="F110" s="61"/>
      <c r="G110" s="61"/>
      <c r="H110" s="61"/>
      <c r="I110" s="61"/>
      <c r="J110" s="62" t="s">
        <v>236</v>
      </c>
    </row>
    <row r="111" spans="1:10" s="17" customFormat="1">
      <c r="A111" s="62" t="s">
        <v>237</v>
      </c>
      <c r="B111" s="63" t="s">
        <v>11</v>
      </c>
      <c r="C111" s="63" t="s">
        <v>14</v>
      </c>
      <c r="D111" s="61" t="s">
        <v>238</v>
      </c>
      <c r="E111" s="61" t="s">
        <v>14</v>
      </c>
      <c r="F111" s="61"/>
      <c r="G111" s="61"/>
      <c r="H111" s="61"/>
      <c r="I111" s="61"/>
      <c r="J111" s="62" t="s">
        <v>239</v>
      </c>
    </row>
    <row r="112" spans="1:10" s="17" customFormat="1" hidden="1">
      <c r="A112" s="62" t="s">
        <v>240</v>
      </c>
      <c r="B112" s="63" t="s">
        <v>11</v>
      </c>
      <c r="C112" s="63" t="s">
        <v>11</v>
      </c>
      <c r="D112" s="61"/>
      <c r="E112" s="61"/>
      <c r="F112" s="61"/>
      <c r="G112" s="61"/>
      <c r="H112" s="61"/>
      <c r="I112" s="61"/>
      <c r="J112" s="62" t="s">
        <v>241</v>
      </c>
    </row>
    <row r="113" spans="1:10" s="17" customFormat="1">
      <c r="A113" s="62" t="s">
        <v>242</v>
      </c>
      <c r="B113" s="63" t="s">
        <v>11</v>
      </c>
      <c r="C113" s="63" t="s">
        <v>14</v>
      </c>
      <c r="D113" s="61" t="s">
        <v>243</v>
      </c>
      <c r="E113" s="61" t="s">
        <v>14</v>
      </c>
      <c r="F113" s="61"/>
      <c r="G113" s="61"/>
      <c r="H113" s="61"/>
      <c r="I113" s="61"/>
      <c r="J113" s="62" t="s">
        <v>244</v>
      </c>
    </row>
    <row r="114" spans="1:10" s="17" customFormat="1" hidden="1">
      <c r="A114" s="62" t="s">
        <v>245</v>
      </c>
      <c r="B114" s="63" t="s">
        <v>11</v>
      </c>
      <c r="C114" s="63" t="s">
        <v>11</v>
      </c>
      <c r="D114" s="61"/>
      <c r="E114" s="61"/>
      <c r="F114" s="61"/>
      <c r="G114" s="61"/>
      <c r="H114" s="61"/>
      <c r="I114" s="61"/>
      <c r="J114" s="62" t="s">
        <v>246</v>
      </c>
    </row>
    <row r="115" spans="1:10" s="17" customFormat="1" hidden="1">
      <c r="A115" s="62" t="s">
        <v>247</v>
      </c>
      <c r="B115" s="63" t="s">
        <v>11</v>
      </c>
      <c r="C115" s="63" t="s">
        <v>11</v>
      </c>
      <c r="D115" s="61" t="s">
        <v>248</v>
      </c>
      <c r="E115" s="61"/>
      <c r="F115" s="61"/>
      <c r="G115" s="61"/>
      <c r="H115" s="61"/>
      <c r="I115" s="61"/>
      <c r="J115" s="62" t="s">
        <v>249</v>
      </c>
    </row>
    <row r="116" spans="1:10" s="17" customFormat="1" hidden="1">
      <c r="A116" s="62" t="s">
        <v>250</v>
      </c>
      <c r="B116" s="63" t="s">
        <v>11</v>
      </c>
      <c r="C116" s="63" t="s">
        <v>11</v>
      </c>
      <c r="D116" s="61"/>
      <c r="E116" s="61"/>
      <c r="F116" s="61"/>
      <c r="G116" s="61"/>
      <c r="H116" s="61"/>
      <c r="I116" s="61"/>
      <c r="J116" s="62" t="s">
        <v>251</v>
      </c>
    </row>
    <row r="117" spans="1:10" s="17" customFormat="1" hidden="1">
      <c r="A117" s="62" t="s">
        <v>252</v>
      </c>
      <c r="B117" s="63" t="s">
        <v>11</v>
      </c>
      <c r="C117" s="63" t="s">
        <v>11</v>
      </c>
      <c r="D117" s="61"/>
      <c r="E117" s="61"/>
      <c r="F117" s="61"/>
      <c r="G117" s="61"/>
      <c r="H117" s="61"/>
      <c r="I117" s="61"/>
      <c r="J117" s="62" t="s">
        <v>241</v>
      </c>
    </row>
    <row r="118" spans="1:10" s="17" customFormat="1" hidden="1">
      <c r="A118" s="62" t="s">
        <v>253</v>
      </c>
      <c r="B118" s="63" t="s">
        <v>11</v>
      </c>
      <c r="C118" s="63" t="s">
        <v>11</v>
      </c>
      <c r="D118" s="61"/>
      <c r="E118" s="61"/>
      <c r="F118" s="61"/>
      <c r="G118" s="61"/>
      <c r="H118" s="61"/>
      <c r="I118" s="61"/>
      <c r="J118" s="62" t="s">
        <v>254</v>
      </c>
    </row>
    <row r="119" spans="1:10" s="17" customFormat="1" hidden="1">
      <c r="A119" s="62" t="s">
        <v>255</v>
      </c>
      <c r="B119" s="63" t="s">
        <v>11</v>
      </c>
      <c r="C119" s="63" t="s">
        <v>11</v>
      </c>
      <c r="D119" s="61"/>
      <c r="E119" s="61"/>
      <c r="F119" s="61"/>
      <c r="G119" s="61"/>
      <c r="H119" s="61"/>
      <c r="I119" s="61"/>
      <c r="J119" s="62" t="s">
        <v>256</v>
      </c>
    </row>
    <row r="120" spans="1:10" s="17" customFormat="1" hidden="1">
      <c r="A120" s="62" t="s">
        <v>257</v>
      </c>
      <c r="B120" s="63" t="s">
        <v>11</v>
      </c>
      <c r="C120" s="63" t="s">
        <v>11</v>
      </c>
      <c r="D120" s="61"/>
      <c r="E120" s="61"/>
      <c r="F120" s="61"/>
      <c r="G120" s="61"/>
      <c r="H120" s="61"/>
      <c r="I120" s="61"/>
      <c r="J120" s="62" t="s">
        <v>258</v>
      </c>
    </row>
    <row r="121" spans="1:10" s="17" customFormat="1">
      <c r="A121" s="62" t="s">
        <v>259</v>
      </c>
      <c r="B121" s="63" t="s">
        <v>14</v>
      </c>
      <c r="C121" s="63" t="s">
        <v>14</v>
      </c>
      <c r="D121" s="61" t="s">
        <v>142</v>
      </c>
      <c r="E121" s="61" t="s">
        <v>14</v>
      </c>
      <c r="F121" s="61"/>
      <c r="G121" s="61"/>
      <c r="H121" s="61"/>
      <c r="I121" s="61"/>
      <c r="J121" s="62" t="s">
        <v>260</v>
      </c>
    </row>
    <row r="122" spans="1:10" s="17" customFormat="1" hidden="1">
      <c r="A122" s="62" t="s">
        <v>261</v>
      </c>
      <c r="B122" s="63" t="s">
        <v>11</v>
      </c>
      <c r="C122" s="63" t="s">
        <v>11</v>
      </c>
      <c r="D122" s="61"/>
      <c r="E122" s="61"/>
      <c r="F122" s="61"/>
      <c r="G122" s="61"/>
      <c r="H122" s="61"/>
      <c r="I122" s="61"/>
      <c r="J122" s="62" t="s">
        <v>262</v>
      </c>
    </row>
    <row r="123" spans="1:10" s="17" customFormat="1" hidden="1">
      <c r="A123" s="62" t="s">
        <v>263</v>
      </c>
      <c r="B123" s="63" t="s">
        <v>11</v>
      </c>
      <c r="C123" s="61" t="s">
        <v>11</v>
      </c>
      <c r="D123" s="61" t="s">
        <v>264</v>
      </c>
      <c r="E123" s="61"/>
      <c r="F123" s="61"/>
      <c r="G123" s="61"/>
      <c r="H123" s="61"/>
      <c r="I123" s="61"/>
      <c r="J123" s="62" t="s">
        <v>265</v>
      </c>
    </row>
    <row r="124" spans="1:10" s="17" customFormat="1" hidden="1">
      <c r="A124" s="62" t="s">
        <v>266</v>
      </c>
      <c r="B124" s="63" t="s">
        <v>11</v>
      </c>
      <c r="C124" s="63" t="s">
        <v>11</v>
      </c>
      <c r="D124" s="61" t="s">
        <v>267</v>
      </c>
      <c r="E124" s="61"/>
      <c r="F124" s="61"/>
      <c r="G124" s="61"/>
      <c r="H124" s="61"/>
      <c r="I124" s="61"/>
      <c r="J124" s="62" t="s">
        <v>268</v>
      </c>
    </row>
    <row r="125" spans="1:10" s="17" customFormat="1">
      <c r="A125" s="62" t="s">
        <v>269</v>
      </c>
      <c r="B125" s="63" t="s">
        <v>11</v>
      </c>
      <c r="C125" s="63" t="s">
        <v>14</v>
      </c>
      <c r="D125" s="61" t="s">
        <v>270</v>
      </c>
      <c r="E125" s="61" t="s">
        <v>14</v>
      </c>
      <c r="F125" s="61"/>
      <c r="G125" s="61"/>
      <c r="H125" s="61"/>
      <c r="I125" s="61"/>
      <c r="J125" s="62" t="s">
        <v>271</v>
      </c>
    </row>
    <row r="126" spans="1:10" s="17" customFormat="1">
      <c r="A126" s="62" t="s">
        <v>272</v>
      </c>
      <c r="B126" s="63" t="s">
        <v>14</v>
      </c>
      <c r="C126" s="63" t="s">
        <v>14</v>
      </c>
      <c r="D126" s="61" t="s">
        <v>273</v>
      </c>
      <c r="E126" s="61" t="s">
        <v>14</v>
      </c>
      <c r="F126" s="61"/>
      <c r="G126" s="61"/>
      <c r="H126" s="61"/>
      <c r="I126" s="61"/>
      <c r="J126" s="62" t="s">
        <v>274</v>
      </c>
    </row>
    <row r="127" spans="1:10" s="17" customFormat="1" hidden="1">
      <c r="A127" s="62" t="s">
        <v>275</v>
      </c>
      <c r="B127" s="63" t="s">
        <v>11</v>
      </c>
      <c r="C127" s="63" t="s">
        <v>11</v>
      </c>
      <c r="D127" s="61"/>
      <c r="E127" s="61"/>
      <c r="F127" s="61"/>
      <c r="G127" s="61"/>
      <c r="H127" s="61"/>
      <c r="I127" s="61"/>
      <c r="J127" s="62" t="s">
        <v>276</v>
      </c>
    </row>
    <row r="128" spans="1:10" s="17" customFormat="1" hidden="1">
      <c r="A128" s="62" t="s">
        <v>277</v>
      </c>
      <c r="B128" s="63" t="s">
        <v>11</v>
      </c>
      <c r="C128" s="63" t="s">
        <v>11</v>
      </c>
      <c r="D128" s="61"/>
      <c r="E128" s="61"/>
      <c r="F128" s="61"/>
      <c r="G128" s="61"/>
      <c r="H128" s="61"/>
      <c r="I128" s="61"/>
      <c r="J128" s="62"/>
    </row>
    <row r="129" spans="1:10" s="17" customFormat="1" hidden="1">
      <c r="A129" s="62" t="s">
        <v>278</v>
      </c>
      <c r="B129" s="63" t="s">
        <v>11</v>
      </c>
      <c r="C129" s="63" t="s">
        <v>11</v>
      </c>
      <c r="D129" s="61"/>
      <c r="E129" s="61"/>
      <c r="F129" s="61"/>
      <c r="G129" s="61"/>
      <c r="H129" s="61"/>
      <c r="I129" s="61"/>
      <c r="J129" s="62" t="s">
        <v>279</v>
      </c>
    </row>
    <row r="130" spans="1:10" s="17" customFormat="1" hidden="1">
      <c r="A130" s="62" t="s">
        <v>280</v>
      </c>
      <c r="B130" s="63" t="s">
        <v>11</v>
      </c>
      <c r="C130" s="63" t="s">
        <v>11</v>
      </c>
      <c r="D130" s="61"/>
      <c r="E130" s="61"/>
      <c r="F130" s="61"/>
      <c r="G130" s="61"/>
      <c r="H130" s="61"/>
      <c r="I130" s="61"/>
      <c r="J130" s="62" t="s">
        <v>281</v>
      </c>
    </row>
    <row r="131" spans="1:10" s="17" customFormat="1" hidden="1">
      <c r="A131" s="62" t="s">
        <v>282</v>
      </c>
      <c r="B131" s="63" t="s">
        <v>11</v>
      </c>
      <c r="C131" s="63" t="s">
        <v>11</v>
      </c>
      <c r="D131" s="61" t="s">
        <v>283</v>
      </c>
      <c r="E131" s="61"/>
      <c r="F131" s="61"/>
      <c r="G131" s="61"/>
      <c r="H131" s="61"/>
      <c r="I131" s="61"/>
      <c r="J131" s="62" t="s">
        <v>284</v>
      </c>
    </row>
    <row r="132" spans="1:10" s="17" customFormat="1" hidden="1">
      <c r="A132" s="62" t="s">
        <v>285</v>
      </c>
      <c r="B132" s="63" t="s">
        <v>11</v>
      </c>
      <c r="C132" s="63" t="s">
        <v>11</v>
      </c>
      <c r="D132" s="61"/>
      <c r="E132" s="61"/>
      <c r="F132" s="61"/>
      <c r="G132" s="61"/>
      <c r="H132" s="61"/>
      <c r="I132" s="61"/>
      <c r="J132" s="62" t="s">
        <v>286</v>
      </c>
    </row>
    <row r="133" spans="1:10" s="17" customFormat="1" hidden="1">
      <c r="A133" s="62" t="s">
        <v>287</v>
      </c>
      <c r="B133" s="63" t="s">
        <v>11</v>
      </c>
      <c r="C133" s="63" t="s">
        <v>11</v>
      </c>
      <c r="D133" s="61"/>
      <c r="E133" s="61"/>
      <c r="F133" s="61"/>
      <c r="G133" s="61"/>
      <c r="H133" s="61"/>
      <c r="I133" s="61"/>
      <c r="J133" s="62" t="s">
        <v>288</v>
      </c>
    </row>
    <row r="134" spans="1:10" s="17" customFormat="1" hidden="1">
      <c r="A134" s="62" t="s">
        <v>289</v>
      </c>
      <c r="B134" s="63" t="s">
        <v>11</v>
      </c>
      <c r="C134" s="63" t="s">
        <v>11</v>
      </c>
      <c r="D134" s="61"/>
      <c r="E134" s="61"/>
      <c r="F134" s="61"/>
      <c r="G134" s="61"/>
      <c r="H134" s="61"/>
      <c r="I134" s="61"/>
      <c r="J134" s="62" t="s">
        <v>290</v>
      </c>
    </row>
    <row r="135" spans="1:10" s="17" customFormat="1" hidden="1">
      <c r="A135" s="62" t="s">
        <v>291</v>
      </c>
      <c r="B135" s="63" t="s">
        <v>11</v>
      </c>
      <c r="C135" s="63" t="s">
        <v>11</v>
      </c>
      <c r="D135" s="61"/>
      <c r="E135" s="61"/>
      <c r="F135" s="61"/>
      <c r="G135" s="61"/>
      <c r="H135" s="61"/>
      <c r="I135" s="61"/>
      <c r="J135" s="62" t="s">
        <v>292</v>
      </c>
    </row>
    <row r="136" spans="1:10" s="17" customFormat="1" hidden="1">
      <c r="A136" s="62" t="s">
        <v>293</v>
      </c>
      <c r="B136" s="63" t="s">
        <v>11</v>
      </c>
      <c r="C136" s="61" t="s">
        <v>11</v>
      </c>
      <c r="D136" s="61"/>
      <c r="E136" s="61"/>
      <c r="F136" s="61"/>
      <c r="G136" s="61"/>
      <c r="H136" s="61"/>
      <c r="I136" s="61"/>
      <c r="J136" s="62" t="s">
        <v>294</v>
      </c>
    </row>
    <row r="137" spans="1:10" s="17" customFormat="1" hidden="1">
      <c r="A137" s="62" t="s">
        <v>295</v>
      </c>
      <c r="B137" s="63" t="s">
        <v>11</v>
      </c>
      <c r="C137" s="63" t="s">
        <v>11</v>
      </c>
      <c r="D137" s="61"/>
      <c r="E137" s="61"/>
      <c r="F137" s="61"/>
      <c r="G137" s="61"/>
      <c r="H137" s="61"/>
      <c r="I137" s="61"/>
      <c r="J137" s="62" t="s">
        <v>296</v>
      </c>
    </row>
    <row r="138" spans="1:10" s="17" customFormat="1" hidden="1">
      <c r="A138" s="62" t="s">
        <v>297</v>
      </c>
      <c r="B138" s="63" t="s">
        <v>11</v>
      </c>
      <c r="C138" s="63" t="s">
        <v>11</v>
      </c>
      <c r="D138" s="61"/>
      <c r="E138" s="61"/>
      <c r="F138" s="61"/>
      <c r="G138" s="61"/>
      <c r="H138" s="61"/>
      <c r="I138" s="61"/>
      <c r="J138" s="62" t="s">
        <v>298</v>
      </c>
    </row>
    <row r="139" spans="1:10" s="17" customFormat="1" hidden="1">
      <c r="A139" s="62" t="s">
        <v>299</v>
      </c>
      <c r="B139" s="63" t="s">
        <v>11</v>
      </c>
      <c r="C139" s="61" t="s">
        <v>11</v>
      </c>
      <c r="D139" s="61" t="s">
        <v>300</v>
      </c>
      <c r="E139" s="61"/>
      <c r="F139" s="61"/>
      <c r="G139" s="61"/>
      <c r="H139" s="61"/>
      <c r="I139" s="61"/>
      <c r="J139" s="62" t="s">
        <v>301</v>
      </c>
    </row>
    <row r="140" spans="1:10" s="17" customFormat="1">
      <c r="A140" s="62" t="s">
        <v>302</v>
      </c>
      <c r="B140" s="63" t="s">
        <v>11</v>
      </c>
      <c r="C140" s="63" t="s">
        <v>14</v>
      </c>
      <c r="D140" s="61" t="s">
        <v>303</v>
      </c>
      <c r="E140" s="61" t="s">
        <v>14</v>
      </c>
      <c r="F140" s="61"/>
      <c r="G140" s="61"/>
      <c r="H140" s="61"/>
      <c r="I140" s="61"/>
      <c r="J140" s="62" t="s">
        <v>304</v>
      </c>
    </row>
    <row r="141" spans="1:10" s="17" customFormat="1" hidden="1">
      <c r="A141" s="62" t="s">
        <v>305</v>
      </c>
      <c r="B141" s="63" t="s">
        <v>11</v>
      </c>
      <c r="C141" s="63" t="s">
        <v>11</v>
      </c>
      <c r="D141" s="61" t="s">
        <v>283</v>
      </c>
      <c r="E141" s="61"/>
      <c r="F141" s="61"/>
      <c r="G141" s="61"/>
      <c r="H141" s="61"/>
      <c r="I141" s="61"/>
      <c r="J141" s="62" t="s">
        <v>306</v>
      </c>
    </row>
    <row r="142" spans="1:10" s="17" customFormat="1" hidden="1">
      <c r="A142" s="62" t="s">
        <v>307</v>
      </c>
      <c r="B142" s="63" t="s">
        <v>11</v>
      </c>
      <c r="C142" s="63" t="s">
        <v>11</v>
      </c>
      <c r="D142" s="61"/>
      <c r="E142" s="61"/>
      <c r="F142" s="61"/>
      <c r="G142" s="61"/>
      <c r="H142" s="61"/>
      <c r="I142" s="61"/>
      <c r="J142" s="62" t="s">
        <v>308</v>
      </c>
    </row>
    <row r="143" spans="1:10" s="17" customFormat="1" hidden="1">
      <c r="A143" s="62" t="s">
        <v>309</v>
      </c>
      <c r="B143" s="63" t="s">
        <v>11</v>
      </c>
      <c r="C143" s="61" t="s">
        <v>11</v>
      </c>
      <c r="D143" s="61" t="s">
        <v>310</v>
      </c>
      <c r="E143" s="61"/>
      <c r="F143" s="61"/>
      <c r="G143" s="61"/>
      <c r="H143" s="61"/>
      <c r="I143" s="61"/>
      <c r="J143" s="62" t="s">
        <v>311</v>
      </c>
    </row>
    <row r="144" spans="1:10" s="17" customFormat="1">
      <c r="A144" s="62" t="s">
        <v>312</v>
      </c>
      <c r="B144" s="63" t="s">
        <v>14</v>
      </c>
      <c r="C144" s="63" t="s">
        <v>14</v>
      </c>
      <c r="D144" s="61" t="s">
        <v>313</v>
      </c>
      <c r="E144" s="61" t="s">
        <v>14</v>
      </c>
      <c r="F144" s="61"/>
      <c r="G144" s="61"/>
      <c r="H144" s="61"/>
      <c r="I144" s="61"/>
      <c r="J144" s="62" t="s">
        <v>314</v>
      </c>
    </row>
    <row r="145" spans="1:10" s="17" customFormat="1">
      <c r="A145" s="62" t="s">
        <v>315</v>
      </c>
      <c r="B145" s="63" t="s">
        <v>14</v>
      </c>
      <c r="C145" s="63" t="s">
        <v>14</v>
      </c>
      <c r="D145" s="61" t="s">
        <v>316</v>
      </c>
      <c r="E145" s="61" t="s">
        <v>14</v>
      </c>
      <c r="F145" s="61"/>
      <c r="G145" s="61"/>
      <c r="H145" s="61"/>
      <c r="I145" s="61"/>
      <c r="J145" s="62" t="s">
        <v>317</v>
      </c>
    </row>
    <row r="146" spans="1:10" s="17" customFormat="1">
      <c r="A146" s="62" t="s">
        <v>318</v>
      </c>
      <c r="B146" s="63" t="s">
        <v>14</v>
      </c>
      <c r="C146" s="63" t="s">
        <v>14</v>
      </c>
      <c r="D146" s="61" t="s">
        <v>316</v>
      </c>
      <c r="E146" s="61" t="s">
        <v>14</v>
      </c>
      <c r="F146" s="61"/>
      <c r="G146" s="61"/>
      <c r="H146" s="61"/>
      <c r="I146" s="61"/>
      <c r="J146" s="62" t="s">
        <v>319</v>
      </c>
    </row>
    <row r="147" spans="1:10" s="17" customFormat="1">
      <c r="A147" s="62" t="s">
        <v>320</v>
      </c>
      <c r="B147" s="63" t="s">
        <v>14</v>
      </c>
      <c r="C147" s="63" t="s">
        <v>14</v>
      </c>
      <c r="D147" s="61" t="s">
        <v>316</v>
      </c>
      <c r="E147" s="61" t="s">
        <v>14</v>
      </c>
      <c r="F147" s="61"/>
      <c r="G147" s="61"/>
      <c r="H147" s="61"/>
      <c r="I147" s="61"/>
      <c r="J147" s="62" t="s">
        <v>321</v>
      </c>
    </row>
    <row r="148" spans="1:10" s="17" customFormat="1" hidden="1">
      <c r="A148" s="62" t="s">
        <v>322</v>
      </c>
      <c r="B148" s="63" t="s">
        <v>11</v>
      </c>
      <c r="C148" s="63" t="s">
        <v>11</v>
      </c>
      <c r="D148" s="61"/>
      <c r="E148" s="61"/>
      <c r="F148" s="61"/>
      <c r="G148" s="61"/>
      <c r="H148" s="61"/>
      <c r="I148" s="61"/>
      <c r="J148" s="62" t="s">
        <v>323</v>
      </c>
    </row>
    <row r="149" spans="1:10" s="17" customFormat="1" hidden="1">
      <c r="A149" s="62" t="s">
        <v>324</v>
      </c>
      <c r="B149" s="63" t="s">
        <v>11</v>
      </c>
      <c r="C149" s="61" t="s">
        <v>11</v>
      </c>
      <c r="D149" s="61"/>
      <c r="E149" s="61"/>
      <c r="F149" s="61"/>
      <c r="G149" s="61"/>
      <c r="I149" s="61" t="s">
        <v>325</v>
      </c>
      <c r="J149" s="17" t="s">
        <v>326</v>
      </c>
    </row>
    <row r="150" spans="1:10" s="17" customFormat="1" hidden="1">
      <c r="A150" s="62" t="s">
        <v>327</v>
      </c>
      <c r="B150" s="63" t="s">
        <v>11</v>
      </c>
      <c r="C150" s="61" t="s">
        <v>14</v>
      </c>
      <c r="D150" s="61" t="s">
        <v>328</v>
      </c>
      <c r="E150" s="61"/>
      <c r="F150" s="61" t="s">
        <v>11</v>
      </c>
      <c r="G150" s="61" t="s">
        <v>14</v>
      </c>
      <c r="H150" s="61"/>
      <c r="I150" s="61"/>
      <c r="J150" s="62" t="s">
        <v>329</v>
      </c>
    </row>
    <row r="151" spans="1:10" s="17" customFormat="1" hidden="1">
      <c r="A151" s="62" t="s">
        <v>330</v>
      </c>
      <c r="B151" s="63" t="s">
        <v>11</v>
      </c>
      <c r="C151" s="61" t="s">
        <v>14</v>
      </c>
      <c r="D151" s="61" t="s">
        <v>328</v>
      </c>
      <c r="E151" s="61"/>
      <c r="F151" s="61" t="s">
        <v>11</v>
      </c>
      <c r="G151" s="61" t="s">
        <v>14</v>
      </c>
      <c r="H151" s="61"/>
      <c r="I151" s="61"/>
      <c r="J151" s="62" t="s">
        <v>331</v>
      </c>
    </row>
    <row r="152" spans="1:10" s="17" customFormat="1" hidden="1">
      <c r="A152" s="62" t="s">
        <v>332</v>
      </c>
      <c r="B152" s="63" t="s">
        <v>11</v>
      </c>
      <c r="C152" s="61" t="s">
        <v>14</v>
      </c>
      <c r="D152" s="61" t="s">
        <v>333</v>
      </c>
      <c r="E152" s="61"/>
      <c r="F152" s="61" t="s">
        <v>11</v>
      </c>
      <c r="G152" s="61" t="s">
        <v>14</v>
      </c>
      <c r="H152" s="61"/>
      <c r="I152" s="61"/>
      <c r="J152" s="62" t="s">
        <v>334</v>
      </c>
    </row>
    <row r="153" spans="1:10" s="17" customFormat="1" hidden="1">
      <c r="A153" s="62" t="s">
        <v>335</v>
      </c>
      <c r="B153" s="63" t="s">
        <v>11</v>
      </c>
      <c r="C153" s="61" t="s">
        <v>14</v>
      </c>
      <c r="D153" s="61"/>
      <c r="E153" s="61"/>
      <c r="F153" s="61" t="s">
        <v>11</v>
      </c>
      <c r="G153" s="61" t="s">
        <v>14</v>
      </c>
      <c r="H153" s="61"/>
      <c r="I153" s="61"/>
      <c r="J153" s="62" t="s">
        <v>336</v>
      </c>
    </row>
    <row r="154" spans="1:10" s="17" customFormat="1" hidden="1">
      <c r="A154" s="62" t="s">
        <v>337</v>
      </c>
      <c r="B154" s="63" t="s">
        <v>11</v>
      </c>
      <c r="C154" s="63" t="s">
        <v>11</v>
      </c>
      <c r="D154" s="61"/>
      <c r="E154" s="61"/>
      <c r="F154" s="61"/>
      <c r="G154" s="61"/>
      <c r="H154" s="61"/>
      <c r="I154" s="61"/>
      <c r="J154" s="62" t="s">
        <v>338</v>
      </c>
    </row>
    <row r="155" spans="1:10" s="17" customFormat="1" hidden="1">
      <c r="A155" s="62" t="s">
        <v>339</v>
      </c>
      <c r="B155" s="63" t="s">
        <v>11</v>
      </c>
      <c r="C155" s="63" t="s">
        <v>11</v>
      </c>
      <c r="D155" s="61"/>
      <c r="E155" s="61"/>
      <c r="F155" s="61"/>
      <c r="G155" s="61"/>
      <c r="H155" s="61"/>
      <c r="I155" s="61"/>
      <c r="J155" s="62" t="s">
        <v>340</v>
      </c>
    </row>
    <row r="156" spans="1:10" s="17" customFormat="1" hidden="1">
      <c r="A156" s="62" t="s">
        <v>341</v>
      </c>
      <c r="B156" s="63" t="s">
        <v>11</v>
      </c>
      <c r="C156" s="63" t="s">
        <v>11</v>
      </c>
      <c r="D156" s="61"/>
      <c r="E156" s="61"/>
      <c r="F156" s="61"/>
      <c r="G156" s="61"/>
      <c r="H156" s="61"/>
      <c r="I156" s="61"/>
      <c r="J156" s="62" t="s">
        <v>342</v>
      </c>
    </row>
    <row r="157" spans="1:10" s="17" customFormat="1">
      <c r="A157" s="62" t="s">
        <v>343</v>
      </c>
      <c r="B157" s="63" t="s">
        <v>14</v>
      </c>
      <c r="C157" s="63" t="s">
        <v>14</v>
      </c>
      <c r="D157" s="61"/>
      <c r="E157" s="61" t="s">
        <v>14</v>
      </c>
      <c r="F157" s="61"/>
      <c r="G157" s="61"/>
      <c r="H157" s="61"/>
      <c r="I157" s="61"/>
      <c r="J157" s="62" t="s">
        <v>344</v>
      </c>
    </row>
    <row r="158" spans="1:10" s="17" customFormat="1" hidden="1">
      <c r="A158" s="62" t="s">
        <v>345</v>
      </c>
      <c r="B158" s="63" t="s">
        <v>11</v>
      </c>
      <c r="C158" s="61" t="s">
        <v>14</v>
      </c>
      <c r="D158" s="61" t="s">
        <v>346</v>
      </c>
      <c r="E158" s="61"/>
      <c r="F158" s="61" t="s">
        <v>11</v>
      </c>
      <c r="G158" s="61" t="s">
        <v>14</v>
      </c>
      <c r="H158" s="61"/>
      <c r="I158" s="61"/>
      <c r="J158" s="62" t="s">
        <v>347</v>
      </c>
    </row>
    <row r="159" spans="1:10" s="17" customFormat="1">
      <c r="A159" s="62" t="s">
        <v>348</v>
      </c>
      <c r="B159" s="63" t="s">
        <v>11</v>
      </c>
      <c r="C159" s="63" t="s">
        <v>14</v>
      </c>
      <c r="D159" s="61" t="s">
        <v>349</v>
      </c>
      <c r="E159" s="61" t="s">
        <v>14</v>
      </c>
      <c r="F159" s="61"/>
      <c r="G159" s="61"/>
      <c r="H159" s="61"/>
      <c r="I159" s="61"/>
      <c r="J159" s="62" t="s">
        <v>350</v>
      </c>
    </row>
    <row r="160" spans="1:10" s="17" customFormat="1">
      <c r="A160" s="62" t="s">
        <v>351</v>
      </c>
      <c r="B160" s="63" t="s">
        <v>11</v>
      </c>
      <c r="C160" s="63" t="s">
        <v>14</v>
      </c>
      <c r="D160" s="61" t="s">
        <v>349</v>
      </c>
      <c r="E160" s="61" t="s">
        <v>14</v>
      </c>
      <c r="F160" s="61"/>
      <c r="G160" s="61"/>
      <c r="H160" s="61"/>
      <c r="I160" s="61"/>
      <c r="J160" s="62" t="s">
        <v>352</v>
      </c>
    </row>
    <row r="161" spans="1:10" s="17" customFormat="1">
      <c r="A161" s="62" t="s">
        <v>353</v>
      </c>
      <c r="B161" s="63" t="s">
        <v>11</v>
      </c>
      <c r="C161" s="63" t="s">
        <v>14</v>
      </c>
      <c r="D161" s="61" t="s">
        <v>349</v>
      </c>
      <c r="E161" s="61" t="s">
        <v>14</v>
      </c>
      <c r="F161" s="61"/>
      <c r="G161" s="61"/>
      <c r="H161" s="61"/>
      <c r="I161" s="61"/>
      <c r="J161" s="62" t="s">
        <v>354</v>
      </c>
    </row>
    <row r="162" spans="1:10" s="17" customFormat="1">
      <c r="A162" s="62" t="s">
        <v>355</v>
      </c>
      <c r="B162" s="63" t="s">
        <v>14</v>
      </c>
      <c r="C162" s="63" t="s">
        <v>14</v>
      </c>
      <c r="D162" s="61" t="s">
        <v>356</v>
      </c>
      <c r="E162" s="61" t="s">
        <v>14</v>
      </c>
      <c r="F162" s="61"/>
      <c r="G162" s="61"/>
      <c r="H162" s="61"/>
      <c r="I162" s="61"/>
      <c r="J162" s="62" t="s">
        <v>357</v>
      </c>
    </row>
    <row r="163" spans="1:10" s="17" customFormat="1">
      <c r="A163" s="62" t="s">
        <v>358</v>
      </c>
      <c r="B163" s="63" t="s">
        <v>11</v>
      </c>
      <c r="C163" s="63" t="s">
        <v>14</v>
      </c>
      <c r="D163" s="61" t="s">
        <v>359</v>
      </c>
      <c r="E163" s="61" t="s">
        <v>14</v>
      </c>
      <c r="F163" s="61"/>
      <c r="G163" s="61"/>
      <c r="H163" s="61"/>
      <c r="I163" s="61"/>
      <c r="J163" s="62" t="s">
        <v>360</v>
      </c>
    </row>
    <row r="164" spans="1:10" s="17" customFormat="1">
      <c r="A164" s="62" t="s">
        <v>361</v>
      </c>
      <c r="B164" s="63" t="s">
        <v>14</v>
      </c>
      <c r="C164" s="63" t="s">
        <v>14</v>
      </c>
      <c r="D164" s="61" t="s">
        <v>359</v>
      </c>
      <c r="E164" s="61" t="s">
        <v>14</v>
      </c>
      <c r="F164" s="61"/>
      <c r="G164" s="61"/>
      <c r="H164" s="61"/>
      <c r="I164" s="61"/>
      <c r="J164" s="62" t="s">
        <v>362</v>
      </c>
    </row>
    <row r="165" spans="1:10" s="17" customFormat="1">
      <c r="A165" s="62" t="s">
        <v>363</v>
      </c>
      <c r="B165" s="63" t="s">
        <v>14</v>
      </c>
      <c r="C165" s="63" t="s">
        <v>14</v>
      </c>
      <c r="D165" s="61" t="s">
        <v>356</v>
      </c>
      <c r="E165" s="61" t="s">
        <v>14</v>
      </c>
      <c r="F165" s="61"/>
      <c r="G165" s="61"/>
      <c r="H165" s="61"/>
      <c r="I165" s="61"/>
      <c r="J165" s="62" t="s">
        <v>364</v>
      </c>
    </row>
    <row r="166" spans="1:10" s="17" customFormat="1">
      <c r="A166" s="62" t="s">
        <v>365</v>
      </c>
      <c r="B166" s="63" t="s">
        <v>14</v>
      </c>
      <c r="C166" s="63" t="s">
        <v>14</v>
      </c>
      <c r="D166" s="61" t="s">
        <v>356</v>
      </c>
      <c r="E166" s="61" t="s">
        <v>14</v>
      </c>
      <c r="F166" s="61"/>
      <c r="G166" s="61"/>
      <c r="H166" s="61"/>
      <c r="I166" s="61"/>
      <c r="J166" s="62" t="s">
        <v>366</v>
      </c>
    </row>
    <row r="167" spans="1:10" s="17" customFormat="1">
      <c r="A167" s="62" t="s">
        <v>367</v>
      </c>
      <c r="B167" s="63" t="s">
        <v>14</v>
      </c>
      <c r="C167" s="63" t="s">
        <v>14</v>
      </c>
      <c r="D167" s="61" t="s">
        <v>356</v>
      </c>
      <c r="E167" s="61" t="s">
        <v>14</v>
      </c>
      <c r="F167" s="61"/>
      <c r="G167" s="61"/>
      <c r="H167" s="61"/>
      <c r="I167" s="61"/>
      <c r="J167" s="62" t="s">
        <v>368</v>
      </c>
    </row>
    <row r="168" spans="1:10" s="17" customFormat="1">
      <c r="A168" s="62" t="s">
        <v>369</v>
      </c>
      <c r="B168" s="63" t="s">
        <v>14</v>
      </c>
      <c r="C168" s="63" t="s">
        <v>14</v>
      </c>
      <c r="D168" s="61" t="s">
        <v>356</v>
      </c>
      <c r="E168" s="61" t="s">
        <v>14</v>
      </c>
      <c r="F168" s="61"/>
      <c r="G168" s="61"/>
      <c r="H168" s="61"/>
      <c r="I168" s="61"/>
      <c r="J168" s="62" t="s">
        <v>370</v>
      </c>
    </row>
    <row r="169" spans="1:10" s="17" customFormat="1" hidden="1">
      <c r="A169" s="62" t="s">
        <v>371</v>
      </c>
      <c r="B169" s="63" t="s">
        <v>11</v>
      </c>
      <c r="C169" s="61" t="s">
        <v>11</v>
      </c>
      <c r="D169" s="61" t="s">
        <v>356</v>
      </c>
      <c r="E169" s="61"/>
      <c r="F169" s="61"/>
      <c r="G169" s="61"/>
      <c r="H169" s="61"/>
      <c r="I169" s="61"/>
      <c r="J169" s="62" t="s">
        <v>372</v>
      </c>
    </row>
    <row r="170" spans="1:10" s="17" customFormat="1">
      <c r="A170" s="62" t="s">
        <v>373</v>
      </c>
      <c r="B170" s="63" t="s">
        <v>14</v>
      </c>
      <c r="C170" s="63" t="s">
        <v>14</v>
      </c>
      <c r="D170" s="61" t="s">
        <v>374</v>
      </c>
      <c r="E170" s="61" t="s">
        <v>14</v>
      </c>
      <c r="F170" s="61"/>
      <c r="G170" s="61"/>
      <c r="H170" s="61"/>
      <c r="I170" s="61"/>
      <c r="J170" s="62" t="s">
        <v>375</v>
      </c>
    </row>
    <row r="171" spans="1:10" s="17" customFormat="1">
      <c r="A171" s="62" t="s">
        <v>376</v>
      </c>
      <c r="B171" s="63" t="s">
        <v>14</v>
      </c>
      <c r="C171" s="63" t="s">
        <v>14</v>
      </c>
      <c r="D171" s="61" t="s">
        <v>374</v>
      </c>
      <c r="E171" s="61" t="s">
        <v>14</v>
      </c>
      <c r="F171" s="61"/>
      <c r="G171" s="61"/>
      <c r="H171" s="61"/>
      <c r="I171" s="61"/>
      <c r="J171" s="62" t="s">
        <v>377</v>
      </c>
    </row>
    <row r="172" spans="1:10" s="17" customFormat="1">
      <c r="A172" s="62" t="s">
        <v>378</v>
      </c>
      <c r="B172" s="63" t="s">
        <v>14</v>
      </c>
      <c r="C172" s="63" t="s">
        <v>14</v>
      </c>
      <c r="D172" s="61" t="s">
        <v>374</v>
      </c>
      <c r="E172" s="61" t="s">
        <v>14</v>
      </c>
      <c r="F172" s="61"/>
      <c r="G172" s="61"/>
      <c r="H172" s="61"/>
      <c r="I172" s="61"/>
      <c r="J172" s="62" t="s">
        <v>379</v>
      </c>
    </row>
    <row r="173" spans="1:10" s="17" customFormat="1">
      <c r="A173" s="62" t="s">
        <v>380</v>
      </c>
      <c r="B173" s="63" t="s">
        <v>14</v>
      </c>
      <c r="C173" s="63" t="s">
        <v>14</v>
      </c>
      <c r="D173" s="61" t="s">
        <v>374</v>
      </c>
      <c r="E173" s="61" t="s">
        <v>14</v>
      </c>
      <c r="F173" s="61"/>
      <c r="G173" s="61"/>
      <c r="H173" s="61"/>
      <c r="I173" s="61"/>
      <c r="J173" s="62" t="s">
        <v>379</v>
      </c>
    </row>
    <row r="174" spans="1:10" s="17" customFormat="1">
      <c r="A174" s="62" t="s">
        <v>381</v>
      </c>
      <c r="B174" s="63" t="s">
        <v>14</v>
      </c>
      <c r="C174" s="63" t="s">
        <v>14</v>
      </c>
      <c r="D174" s="61" t="s">
        <v>374</v>
      </c>
      <c r="E174" s="61" t="s">
        <v>14</v>
      </c>
      <c r="F174" s="61"/>
      <c r="G174" s="61"/>
      <c r="H174" s="61"/>
      <c r="I174" s="61"/>
      <c r="J174" s="62" t="s">
        <v>382</v>
      </c>
    </row>
    <row r="175" spans="1:10" s="17" customFormat="1">
      <c r="A175" s="62" t="s">
        <v>383</v>
      </c>
      <c r="B175" s="63" t="s">
        <v>14</v>
      </c>
      <c r="C175" s="63" t="s">
        <v>14</v>
      </c>
      <c r="D175" s="61" t="s">
        <v>374</v>
      </c>
      <c r="E175" s="61" t="s">
        <v>14</v>
      </c>
      <c r="F175" s="61"/>
      <c r="G175" s="61"/>
      <c r="H175" s="61"/>
      <c r="I175" s="61"/>
      <c r="J175" s="62" t="s">
        <v>384</v>
      </c>
    </row>
    <row r="176" spans="1:10" s="17" customFormat="1">
      <c r="A176" s="62" t="s">
        <v>385</v>
      </c>
      <c r="B176" s="63" t="s">
        <v>14</v>
      </c>
      <c r="C176" s="63" t="s">
        <v>14</v>
      </c>
      <c r="D176" s="61" t="s">
        <v>374</v>
      </c>
      <c r="E176" s="61" t="s">
        <v>14</v>
      </c>
      <c r="F176" s="61"/>
      <c r="G176" s="61"/>
      <c r="H176" s="61"/>
      <c r="I176" s="61"/>
      <c r="J176" s="62" t="s">
        <v>386</v>
      </c>
    </row>
    <row r="177" spans="1:10" s="17" customFormat="1" hidden="1">
      <c r="A177" s="62" t="s">
        <v>387</v>
      </c>
      <c r="B177" s="63" t="s">
        <v>11</v>
      </c>
      <c r="C177" s="63" t="s">
        <v>11</v>
      </c>
      <c r="D177" s="61"/>
      <c r="E177" s="61"/>
      <c r="F177" s="61"/>
      <c r="G177" s="61"/>
      <c r="H177" s="61"/>
      <c r="I177" s="61"/>
      <c r="J177" s="62" t="s">
        <v>388</v>
      </c>
    </row>
    <row r="178" spans="1:10" s="17" customFormat="1" hidden="1">
      <c r="A178" s="62" t="s">
        <v>389</v>
      </c>
      <c r="B178" s="63" t="s">
        <v>11</v>
      </c>
      <c r="C178" s="63" t="s">
        <v>11</v>
      </c>
      <c r="D178" s="61"/>
      <c r="E178" s="61"/>
      <c r="F178" s="61"/>
      <c r="G178" s="61"/>
      <c r="H178" s="61"/>
      <c r="I178" s="61"/>
      <c r="J178" s="62" t="s">
        <v>390</v>
      </c>
    </row>
    <row r="179" spans="1:10" s="17" customFormat="1" hidden="1">
      <c r="A179" s="62" t="s">
        <v>391</v>
      </c>
      <c r="B179" s="63" t="s">
        <v>11</v>
      </c>
      <c r="C179" s="63" t="s">
        <v>11</v>
      </c>
      <c r="D179" s="61"/>
      <c r="E179" s="61"/>
      <c r="F179" s="61"/>
      <c r="G179" s="61"/>
      <c r="H179" s="61"/>
      <c r="I179" s="61"/>
      <c r="J179" s="62" t="s">
        <v>392</v>
      </c>
    </row>
    <row r="180" spans="1:10" s="17" customFormat="1" hidden="1">
      <c r="A180" s="62" t="s">
        <v>393</v>
      </c>
      <c r="B180" s="63" t="s">
        <v>11</v>
      </c>
      <c r="C180" s="63" t="s">
        <v>11</v>
      </c>
      <c r="D180" s="61"/>
      <c r="E180" s="61"/>
      <c r="F180" s="61"/>
      <c r="G180" s="61"/>
      <c r="H180" s="61"/>
      <c r="I180" s="61"/>
      <c r="J180" s="62" t="s">
        <v>394</v>
      </c>
    </row>
    <row r="181" spans="1:10" s="17" customFormat="1" hidden="1">
      <c r="A181" s="62" t="s">
        <v>395</v>
      </c>
      <c r="B181" s="63" t="s">
        <v>11</v>
      </c>
      <c r="C181" s="63" t="s">
        <v>11</v>
      </c>
      <c r="D181" s="61"/>
      <c r="E181" s="61"/>
      <c r="F181" s="61"/>
      <c r="G181" s="61"/>
      <c r="H181" s="61"/>
      <c r="I181" s="61"/>
      <c r="J181" s="62" t="s">
        <v>396</v>
      </c>
    </row>
    <row r="182" spans="1:10" s="17" customFormat="1" hidden="1">
      <c r="A182" s="62" t="s">
        <v>397</v>
      </c>
      <c r="B182" s="63" t="s">
        <v>11</v>
      </c>
      <c r="C182" s="63" t="s">
        <v>11</v>
      </c>
      <c r="D182" s="61"/>
      <c r="E182" s="61"/>
      <c r="F182" s="61"/>
      <c r="G182" s="61"/>
      <c r="H182" s="61"/>
      <c r="I182" s="61"/>
      <c r="J182" s="62" t="s">
        <v>398</v>
      </c>
    </row>
    <row r="183" spans="1:10" s="17" customFormat="1" hidden="1">
      <c r="A183" s="62" t="s">
        <v>399</v>
      </c>
      <c r="B183" s="63" t="s">
        <v>11</v>
      </c>
      <c r="C183" s="63" t="s">
        <v>11</v>
      </c>
      <c r="D183" s="61"/>
      <c r="E183" s="61"/>
      <c r="F183" s="61"/>
      <c r="G183" s="61"/>
      <c r="H183" s="61"/>
      <c r="I183" s="61"/>
      <c r="J183" s="62" t="s">
        <v>400</v>
      </c>
    </row>
    <row r="184" spans="1:10" s="17" customFormat="1" hidden="1">
      <c r="A184" s="62" t="s">
        <v>401</v>
      </c>
      <c r="B184" s="63" t="s">
        <v>11</v>
      </c>
      <c r="C184" s="63" t="s">
        <v>11</v>
      </c>
      <c r="D184" s="61"/>
      <c r="E184" s="61"/>
      <c r="F184" s="61"/>
      <c r="G184" s="61"/>
      <c r="H184" s="61"/>
      <c r="I184" s="61"/>
      <c r="J184" s="62" t="s">
        <v>402</v>
      </c>
    </row>
    <row r="185" spans="1:10" s="17" customFormat="1" hidden="1">
      <c r="A185" s="62" t="s">
        <v>403</v>
      </c>
      <c r="B185" s="63" t="s">
        <v>11</v>
      </c>
      <c r="C185" s="63" t="s">
        <v>11</v>
      </c>
      <c r="D185" s="61"/>
      <c r="E185" s="61"/>
      <c r="F185" s="61"/>
      <c r="G185" s="61"/>
      <c r="H185" s="61"/>
      <c r="I185" s="61"/>
      <c r="J185" s="62" t="s">
        <v>404</v>
      </c>
    </row>
    <row r="186" spans="1:10" s="17" customFormat="1" hidden="1">
      <c r="A186" s="62" t="s">
        <v>405</v>
      </c>
      <c r="B186" s="63" t="s">
        <v>11</v>
      </c>
      <c r="C186" s="63" t="s">
        <v>11</v>
      </c>
      <c r="D186" s="61"/>
      <c r="E186" s="61"/>
      <c r="F186" s="61"/>
      <c r="G186" s="61"/>
      <c r="H186" s="61"/>
      <c r="I186" s="61"/>
      <c r="J186" s="62" t="s">
        <v>406</v>
      </c>
    </row>
    <row r="187" spans="1:10" s="17" customFormat="1" hidden="1">
      <c r="A187" s="62" t="s">
        <v>407</v>
      </c>
      <c r="B187" s="63" t="s">
        <v>11</v>
      </c>
      <c r="C187" s="63" t="s">
        <v>11</v>
      </c>
      <c r="D187" s="61"/>
      <c r="E187" s="61"/>
      <c r="F187" s="61"/>
      <c r="G187" s="61"/>
      <c r="H187" s="61"/>
      <c r="I187" s="61"/>
      <c r="J187" s="62" t="s">
        <v>408</v>
      </c>
    </row>
    <row r="188" spans="1:10" s="17" customFormat="1">
      <c r="A188" s="62" t="s">
        <v>409</v>
      </c>
      <c r="B188" s="63" t="s">
        <v>14</v>
      </c>
      <c r="C188" s="63" t="s">
        <v>14</v>
      </c>
      <c r="D188" s="61" t="s">
        <v>410</v>
      </c>
      <c r="E188" s="61" t="s">
        <v>14</v>
      </c>
      <c r="F188" s="61"/>
      <c r="G188" s="61"/>
      <c r="H188" s="61"/>
      <c r="I188" s="61"/>
      <c r="J188" s="62" t="s">
        <v>411</v>
      </c>
    </row>
    <row r="189" spans="1:10" s="17" customFormat="1">
      <c r="A189" s="62" t="s">
        <v>412</v>
      </c>
      <c r="B189" s="63" t="s">
        <v>11</v>
      </c>
      <c r="C189" s="63" t="s">
        <v>14</v>
      </c>
      <c r="D189" s="61" t="s">
        <v>410</v>
      </c>
      <c r="E189" s="61" t="s">
        <v>14</v>
      </c>
      <c r="F189" s="61"/>
      <c r="G189" s="61"/>
      <c r="H189" s="61"/>
      <c r="I189" s="61"/>
      <c r="J189" s="62" t="s">
        <v>411</v>
      </c>
    </row>
    <row r="190" spans="1:10" s="17" customFormat="1">
      <c r="A190" s="62" t="s">
        <v>413</v>
      </c>
      <c r="B190" s="63" t="s">
        <v>14</v>
      </c>
      <c r="C190" s="63" t="s">
        <v>14</v>
      </c>
      <c r="D190" s="61" t="s">
        <v>410</v>
      </c>
      <c r="E190" s="61" t="s">
        <v>14</v>
      </c>
      <c r="F190" s="61"/>
      <c r="G190" s="61"/>
      <c r="H190" s="61"/>
      <c r="I190" s="61"/>
      <c r="J190" s="62" t="s">
        <v>414</v>
      </c>
    </row>
    <row r="191" spans="1:10" s="17" customFormat="1">
      <c r="A191" s="62" t="s">
        <v>415</v>
      </c>
      <c r="B191" s="63" t="s">
        <v>14</v>
      </c>
      <c r="C191" s="63" t="s">
        <v>14</v>
      </c>
      <c r="D191" s="61" t="s">
        <v>410</v>
      </c>
      <c r="E191" s="61" t="s">
        <v>14</v>
      </c>
      <c r="F191" s="61"/>
      <c r="G191" s="61"/>
      <c r="H191" s="61"/>
      <c r="I191" s="61"/>
      <c r="J191" s="62" t="s">
        <v>416</v>
      </c>
    </row>
    <row r="192" spans="1:10" s="17" customFormat="1">
      <c r="A192" s="62" t="s">
        <v>417</v>
      </c>
      <c r="B192" s="63" t="s">
        <v>14</v>
      </c>
      <c r="C192" s="63" t="s">
        <v>14</v>
      </c>
      <c r="D192" s="61" t="s">
        <v>418</v>
      </c>
      <c r="E192" s="61" t="s">
        <v>14</v>
      </c>
      <c r="F192" s="61"/>
      <c r="G192" s="61"/>
      <c r="H192" s="61"/>
      <c r="I192" s="61"/>
      <c r="J192" s="62" t="s">
        <v>419</v>
      </c>
    </row>
    <row r="193" spans="1:10" s="17" customFormat="1">
      <c r="A193" s="62" t="s">
        <v>420</v>
      </c>
      <c r="B193" s="63" t="s">
        <v>11</v>
      </c>
      <c r="C193" s="63" t="s">
        <v>14</v>
      </c>
      <c r="D193" s="61" t="s">
        <v>421</v>
      </c>
      <c r="E193" s="61" t="s">
        <v>14</v>
      </c>
      <c r="F193" s="61"/>
      <c r="G193" s="61"/>
      <c r="H193" s="61"/>
      <c r="I193" s="61"/>
      <c r="J193" s="62" t="s">
        <v>422</v>
      </c>
    </row>
    <row r="194" spans="1:10" s="17" customFormat="1">
      <c r="A194" s="62" t="s">
        <v>423</v>
      </c>
      <c r="B194" s="63" t="s">
        <v>11</v>
      </c>
      <c r="C194" s="63" t="s">
        <v>14</v>
      </c>
      <c r="D194" s="61" t="s">
        <v>421</v>
      </c>
      <c r="E194" s="61" t="s">
        <v>14</v>
      </c>
      <c r="F194" s="61"/>
      <c r="G194" s="61"/>
      <c r="H194" s="61"/>
      <c r="I194" s="61"/>
      <c r="J194" s="62" t="s">
        <v>424</v>
      </c>
    </row>
    <row r="195" spans="1:10" s="17" customFormat="1" hidden="1">
      <c r="A195" s="62" t="s">
        <v>425</v>
      </c>
      <c r="B195" s="63" t="s">
        <v>11</v>
      </c>
      <c r="C195" s="61" t="s">
        <v>11</v>
      </c>
      <c r="D195" s="61" t="s">
        <v>426</v>
      </c>
      <c r="E195" s="61"/>
      <c r="F195" s="61"/>
      <c r="G195" s="61"/>
      <c r="H195" s="61"/>
      <c r="I195" s="61"/>
      <c r="J195" s="62" t="s">
        <v>427</v>
      </c>
    </row>
    <row r="196" spans="1:10" s="17" customFormat="1">
      <c r="A196" s="62" t="s">
        <v>428</v>
      </c>
      <c r="B196" s="63" t="s">
        <v>14</v>
      </c>
      <c r="C196" s="63" t="s">
        <v>14</v>
      </c>
      <c r="D196" s="61" t="s">
        <v>429</v>
      </c>
      <c r="E196" s="61" t="s">
        <v>14</v>
      </c>
      <c r="F196" s="61"/>
      <c r="G196" s="61"/>
      <c r="H196" s="61"/>
      <c r="I196" s="61"/>
      <c r="J196" s="62" t="s">
        <v>430</v>
      </c>
    </row>
    <row r="197" spans="1:10" s="17" customFormat="1">
      <c r="A197" s="62" t="s">
        <v>431</v>
      </c>
      <c r="B197" s="63" t="s">
        <v>14</v>
      </c>
      <c r="C197" s="63" t="s">
        <v>14</v>
      </c>
      <c r="D197" s="61" t="s">
        <v>316</v>
      </c>
      <c r="E197" s="61" t="s">
        <v>14</v>
      </c>
      <c r="F197" s="61"/>
      <c r="G197" s="61"/>
      <c r="H197" s="61"/>
      <c r="I197" s="61"/>
      <c r="J197" s="62" t="s">
        <v>432</v>
      </c>
    </row>
    <row r="198" spans="1:10" s="17" customFormat="1" hidden="1">
      <c r="A198" s="62" t="s">
        <v>433</v>
      </c>
      <c r="B198" s="63" t="s">
        <v>11</v>
      </c>
      <c r="C198" s="63" t="s">
        <v>11</v>
      </c>
      <c r="D198" s="61"/>
      <c r="E198" s="61"/>
      <c r="F198" s="61"/>
      <c r="G198" s="61"/>
      <c r="H198" s="61"/>
      <c r="I198" s="61"/>
      <c r="J198" s="62" t="s">
        <v>434</v>
      </c>
    </row>
    <row r="199" spans="1:10" s="17" customFormat="1" hidden="1">
      <c r="A199" s="62" t="s">
        <v>435</v>
      </c>
      <c r="B199" s="63" t="s">
        <v>11</v>
      </c>
      <c r="C199" s="63" t="s">
        <v>11</v>
      </c>
      <c r="D199" s="61"/>
      <c r="E199" s="61"/>
      <c r="F199" s="61"/>
      <c r="G199" s="61"/>
      <c r="H199" s="61"/>
      <c r="I199" s="61"/>
      <c r="J199" s="62" t="s">
        <v>436</v>
      </c>
    </row>
    <row r="200" spans="1:10" s="17" customFormat="1" hidden="1">
      <c r="A200" s="62" t="s">
        <v>437</v>
      </c>
      <c r="B200" s="63" t="s">
        <v>11</v>
      </c>
      <c r="C200" s="63" t="s">
        <v>11</v>
      </c>
      <c r="D200" s="61"/>
      <c r="E200" s="61"/>
      <c r="F200" s="61"/>
      <c r="G200" s="61"/>
      <c r="H200" s="61"/>
      <c r="I200" s="61"/>
      <c r="J200" s="62" t="s">
        <v>437</v>
      </c>
    </row>
    <row r="201" spans="1:10" s="17" customFormat="1" hidden="1">
      <c r="A201" s="62" t="s">
        <v>438</v>
      </c>
      <c r="B201" s="63" t="s">
        <v>11</v>
      </c>
      <c r="C201" s="61" t="s">
        <v>14</v>
      </c>
      <c r="D201" s="61"/>
      <c r="E201" s="61"/>
      <c r="F201" s="61" t="s">
        <v>11</v>
      </c>
      <c r="G201" s="61" t="s">
        <v>14</v>
      </c>
      <c r="H201" s="61"/>
      <c r="I201" s="61"/>
      <c r="J201" s="62" t="s">
        <v>439</v>
      </c>
    </row>
    <row r="202" spans="1:10" s="17" customFormat="1" hidden="1">
      <c r="A202" s="62" t="s">
        <v>440</v>
      </c>
      <c r="B202" s="63" t="s">
        <v>11</v>
      </c>
      <c r="C202" s="63" t="s">
        <v>11</v>
      </c>
      <c r="D202" s="61"/>
      <c r="E202" s="61"/>
      <c r="F202" s="61"/>
      <c r="G202" s="61"/>
      <c r="H202" s="61"/>
      <c r="I202" s="61"/>
      <c r="J202" s="62" t="s">
        <v>441</v>
      </c>
    </row>
    <row r="203" spans="1:10" s="17" customFormat="1" hidden="1">
      <c r="A203" s="62" t="s">
        <v>442</v>
      </c>
      <c r="B203" s="63" t="s">
        <v>11</v>
      </c>
      <c r="C203" s="63" t="s">
        <v>14</v>
      </c>
      <c r="D203" s="61"/>
      <c r="E203" s="61"/>
      <c r="F203" s="61" t="s">
        <v>14</v>
      </c>
      <c r="G203" s="61" t="s">
        <v>11</v>
      </c>
      <c r="H203" s="61"/>
      <c r="I203" s="61"/>
      <c r="J203" s="62" t="s">
        <v>443</v>
      </c>
    </row>
    <row r="204" spans="1:10" s="17" customFormat="1" hidden="1">
      <c r="A204" s="62" t="s">
        <v>444</v>
      </c>
      <c r="B204" s="63" t="s">
        <v>11</v>
      </c>
      <c r="C204" s="63" t="s">
        <v>11</v>
      </c>
      <c r="D204" s="61"/>
      <c r="E204" s="61"/>
      <c r="F204" s="61"/>
      <c r="G204" s="61"/>
      <c r="H204" s="61"/>
      <c r="I204" s="61"/>
      <c r="J204" s="62" t="s">
        <v>445</v>
      </c>
    </row>
    <row r="205" spans="1:10" s="17" customFormat="1" hidden="1">
      <c r="A205" s="62" t="s">
        <v>446</v>
      </c>
      <c r="B205" s="63" t="s">
        <v>11</v>
      </c>
      <c r="C205" s="63" t="s">
        <v>11</v>
      </c>
      <c r="D205" s="61"/>
      <c r="E205" s="61"/>
      <c r="F205" s="61"/>
      <c r="G205" s="61"/>
      <c r="H205" s="61"/>
      <c r="I205" s="61"/>
      <c r="J205" s="62" t="s">
        <v>447</v>
      </c>
    </row>
    <row r="206" spans="1:10" s="17" customFormat="1" hidden="1">
      <c r="A206" s="62" t="s">
        <v>448</v>
      </c>
      <c r="B206" s="63" t="s">
        <v>11</v>
      </c>
      <c r="C206" s="63" t="s">
        <v>11</v>
      </c>
      <c r="D206" s="61"/>
      <c r="E206" s="61"/>
      <c r="F206" s="61"/>
      <c r="G206" s="61"/>
      <c r="H206" s="61"/>
      <c r="I206" s="61"/>
      <c r="J206" s="62" t="s">
        <v>449</v>
      </c>
    </row>
    <row r="207" spans="1:10" s="17" customFormat="1" hidden="1">
      <c r="A207" s="62" t="s">
        <v>450</v>
      </c>
      <c r="B207" s="63" t="s">
        <v>11</v>
      </c>
      <c r="C207" s="61" t="s">
        <v>11</v>
      </c>
      <c r="D207" s="61"/>
      <c r="E207" s="61"/>
      <c r="F207" s="61"/>
      <c r="G207" s="61"/>
      <c r="H207" s="61"/>
      <c r="I207" s="61"/>
      <c r="J207" s="62" t="s">
        <v>451</v>
      </c>
    </row>
    <row r="208" spans="1:10" s="17" customFormat="1" hidden="1">
      <c r="A208" s="62" t="s">
        <v>452</v>
      </c>
      <c r="B208" s="63" t="s">
        <v>11</v>
      </c>
      <c r="C208" s="63" t="s">
        <v>11</v>
      </c>
      <c r="D208" s="61"/>
      <c r="E208" s="61"/>
      <c r="F208" s="61"/>
      <c r="G208" s="61"/>
      <c r="H208" s="61"/>
      <c r="I208" s="61"/>
      <c r="J208" s="62" t="s">
        <v>453</v>
      </c>
    </row>
    <row r="209" spans="1:10" s="17" customFormat="1" hidden="1">
      <c r="A209" s="62" t="s">
        <v>454</v>
      </c>
      <c r="B209" s="63" t="s">
        <v>11</v>
      </c>
      <c r="C209" s="63" t="s">
        <v>11</v>
      </c>
      <c r="D209" s="61"/>
      <c r="E209" s="61"/>
      <c r="F209" s="61"/>
      <c r="G209" s="61"/>
      <c r="H209" s="61"/>
      <c r="I209" s="61"/>
      <c r="J209" s="62" t="s">
        <v>455</v>
      </c>
    </row>
    <row r="210" spans="1:10" s="17" customFormat="1" hidden="1">
      <c r="A210" s="62" t="s">
        <v>456</v>
      </c>
      <c r="B210" s="63" t="s">
        <v>11</v>
      </c>
      <c r="C210" s="63" t="s">
        <v>11</v>
      </c>
      <c r="D210" s="61"/>
      <c r="E210" s="61"/>
      <c r="F210" s="61"/>
      <c r="G210" s="61"/>
      <c r="H210" s="61"/>
      <c r="I210" s="61"/>
      <c r="J210" s="62" t="s">
        <v>457</v>
      </c>
    </row>
    <row r="211" spans="1:10" s="17" customFormat="1" hidden="1">
      <c r="A211" s="62" t="s">
        <v>458</v>
      </c>
      <c r="B211" s="63" t="s">
        <v>11</v>
      </c>
      <c r="C211" s="63" t="s">
        <v>11</v>
      </c>
      <c r="D211" s="61"/>
      <c r="E211" s="61"/>
      <c r="F211" s="61"/>
      <c r="G211" s="61"/>
      <c r="H211" s="61"/>
      <c r="I211" s="61"/>
      <c r="J211" s="62" t="s">
        <v>459</v>
      </c>
    </row>
    <row r="212" spans="1:10" s="17" customFormat="1" hidden="1">
      <c r="A212" s="62" t="s">
        <v>460</v>
      </c>
      <c r="B212" s="63" t="s">
        <v>11</v>
      </c>
      <c r="C212" s="63" t="s">
        <v>11</v>
      </c>
      <c r="D212" s="61"/>
      <c r="E212" s="61"/>
      <c r="F212" s="61"/>
      <c r="G212" s="61"/>
      <c r="H212" s="61"/>
      <c r="I212" s="61"/>
      <c r="J212" s="62" t="s">
        <v>461</v>
      </c>
    </row>
    <row r="213" spans="1:10" s="17" customFormat="1" hidden="1">
      <c r="A213" s="62" t="s">
        <v>462</v>
      </c>
      <c r="B213" s="63" t="s">
        <v>11</v>
      </c>
      <c r="C213" s="63" t="s">
        <v>11</v>
      </c>
      <c r="D213" s="61"/>
      <c r="E213" s="61"/>
      <c r="F213" s="61"/>
      <c r="G213" s="61"/>
      <c r="H213" s="61"/>
      <c r="I213" s="61"/>
      <c r="J213" s="62" t="s">
        <v>463</v>
      </c>
    </row>
    <row r="214" spans="1:10" s="17" customFormat="1" hidden="1">
      <c r="A214" s="62" t="s">
        <v>464</v>
      </c>
      <c r="B214" s="63" t="s">
        <v>11</v>
      </c>
      <c r="C214" s="63" t="s">
        <v>11</v>
      </c>
      <c r="D214" s="61"/>
      <c r="E214" s="61"/>
      <c r="F214" s="61"/>
      <c r="G214" s="61"/>
      <c r="H214" s="61"/>
      <c r="I214" s="61"/>
      <c r="J214" s="62" t="s">
        <v>465</v>
      </c>
    </row>
    <row r="215" spans="1:10" s="17" customFormat="1" hidden="1">
      <c r="A215" s="62" t="s">
        <v>466</v>
      </c>
      <c r="B215" s="63" t="s">
        <v>11</v>
      </c>
      <c r="C215" s="63" t="s">
        <v>11</v>
      </c>
      <c r="D215" s="61"/>
      <c r="E215" s="61"/>
      <c r="F215" s="61"/>
      <c r="G215" s="61"/>
      <c r="H215" s="61"/>
      <c r="I215" s="61"/>
      <c r="J215" s="62" t="s">
        <v>467</v>
      </c>
    </row>
    <row r="216" spans="1:10" s="17" customFormat="1" hidden="1">
      <c r="A216" s="62" t="s">
        <v>468</v>
      </c>
      <c r="B216" s="63" t="s">
        <v>11</v>
      </c>
      <c r="C216" s="63" t="s">
        <v>11</v>
      </c>
      <c r="D216" s="61"/>
      <c r="E216" s="61"/>
      <c r="F216" s="61"/>
      <c r="G216" s="61"/>
      <c r="H216" s="61"/>
      <c r="I216" s="61"/>
      <c r="J216" s="62" t="s">
        <v>469</v>
      </c>
    </row>
    <row r="217" spans="1:10" s="17" customFormat="1" hidden="1">
      <c r="A217" s="62" t="s">
        <v>470</v>
      </c>
      <c r="B217" s="63" t="s">
        <v>11</v>
      </c>
      <c r="C217" s="63" t="s">
        <v>11</v>
      </c>
      <c r="D217" s="61"/>
      <c r="E217" s="61"/>
      <c r="F217" s="61"/>
      <c r="G217" s="61"/>
      <c r="H217" s="61"/>
      <c r="I217" s="61"/>
      <c r="J217" s="62" t="s">
        <v>471</v>
      </c>
    </row>
    <row r="218" spans="1:10" s="17" customFormat="1" hidden="1">
      <c r="A218" s="62" t="s">
        <v>472</v>
      </c>
      <c r="B218" s="63" t="s">
        <v>11</v>
      </c>
      <c r="C218" s="63" t="s">
        <v>11</v>
      </c>
      <c r="D218" s="61"/>
      <c r="E218" s="61"/>
      <c r="F218" s="61"/>
      <c r="G218" s="61"/>
      <c r="H218" s="61"/>
      <c r="I218" s="61"/>
      <c r="J218" s="62" t="s">
        <v>473</v>
      </c>
    </row>
    <row r="219" spans="1:10" s="17" customFormat="1" hidden="1">
      <c r="A219" s="62" t="s">
        <v>474</v>
      </c>
      <c r="B219" s="63" t="s">
        <v>11</v>
      </c>
      <c r="C219" s="61" t="s">
        <v>14</v>
      </c>
      <c r="D219" s="61"/>
      <c r="E219" s="61"/>
      <c r="F219" s="61" t="s">
        <v>14</v>
      </c>
      <c r="G219" s="61" t="s">
        <v>11</v>
      </c>
      <c r="H219" s="61"/>
      <c r="I219" s="61"/>
      <c r="J219" s="62" t="s">
        <v>475</v>
      </c>
    </row>
    <row r="220" spans="1:10" s="17" customFormat="1" hidden="1">
      <c r="A220" s="62" t="s">
        <v>476</v>
      </c>
      <c r="B220" s="63" t="s">
        <v>11</v>
      </c>
      <c r="C220" s="63" t="s">
        <v>11</v>
      </c>
      <c r="D220" s="61"/>
      <c r="E220" s="61"/>
      <c r="F220" s="61"/>
      <c r="G220" s="61"/>
      <c r="H220" s="61"/>
      <c r="I220" s="61"/>
      <c r="J220" s="62" t="s">
        <v>477</v>
      </c>
    </row>
    <row r="221" spans="1:10" s="17" customFormat="1" hidden="1">
      <c r="A221" s="62" t="s">
        <v>478</v>
      </c>
      <c r="B221" s="63" t="s">
        <v>11</v>
      </c>
      <c r="C221" s="63" t="s">
        <v>11</v>
      </c>
      <c r="D221" s="61"/>
      <c r="E221" s="61"/>
      <c r="F221" s="61"/>
      <c r="G221" s="61"/>
      <c r="H221" s="61"/>
      <c r="I221" s="61"/>
      <c r="J221" s="62" t="s">
        <v>479</v>
      </c>
    </row>
    <row r="222" spans="1:10" s="17" customFormat="1">
      <c r="A222" s="62" t="s">
        <v>480</v>
      </c>
      <c r="B222" s="63" t="s">
        <v>14</v>
      </c>
      <c r="C222" s="63" t="s">
        <v>14</v>
      </c>
      <c r="D222" s="61" t="s">
        <v>421</v>
      </c>
      <c r="E222" s="61" t="s">
        <v>14</v>
      </c>
      <c r="F222" s="61"/>
      <c r="G222" s="61"/>
      <c r="H222" s="61"/>
      <c r="I222" s="61"/>
      <c r="J222" s="62" t="s">
        <v>481</v>
      </c>
    </row>
    <row r="223" spans="1:10" s="17" customFormat="1">
      <c r="A223" s="62" t="s">
        <v>482</v>
      </c>
      <c r="B223" s="63" t="s">
        <v>14</v>
      </c>
      <c r="C223" s="63" t="s">
        <v>14</v>
      </c>
      <c r="D223" s="61" t="s">
        <v>483</v>
      </c>
      <c r="E223" s="61" t="s">
        <v>14</v>
      </c>
      <c r="F223" s="61"/>
      <c r="G223" s="61"/>
      <c r="H223" s="61"/>
      <c r="I223" s="61"/>
      <c r="J223" s="62" t="s">
        <v>484</v>
      </c>
    </row>
    <row r="224" spans="1:10" s="17" customFormat="1">
      <c r="A224" s="62" t="s">
        <v>485</v>
      </c>
      <c r="B224" s="63" t="s">
        <v>14</v>
      </c>
      <c r="C224" s="63" t="s">
        <v>14</v>
      </c>
      <c r="D224" s="61" t="s">
        <v>486</v>
      </c>
      <c r="E224" s="61" t="s">
        <v>14</v>
      </c>
      <c r="F224" s="61"/>
      <c r="G224" s="61"/>
      <c r="H224" s="61"/>
      <c r="I224" s="61"/>
      <c r="J224" s="62" t="s">
        <v>487</v>
      </c>
    </row>
    <row r="225" spans="1:10" s="17" customFormat="1">
      <c r="A225" s="62" t="s">
        <v>488</v>
      </c>
      <c r="B225" s="63" t="s">
        <v>14</v>
      </c>
      <c r="C225" s="61" t="s">
        <v>14</v>
      </c>
      <c r="D225" s="61"/>
      <c r="E225" s="61" t="s">
        <v>14</v>
      </c>
      <c r="F225" s="61"/>
      <c r="G225" s="61"/>
      <c r="H225" s="61"/>
      <c r="I225" s="61"/>
      <c r="J225" s="62" t="s">
        <v>489</v>
      </c>
    </row>
    <row r="226" spans="1:10" s="17" customFormat="1" hidden="1">
      <c r="A226" s="62" t="s">
        <v>490</v>
      </c>
      <c r="B226" s="63" t="s">
        <v>11</v>
      </c>
      <c r="C226" s="63" t="s">
        <v>11</v>
      </c>
      <c r="D226" s="61"/>
      <c r="E226" s="61"/>
      <c r="F226" s="61"/>
      <c r="G226" s="61"/>
      <c r="H226" s="61"/>
      <c r="I226" s="61"/>
      <c r="J226" s="62" t="s">
        <v>491</v>
      </c>
    </row>
    <row r="227" spans="1:10" s="17" customFormat="1">
      <c r="A227" s="62" t="s">
        <v>492</v>
      </c>
      <c r="B227" s="63" t="s">
        <v>14</v>
      </c>
      <c r="C227" s="63" t="s">
        <v>14</v>
      </c>
      <c r="D227" s="61" t="s">
        <v>486</v>
      </c>
      <c r="E227" s="61" t="s">
        <v>14</v>
      </c>
      <c r="F227" s="61"/>
      <c r="G227" s="61"/>
      <c r="H227" s="61"/>
      <c r="I227" s="61"/>
      <c r="J227" s="62" t="s">
        <v>493</v>
      </c>
    </row>
    <row r="228" spans="1:10" s="17" customFormat="1" hidden="1">
      <c r="A228" s="62" t="s">
        <v>494</v>
      </c>
      <c r="B228" s="63" t="s">
        <v>11</v>
      </c>
      <c r="C228" s="63" t="s">
        <v>11</v>
      </c>
      <c r="D228" s="61"/>
      <c r="E228" s="61"/>
      <c r="F228" s="61"/>
      <c r="G228" s="61"/>
      <c r="H228" s="61"/>
      <c r="I228" s="61"/>
      <c r="J228" s="62" t="s">
        <v>495</v>
      </c>
    </row>
    <row r="229" spans="1:10" s="17" customFormat="1">
      <c r="A229" s="62" t="s">
        <v>496</v>
      </c>
      <c r="B229" s="63" t="s">
        <v>11</v>
      </c>
      <c r="C229" s="63" t="s">
        <v>14</v>
      </c>
      <c r="D229" s="61" t="s">
        <v>497</v>
      </c>
      <c r="E229" s="61" t="s">
        <v>14</v>
      </c>
      <c r="F229" s="61"/>
      <c r="G229" s="61"/>
      <c r="H229" s="61"/>
      <c r="I229" s="61"/>
      <c r="J229" s="62"/>
    </row>
    <row r="230" spans="1:10" s="17" customFormat="1">
      <c r="A230" s="62" t="s">
        <v>498</v>
      </c>
      <c r="B230" s="63" t="s">
        <v>14</v>
      </c>
      <c r="C230" s="61" t="s">
        <v>14</v>
      </c>
      <c r="D230" s="61"/>
      <c r="E230" s="61" t="s">
        <v>14</v>
      </c>
      <c r="F230" s="61"/>
      <c r="G230" s="61"/>
      <c r="H230" s="61"/>
      <c r="I230" s="61"/>
      <c r="J230" s="62" t="s">
        <v>499</v>
      </c>
    </row>
    <row r="231" spans="1:10" s="17" customFormat="1" hidden="1">
      <c r="A231" s="62" t="s">
        <v>500</v>
      </c>
      <c r="B231" s="63" t="s">
        <v>11</v>
      </c>
      <c r="C231" s="63" t="s">
        <v>11</v>
      </c>
      <c r="D231" s="61"/>
      <c r="E231" s="61"/>
      <c r="F231" s="61"/>
      <c r="G231" s="61"/>
      <c r="H231" s="61"/>
      <c r="I231" s="61"/>
      <c r="J231" s="62" t="s">
        <v>501</v>
      </c>
    </row>
    <row r="232" spans="1:10" s="17" customFormat="1" hidden="1">
      <c r="A232" s="62" t="s">
        <v>502</v>
      </c>
      <c r="B232" s="63" t="s">
        <v>11</v>
      </c>
      <c r="C232" s="61" t="s">
        <v>14</v>
      </c>
      <c r="D232" s="61" t="s">
        <v>503</v>
      </c>
      <c r="E232" s="61"/>
      <c r="F232" s="61"/>
      <c r="G232" s="61" t="s">
        <v>504</v>
      </c>
      <c r="H232" s="61"/>
      <c r="I232" s="61"/>
      <c r="J232" s="62" t="s">
        <v>505</v>
      </c>
    </row>
    <row r="233" spans="1:10" s="17" customFormat="1" hidden="1">
      <c r="A233" s="62" t="s">
        <v>506</v>
      </c>
      <c r="B233" s="63" t="s">
        <v>11</v>
      </c>
      <c r="C233" s="63" t="s">
        <v>11</v>
      </c>
      <c r="D233" s="61"/>
      <c r="E233" s="61"/>
      <c r="F233" s="61"/>
      <c r="G233" s="61"/>
      <c r="H233" s="61"/>
      <c r="I233" s="61"/>
      <c r="J233" s="62" t="s">
        <v>507</v>
      </c>
    </row>
    <row r="234" spans="1:10" s="17" customFormat="1" hidden="1">
      <c r="A234" s="62" t="s">
        <v>508</v>
      </c>
      <c r="B234" s="63" t="s">
        <v>11</v>
      </c>
      <c r="C234" s="63" t="s">
        <v>11</v>
      </c>
      <c r="D234" s="61"/>
      <c r="E234" s="61"/>
      <c r="F234" s="61"/>
      <c r="G234" s="61"/>
      <c r="H234" s="61"/>
      <c r="I234" s="61"/>
      <c r="J234" s="62" t="s">
        <v>509</v>
      </c>
    </row>
    <row r="235" spans="1:10" s="17" customFormat="1" hidden="1">
      <c r="A235" s="62" t="s">
        <v>510</v>
      </c>
      <c r="B235" s="63" t="s">
        <v>11</v>
      </c>
      <c r="C235" s="63" t="s">
        <v>11</v>
      </c>
      <c r="D235" s="61"/>
      <c r="E235" s="61"/>
      <c r="F235" s="61"/>
      <c r="G235" s="61"/>
      <c r="H235" s="61"/>
      <c r="I235" s="61"/>
      <c r="J235" s="62" t="s">
        <v>511</v>
      </c>
    </row>
    <row r="236" spans="1:10" s="17" customFormat="1">
      <c r="A236" s="62" t="s">
        <v>512</v>
      </c>
      <c r="B236" s="63" t="s">
        <v>14</v>
      </c>
      <c r="C236" s="63" t="s">
        <v>14</v>
      </c>
      <c r="D236" s="61"/>
      <c r="E236" s="61" t="s">
        <v>14</v>
      </c>
      <c r="F236" s="61"/>
      <c r="G236" s="61"/>
      <c r="H236" s="61"/>
      <c r="I236" s="61"/>
      <c r="J236" s="62" t="s">
        <v>513</v>
      </c>
    </row>
    <row r="237" spans="1:10" s="17" customFormat="1" hidden="1">
      <c r="A237" s="62" t="s">
        <v>514</v>
      </c>
      <c r="B237" s="63" t="s">
        <v>11</v>
      </c>
      <c r="C237" s="63" t="s">
        <v>11</v>
      </c>
      <c r="D237" s="61"/>
      <c r="E237" s="61"/>
      <c r="F237" s="61"/>
      <c r="G237" s="61"/>
      <c r="H237" s="61"/>
      <c r="I237" s="61"/>
      <c r="J237" s="62" t="s">
        <v>515</v>
      </c>
    </row>
    <row r="238" spans="1:10" s="17" customFormat="1">
      <c r="A238" s="62" t="s">
        <v>516</v>
      </c>
      <c r="B238" s="63" t="s">
        <v>14</v>
      </c>
      <c r="C238" s="63" t="s">
        <v>14</v>
      </c>
      <c r="D238" s="61" t="s">
        <v>11</v>
      </c>
      <c r="E238" s="61" t="s">
        <v>14</v>
      </c>
      <c r="F238" s="61"/>
      <c r="G238" s="61"/>
      <c r="H238" s="61"/>
      <c r="I238" s="61"/>
      <c r="J238" s="62" t="s">
        <v>517</v>
      </c>
    </row>
    <row r="239" spans="1:10" s="17" customFormat="1" hidden="1">
      <c r="A239" s="62" t="s">
        <v>518</v>
      </c>
      <c r="B239" s="63" t="s">
        <v>11</v>
      </c>
      <c r="C239" s="61" t="s">
        <v>14</v>
      </c>
      <c r="D239" s="61" t="s">
        <v>519</v>
      </c>
      <c r="E239" s="61"/>
      <c r="F239" s="61" t="s">
        <v>11</v>
      </c>
      <c r="G239" s="61" t="s">
        <v>14</v>
      </c>
      <c r="H239" s="61"/>
      <c r="I239" s="61"/>
      <c r="J239" s="62" t="s">
        <v>520</v>
      </c>
    </row>
    <row r="240" spans="1:10" s="17" customFormat="1" hidden="1">
      <c r="A240" s="62" t="s">
        <v>521</v>
      </c>
      <c r="B240" s="63" t="s">
        <v>11</v>
      </c>
      <c r="C240" s="63" t="s">
        <v>11</v>
      </c>
      <c r="D240" s="61"/>
      <c r="E240" s="61"/>
      <c r="F240" s="61"/>
      <c r="G240" s="61"/>
      <c r="H240" s="61"/>
      <c r="I240" s="61"/>
      <c r="J240" s="62" t="s">
        <v>522</v>
      </c>
    </row>
    <row r="241" spans="1:10" s="17" customFormat="1" hidden="1">
      <c r="A241" s="62" t="s">
        <v>521</v>
      </c>
      <c r="B241" s="63" t="s">
        <v>11</v>
      </c>
      <c r="C241" s="63" t="s">
        <v>11</v>
      </c>
      <c r="D241" s="61" t="s">
        <v>523</v>
      </c>
      <c r="E241" s="61"/>
      <c r="F241" s="61"/>
      <c r="G241" s="61"/>
      <c r="H241" s="61"/>
      <c r="I241" s="61"/>
      <c r="J241" s="62"/>
    </row>
    <row r="242" spans="1:10" s="17" customFormat="1" hidden="1">
      <c r="A242" s="62" t="s">
        <v>524</v>
      </c>
      <c r="B242" s="63" t="s">
        <v>11</v>
      </c>
      <c r="C242" s="63" t="s">
        <v>11</v>
      </c>
      <c r="D242" s="61"/>
      <c r="E242" s="61"/>
      <c r="F242" s="61"/>
      <c r="G242" s="61"/>
      <c r="H242" s="61"/>
      <c r="I242" s="61"/>
      <c r="J242" s="62" t="s">
        <v>525</v>
      </c>
    </row>
    <row r="243" spans="1:10" s="17" customFormat="1" hidden="1">
      <c r="A243" s="62" t="s">
        <v>526</v>
      </c>
      <c r="B243" s="63" t="s">
        <v>11</v>
      </c>
      <c r="C243" s="63" t="s">
        <v>11</v>
      </c>
      <c r="D243" s="61"/>
      <c r="E243" s="61"/>
      <c r="F243" s="61"/>
      <c r="G243" s="61"/>
      <c r="H243" s="61"/>
      <c r="I243" s="61"/>
      <c r="J243" s="62" t="s">
        <v>527</v>
      </c>
    </row>
    <row r="244" spans="1:10" s="17" customFormat="1">
      <c r="A244" s="62" t="s">
        <v>528</v>
      </c>
      <c r="B244" s="63" t="s">
        <v>14</v>
      </c>
      <c r="C244" s="63" t="s">
        <v>14</v>
      </c>
      <c r="D244" s="61" t="s">
        <v>356</v>
      </c>
      <c r="E244" s="61" t="s">
        <v>14</v>
      </c>
      <c r="F244" s="61"/>
      <c r="G244" s="61"/>
      <c r="H244" s="61"/>
      <c r="I244" s="61"/>
      <c r="J244" s="62" t="s">
        <v>529</v>
      </c>
    </row>
    <row r="245" spans="1:10" s="17" customFormat="1" hidden="1">
      <c r="A245" s="62" t="s">
        <v>530</v>
      </c>
      <c r="B245" s="63" t="s">
        <v>11</v>
      </c>
      <c r="C245" s="61" t="s">
        <v>14</v>
      </c>
      <c r="D245" s="61" t="s">
        <v>531</v>
      </c>
      <c r="E245" s="61"/>
      <c r="F245" s="61" t="s">
        <v>11</v>
      </c>
      <c r="G245" s="61" t="s">
        <v>14</v>
      </c>
      <c r="H245" s="61"/>
      <c r="I245" s="61"/>
      <c r="J245" s="62" t="s">
        <v>532</v>
      </c>
    </row>
    <row r="246" spans="1:10" s="17" customFormat="1">
      <c r="A246" s="62" t="s">
        <v>533</v>
      </c>
      <c r="B246" s="63" t="s">
        <v>14</v>
      </c>
      <c r="C246" s="63" t="s">
        <v>14</v>
      </c>
      <c r="D246" s="61" t="s">
        <v>534</v>
      </c>
      <c r="E246" s="61" t="s">
        <v>14</v>
      </c>
      <c r="F246" s="61"/>
      <c r="G246" s="61"/>
      <c r="H246" s="61"/>
      <c r="I246" s="61"/>
      <c r="J246" s="62" t="s">
        <v>535</v>
      </c>
    </row>
    <row r="247" spans="1:10" s="17" customFormat="1" hidden="1">
      <c r="A247" s="62" t="s">
        <v>536</v>
      </c>
      <c r="B247" s="63" t="s">
        <v>11</v>
      </c>
      <c r="C247" s="63" t="s">
        <v>11</v>
      </c>
      <c r="D247" s="61" t="s">
        <v>537</v>
      </c>
      <c r="E247" s="61"/>
      <c r="F247" s="61"/>
      <c r="G247" s="61"/>
      <c r="H247" s="61"/>
      <c r="I247" s="61"/>
      <c r="J247" s="62" t="s">
        <v>538</v>
      </c>
    </row>
    <row r="248" spans="1:10" s="17" customFormat="1" hidden="1">
      <c r="A248" s="62" t="s">
        <v>539</v>
      </c>
      <c r="B248" s="63" t="s">
        <v>11</v>
      </c>
      <c r="C248" s="63" t="s">
        <v>11</v>
      </c>
      <c r="D248" s="61"/>
      <c r="E248" s="61"/>
      <c r="F248" s="61"/>
      <c r="G248" s="61"/>
      <c r="H248" s="61"/>
      <c r="I248" s="61"/>
      <c r="J248" s="62" t="s">
        <v>540</v>
      </c>
    </row>
    <row r="249" spans="1:10" s="17" customFormat="1">
      <c r="A249" s="62" t="s">
        <v>541</v>
      </c>
      <c r="B249" s="63" t="s">
        <v>14</v>
      </c>
      <c r="C249" s="63" t="s">
        <v>14</v>
      </c>
      <c r="D249" s="61" t="s">
        <v>497</v>
      </c>
      <c r="E249" s="61" t="s">
        <v>14</v>
      </c>
      <c r="F249" s="61"/>
      <c r="G249" s="61"/>
      <c r="H249" s="61"/>
      <c r="I249" s="61"/>
      <c r="J249" s="62" t="s">
        <v>542</v>
      </c>
    </row>
    <row r="250" spans="1:10" s="17" customFormat="1" hidden="1">
      <c r="A250" s="62" t="s">
        <v>543</v>
      </c>
      <c r="B250" s="63" t="s">
        <v>11</v>
      </c>
      <c r="C250" s="63" t="s">
        <v>11</v>
      </c>
      <c r="D250" s="61"/>
      <c r="E250" s="61"/>
      <c r="F250" s="61"/>
      <c r="G250" s="61"/>
      <c r="H250" s="61"/>
      <c r="I250" s="61"/>
      <c r="J250" s="62" t="s">
        <v>544</v>
      </c>
    </row>
    <row r="251" spans="1:10" s="17" customFormat="1" hidden="1">
      <c r="A251" s="62" t="s">
        <v>545</v>
      </c>
      <c r="B251" s="63" t="s">
        <v>11</v>
      </c>
      <c r="C251" s="63" t="s">
        <v>11</v>
      </c>
      <c r="D251" s="61"/>
      <c r="E251" s="61"/>
      <c r="F251" s="61"/>
      <c r="G251" s="61"/>
      <c r="H251" s="61"/>
      <c r="I251" s="61"/>
      <c r="J251" s="62" t="s">
        <v>546</v>
      </c>
    </row>
    <row r="252" spans="1:10" s="17" customFormat="1" hidden="1">
      <c r="A252" s="62" t="s">
        <v>547</v>
      </c>
      <c r="B252" s="63" t="s">
        <v>11</v>
      </c>
      <c r="C252" s="63" t="s">
        <v>11</v>
      </c>
      <c r="D252" s="61"/>
      <c r="E252" s="61"/>
      <c r="F252" s="61"/>
      <c r="G252" s="61"/>
      <c r="H252" s="61"/>
      <c r="I252" s="61"/>
      <c r="J252" s="62" t="s">
        <v>548</v>
      </c>
    </row>
    <row r="253" spans="1:10" s="17" customFormat="1" hidden="1">
      <c r="A253" s="62" t="s">
        <v>549</v>
      </c>
      <c r="B253" s="63" t="s">
        <v>11</v>
      </c>
      <c r="C253" s="63" t="s">
        <v>11</v>
      </c>
      <c r="D253" s="61"/>
      <c r="E253" s="61"/>
      <c r="F253" s="61"/>
      <c r="G253" s="61"/>
      <c r="H253" s="61"/>
      <c r="I253" s="61"/>
      <c r="J253" s="62" t="s">
        <v>548</v>
      </c>
    </row>
    <row r="254" spans="1:10" s="17" customFormat="1" hidden="1">
      <c r="A254" s="62" t="s">
        <v>550</v>
      </c>
      <c r="B254" s="63" t="s">
        <v>11</v>
      </c>
      <c r="C254" s="61" t="s">
        <v>14</v>
      </c>
      <c r="D254" s="61" t="s">
        <v>551</v>
      </c>
      <c r="E254" s="61"/>
      <c r="F254" s="61" t="s">
        <v>11</v>
      </c>
      <c r="G254" s="61" t="s">
        <v>14</v>
      </c>
      <c r="H254" s="61"/>
      <c r="I254" s="61"/>
      <c r="J254" s="62" t="s">
        <v>552</v>
      </c>
    </row>
    <row r="255" spans="1:10" s="17" customFormat="1">
      <c r="A255" s="62" t="s">
        <v>553</v>
      </c>
      <c r="B255" s="63" t="s">
        <v>14</v>
      </c>
      <c r="C255" s="63" t="s">
        <v>14</v>
      </c>
      <c r="D255" s="61" t="s">
        <v>554</v>
      </c>
      <c r="E255" s="61" t="s">
        <v>14</v>
      </c>
      <c r="F255" s="61"/>
      <c r="G255" s="61"/>
      <c r="H255" s="61"/>
      <c r="I255" s="61"/>
      <c r="J255" s="62" t="s">
        <v>555</v>
      </c>
    </row>
    <row r="256" spans="1:10" s="17" customFormat="1">
      <c r="A256" s="62" t="s">
        <v>556</v>
      </c>
      <c r="B256" s="63" t="s">
        <v>14</v>
      </c>
      <c r="C256" s="63" t="s">
        <v>14</v>
      </c>
      <c r="D256" s="61" t="s">
        <v>557</v>
      </c>
      <c r="E256" s="61" t="s">
        <v>14</v>
      </c>
      <c r="F256" s="61"/>
      <c r="G256" s="61"/>
      <c r="H256" s="61"/>
      <c r="I256" s="61"/>
      <c r="J256" s="62" t="s">
        <v>555</v>
      </c>
    </row>
    <row r="257" spans="1:10" s="17" customFormat="1">
      <c r="A257" s="62" t="s">
        <v>558</v>
      </c>
      <c r="B257" s="63" t="s">
        <v>14</v>
      </c>
      <c r="C257" s="63" t="s">
        <v>14</v>
      </c>
      <c r="D257" s="61" t="s">
        <v>557</v>
      </c>
      <c r="E257" s="61" t="s">
        <v>14</v>
      </c>
      <c r="F257" s="61"/>
      <c r="G257" s="61"/>
      <c r="H257" s="61"/>
      <c r="I257" s="61"/>
      <c r="J257" s="62" t="s">
        <v>559</v>
      </c>
    </row>
    <row r="258" spans="1:10" s="17" customFormat="1">
      <c r="A258" s="62" t="s">
        <v>560</v>
      </c>
      <c r="B258" s="63" t="s">
        <v>14</v>
      </c>
      <c r="C258" s="63" t="s">
        <v>14</v>
      </c>
      <c r="D258" s="61" t="s">
        <v>557</v>
      </c>
      <c r="E258" s="61" t="s">
        <v>14</v>
      </c>
      <c r="F258" s="61"/>
      <c r="G258" s="61"/>
      <c r="H258" s="61"/>
      <c r="I258" s="61"/>
      <c r="J258" s="62" t="s">
        <v>561</v>
      </c>
    </row>
    <row r="259" spans="1:10" s="17" customFormat="1">
      <c r="A259" s="62" t="s">
        <v>562</v>
      </c>
      <c r="B259" s="63" t="s">
        <v>14</v>
      </c>
      <c r="C259" s="63" t="s">
        <v>14</v>
      </c>
      <c r="D259" s="61" t="s">
        <v>563</v>
      </c>
      <c r="E259" s="61" t="s">
        <v>14</v>
      </c>
      <c r="F259" s="61"/>
      <c r="G259" s="61"/>
      <c r="H259" s="61"/>
      <c r="I259" s="61"/>
      <c r="J259" s="62" t="s">
        <v>564</v>
      </c>
    </row>
    <row r="260" spans="1:10" s="17" customFormat="1">
      <c r="A260" s="62" t="s">
        <v>565</v>
      </c>
      <c r="B260" s="63" t="s">
        <v>14</v>
      </c>
      <c r="C260" s="63" t="s">
        <v>14</v>
      </c>
      <c r="D260" s="61" t="s">
        <v>557</v>
      </c>
      <c r="E260" s="61" t="s">
        <v>14</v>
      </c>
      <c r="F260" s="61"/>
      <c r="G260" s="61"/>
      <c r="H260" s="61"/>
      <c r="I260" s="61"/>
      <c r="J260" s="62" t="s">
        <v>566</v>
      </c>
    </row>
    <row r="261" spans="1:10" s="17" customFormat="1">
      <c r="A261" s="62" t="s">
        <v>567</v>
      </c>
      <c r="B261" s="63" t="s">
        <v>14</v>
      </c>
      <c r="C261" s="63" t="s">
        <v>14</v>
      </c>
      <c r="D261" s="61" t="s">
        <v>568</v>
      </c>
      <c r="E261" s="61" t="s">
        <v>14</v>
      </c>
      <c r="F261" s="61"/>
      <c r="G261" s="61"/>
      <c r="H261" s="61"/>
      <c r="I261" s="61"/>
      <c r="J261" s="62" t="s">
        <v>569</v>
      </c>
    </row>
    <row r="262" spans="1:10" s="17" customFormat="1">
      <c r="A262" s="62" t="s">
        <v>570</v>
      </c>
      <c r="B262" s="63" t="s">
        <v>14</v>
      </c>
      <c r="C262" s="63" t="s">
        <v>14</v>
      </c>
      <c r="D262" s="61" t="s">
        <v>568</v>
      </c>
      <c r="E262" s="61" t="s">
        <v>14</v>
      </c>
      <c r="F262" s="61"/>
      <c r="G262" s="61"/>
      <c r="H262" s="61"/>
      <c r="I262" s="61"/>
      <c r="J262" s="62" t="s">
        <v>571</v>
      </c>
    </row>
    <row r="263" spans="1:10" s="17" customFormat="1">
      <c r="A263" s="62" t="s">
        <v>572</v>
      </c>
      <c r="B263" s="63" t="s">
        <v>14</v>
      </c>
      <c r="C263" s="63" t="s">
        <v>14</v>
      </c>
      <c r="D263" s="61" t="s">
        <v>568</v>
      </c>
      <c r="E263" s="61" t="s">
        <v>14</v>
      </c>
      <c r="F263" s="61"/>
      <c r="G263" s="61"/>
      <c r="H263" s="61"/>
      <c r="I263" s="61"/>
      <c r="J263" s="62" t="s">
        <v>573</v>
      </c>
    </row>
    <row r="264" spans="1:10" s="17" customFormat="1">
      <c r="A264" s="62" t="s">
        <v>574</v>
      </c>
      <c r="B264" s="63" t="s">
        <v>14</v>
      </c>
      <c r="C264" s="63" t="s">
        <v>14</v>
      </c>
      <c r="D264" s="61" t="s">
        <v>568</v>
      </c>
      <c r="E264" s="61" t="s">
        <v>14</v>
      </c>
      <c r="F264" s="61"/>
      <c r="G264" s="61"/>
      <c r="H264" s="61"/>
      <c r="I264" s="61"/>
      <c r="J264" s="62" t="s">
        <v>575</v>
      </c>
    </row>
    <row r="265" spans="1:10" s="17" customFormat="1">
      <c r="A265" s="62" t="s">
        <v>576</v>
      </c>
      <c r="B265" s="63" t="s">
        <v>14</v>
      </c>
      <c r="C265" s="63" t="s">
        <v>14</v>
      </c>
      <c r="D265" s="61" t="s">
        <v>568</v>
      </c>
      <c r="E265" s="61" t="s">
        <v>14</v>
      </c>
      <c r="F265" s="61"/>
      <c r="G265" s="61"/>
      <c r="H265" s="61"/>
      <c r="I265" s="61"/>
      <c r="J265" s="62" t="s">
        <v>577</v>
      </c>
    </row>
    <row r="266" spans="1:10" s="17" customFormat="1">
      <c r="A266" s="62" t="s">
        <v>578</v>
      </c>
      <c r="B266" s="63" t="s">
        <v>14</v>
      </c>
      <c r="C266" s="63" t="s">
        <v>14</v>
      </c>
      <c r="D266" s="61" t="s">
        <v>568</v>
      </c>
      <c r="E266" s="61" t="s">
        <v>14</v>
      </c>
      <c r="F266" s="61"/>
      <c r="G266" s="61"/>
      <c r="H266" s="61"/>
      <c r="I266" s="61"/>
      <c r="J266" s="62" t="s">
        <v>577</v>
      </c>
    </row>
    <row r="267" spans="1:10" s="17" customFormat="1">
      <c r="A267" s="62" t="s">
        <v>579</v>
      </c>
      <c r="B267" s="63" t="s">
        <v>14</v>
      </c>
      <c r="C267" s="63" t="s">
        <v>14</v>
      </c>
      <c r="D267" s="61" t="s">
        <v>568</v>
      </c>
      <c r="E267" s="61" t="s">
        <v>14</v>
      </c>
      <c r="F267" s="61"/>
      <c r="G267" s="61"/>
      <c r="H267" s="61"/>
      <c r="I267" s="61"/>
      <c r="J267" s="62" t="s">
        <v>580</v>
      </c>
    </row>
    <row r="268" spans="1:10" s="17" customFormat="1">
      <c r="A268" s="62" t="s">
        <v>581</v>
      </c>
      <c r="B268" s="63" t="s">
        <v>14</v>
      </c>
      <c r="C268" s="63" t="s">
        <v>14</v>
      </c>
      <c r="D268" s="61" t="s">
        <v>568</v>
      </c>
      <c r="E268" s="61" t="s">
        <v>14</v>
      </c>
      <c r="F268" s="61"/>
      <c r="G268" s="61"/>
      <c r="H268" s="61"/>
      <c r="I268" s="61"/>
      <c r="J268" s="62" t="s">
        <v>580</v>
      </c>
    </row>
    <row r="269" spans="1:10" s="17" customFormat="1" hidden="1">
      <c r="A269" s="62" t="s">
        <v>582</v>
      </c>
      <c r="B269" s="63" t="s">
        <v>11</v>
      </c>
      <c r="C269" s="63" t="s">
        <v>11</v>
      </c>
      <c r="D269" s="61"/>
      <c r="E269" s="61"/>
      <c r="F269" s="61"/>
      <c r="G269" s="61"/>
      <c r="H269" s="61"/>
      <c r="I269" s="61"/>
      <c r="J269" s="62" t="s">
        <v>583</v>
      </c>
    </row>
    <row r="270" spans="1:10" s="17" customFormat="1" hidden="1">
      <c r="A270" s="62" t="s">
        <v>584</v>
      </c>
      <c r="B270" s="63" t="s">
        <v>11</v>
      </c>
      <c r="C270" s="63" t="s">
        <v>11</v>
      </c>
      <c r="D270" s="61"/>
      <c r="E270" s="61"/>
      <c r="F270" s="61"/>
      <c r="G270" s="61"/>
      <c r="H270" s="61"/>
      <c r="I270" s="61"/>
      <c r="J270" s="62" t="s">
        <v>585</v>
      </c>
    </row>
    <row r="271" spans="1:10" s="17" customFormat="1" hidden="1">
      <c r="A271" s="62" t="s">
        <v>586</v>
      </c>
      <c r="B271" s="63" t="s">
        <v>11</v>
      </c>
      <c r="C271" s="63" t="s">
        <v>11</v>
      </c>
      <c r="D271" s="61"/>
      <c r="E271" s="61"/>
      <c r="F271" s="61"/>
      <c r="G271" s="61"/>
      <c r="H271" s="61"/>
      <c r="I271" s="61"/>
      <c r="J271" s="62" t="s">
        <v>587</v>
      </c>
    </row>
    <row r="272" spans="1:10" s="17" customFormat="1" hidden="1">
      <c r="A272" s="62" t="s">
        <v>588</v>
      </c>
      <c r="B272" s="63" t="s">
        <v>11</v>
      </c>
      <c r="C272" s="61" t="s">
        <v>589</v>
      </c>
      <c r="D272" s="61"/>
      <c r="E272" s="61"/>
      <c r="F272" s="61" t="s">
        <v>11</v>
      </c>
      <c r="G272" s="61" t="s">
        <v>86</v>
      </c>
      <c r="H272" s="61"/>
      <c r="I272" s="61"/>
      <c r="J272" s="62" t="s">
        <v>590</v>
      </c>
    </row>
    <row r="273" spans="1:10" s="17" customFormat="1" hidden="1">
      <c r="A273" s="62" t="s">
        <v>591</v>
      </c>
      <c r="B273" s="63" t="s">
        <v>11</v>
      </c>
      <c r="C273" s="61" t="s">
        <v>589</v>
      </c>
      <c r="D273" s="61"/>
      <c r="E273" s="61"/>
      <c r="F273" s="61" t="s">
        <v>11</v>
      </c>
      <c r="G273" s="61" t="s">
        <v>86</v>
      </c>
      <c r="H273" s="61"/>
      <c r="I273" s="61"/>
      <c r="J273" s="62" t="s">
        <v>592</v>
      </c>
    </row>
    <row r="274" spans="1:10" s="17" customFormat="1" hidden="1">
      <c r="A274" s="62" t="s">
        <v>593</v>
      </c>
      <c r="B274" s="63" t="s">
        <v>11</v>
      </c>
      <c r="C274" s="63" t="s">
        <v>11</v>
      </c>
      <c r="D274" s="61"/>
      <c r="E274" s="61"/>
      <c r="F274" s="61"/>
      <c r="G274" s="61"/>
      <c r="H274" s="61"/>
      <c r="I274" s="61"/>
      <c r="J274" s="62" t="s">
        <v>594</v>
      </c>
    </row>
    <row r="275" spans="1:10" s="17" customFormat="1" hidden="1">
      <c r="A275" s="62" t="s">
        <v>595</v>
      </c>
      <c r="B275" s="63" t="s">
        <v>11</v>
      </c>
      <c r="C275" s="63" t="s">
        <v>11</v>
      </c>
      <c r="D275" s="61"/>
      <c r="E275" s="61"/>
      <c r="F275" s="61"/>
      <c r="G275" s="61"/>
      <c r="H275" s="61"/>
      <c r="I275" s="61"/>
      <c r="J275" s="62" t="s">
        <v>596</v>
      </c>
    </row>
    <row r="276" spans="1:10" s="17" customFormat="1" hidden="1">
      <c r="A276" s="62" t="s">
        <v>597</v>
      </c>
      <c r="B276" s="63" t="s">
        <v>11</v>
      </c>
      <c r="C276" s="61" t="s">
        <v>11</v>
      </c>
      <c r="D276" s="61" t="s">
        <v>598</v>
      </c>
      <c r="E276" s="61"/>
      <c r="F276" s="61"/>
      <c r="G276" s="61"/>
      <c r="H276" s="61"/>
      <c r="I276" s="61"/>
      <c r="J276" s="62" t="s">
        <v>599</v>
      </c>
    </row>
    <row r="277" spans="1:10" s="17" customFormat="1" hidden="1">
      <c r="A277" s="62" t="s">
        <v>600</v>
      </c>
      <c r="B277" s="63" t="s">
        <v>11</v>
      </c>
      <c r="C277" s="63" t="s">
        <v>11</v>
      </c>
      <c r="D277" s="61"/>
      <c r="E277" s="61"/>
      <c r="F277" s="61"/>
      <c r="G277" s="61"/>
      <c r="H277" s="61"/>
      <c r="I277" s="61"/>
      <c r="J277" s="62" t="s">
        <v>601</v>
      </c>
    </row>
    <row r="278" spans="1:10" s="17" customFormat="1" hidden="1">
      <c r="A278" s="62" t="s">
        <v>602</v>
      </c>
      <c r="B278" s="63" t="s">
        <v>11</v>
      </c>
      <c r="C278" s="61" t="s">
        <v>14</v>
      </c>
      <c r="D278" s="61"/>
      <c r="E278" s="61"/>
      <c r="F278" s="61" t="s">
        <v>14</v>
      </c>
      <c r="G278" s="61" t="s">
        <v>11</v>
      </c>
      <c r="H278" s="61"/>
      <c r="I278" s="61"/>
      <c r="J278" s="62" t="s">
        <v>603</v>
      </c>
    </row>
    <row r="279" spans="1:10" s="17" customFormat="1" hidden="1">
      <c r="A279" s="62" t="s">
        <v>604</v>
      </c>
      <c r="B279" s="63" t="s">
        <v>11</v>
      </c>
      <c r="C279" s="63" t="s">
        <v>11</v>
      </c>
      <c r="D279" s="61"/>
      <c r="E279" s="61"/>
      <c r="F279" s="61"/>
      <c r="G279" s="61"/>
      <c r="H279" s="61"/>
      <c r="I279" s="61"/>
      <c r="J279" s="62" t="s">
        <v>605</v>
      </c>
    </row>
    <row r="280" spans="1:10" s="17" customFormat="1">
      <c r="A280" s="62" t="s">
        <v>606</v>
      </c>
      <c r="B280" s="63" t="s">
        <v>14</v>
      </c>
      <c r="C280" s="63" t="s">
        <v>14</v>
      </c>
      <c r="D280" s="61" t="s">
        <v>607</v>
      </c>
      <c r="E280" s="61" t="s">
        <v>14</v>
      </c>
      <c r="F280" s="61"/>
      <c r="G280" s="61"/>
      <c r="H280" s="61"/>
      <c r="I280" s="61"/>
      <c r="J280" s="62" t="s">
        <v>608</v>
      </c>
    </row>
    <row r="281" spans="1:10" s="17" customFormat="1">
      <c r="A281" s="62" t="s">
        <v>609</v>
      </c>
      <c r="B281" s="63" t="s">
        <v>610</v>
      </c>
      <c r="C281" s="63" t="s">
        <v>14</v>
      </c>
      <c r="D281" s="61" t="s">
        <v>607</v>
      </c>
      <c r="E281" s="61" t="s">
        <v>14</v>
      </c>
      <c r="F281" s="61"/>
      <c r="G281" s="61"/>
      <c r="H281" s="61"/>
      <c r="I281" s="61"/>
      <c r="J281" s="62" t="s">
        <v>611</v>
      </c>
    </row>
    <row r="282" spans="1:10" s="17" customFormat="1">
      <c r="A282" s="62" t="s">
        <v>612</v>
      </c>
      <c r="B282" s="63" t="s">
        <v>14</v>
      </c>
      <c r="C282" s="63" t="s">
        <v>14</v>
      </c>
      <c r="D282" s="61" t="s">
        <v>607</v>
      </c>
      <c r="E282" s="61" t="s">
        <v>14</v>
      </c>
      <c r="F282" s="61"/>
      <c r="G282" s="61"/>
      <c r="H282" s="61" t="s">
        <v>504</v>
      </c>
      <c r="I282" s="61"/>
      <c r="J282" s="62" t="s">
        <v>613</v>
      </c>
    </row>
    <row r="283" spans="1:10" s="17" customFormat="1" hidden="1">
      <c r="A283" s="62" t="s">
        <v>614</v>
      </c>
      <c r="B283" s="63" t="s">
        <v>11</v>
      </c>
      <c r="C283" s="63" t="s">
        <v>11</v>
      </c>
      <c r="D283" s="61"/>
      <c r="E283" s="61"/>
      <c r="F283" s="61"/>
      <c r="G283" s="61"/>
      <c r="H283" s="61"/>
      <c r="I283" s="61"/>
      <c r="J283" s="62" t="s">
        <v>615</v>
      </c>
    </row>
    <row r="284" spans="1:10" s="17" customFormat="1" hidden="1">
      <c r="A284" s="62" t="s">
        <v>616</v>
      </c>
      <c r="B284" s="63" t="s">
        <v>11</v>
      </c>
      <c r="C284" s="61" t="s">
        <v>11</v>
      </c>
      <c r="D284" s="61" t="s">
        <v>617</v>
      </c>
      <c r="E284" s="61"/>
      <c r="F284" s="61"/>
      <c r="G284" s="61"/>
      <c r="H284" s="61"/>
      <c r="I284" s="61"/>
      <c r="J284" s="62" t="s">
        <v>618</v>
      </c>
    </row>
    <row r="285" spans="1:10" s="17" customFormat="1" hidden="1">
      <c r="A285" s="62" t="s">
        <v>619</v>
      </c>
      <c r="B285" s="63" t="s">
        <v>11</v>
      </c>
      <c r="C285" s="61" t="s">
        <v>11</v>
      </c>
      <c r="D285" s="61" t="s">
        <v>617</v>
      </c>
      <c r="E285" s="61"/>
      <c r="F285" s="61"/>
      <c r="G285" s="61"/>
      <c r="H285" s="61"/>
      <c r="I285" s="61"/>
      <c r="J285" s="62" t="s">
        <v>620</v>
      </c>
    </row>
    <row r="286" spans="1:10" s="17" customFormat="1" hidden="1">
      <c r="A286" s="62" t="s">
        <v>621</v>
      </c>
      <c r="B286" s="63" t="s">
        <v>11</v>
      </c>
      <c r="C286" s="61" t="s">
        <v>11</v>
      </c>
      <c r="D286" s="61" t="s">
        <v>617</v>
      </c>
      <c r="E286" s="61"/>
      <c r="F286" s="61"/>
      <c r="G286" s="61"/>
      <c r="H286" s="61"/>
      <c r="I286" s="61"/>
      <c r="J286" s="62" t="s">
        <v>622</v>
      </c>
    </row>
    <row r="287" spans="1:10" s="17" customFormat="1" hidden="1">
      <c r="A287" s="62" t="s">
        <v>623</v>
      </c>
      <c r="B287" s="63" t="s">
        <v>11</v>
      </c>
      <c r="C287" s="61" t="s">
        <v>11</v>
      </c>
      <c r="D287" s="61" t="s">
        <v>617</v>
      </c>
      <c r="E287" s="61"/>
      <c r="F287" s="61"/>
      <c r="G287" s="61"/>
      <c r="H287" s="61"/>
      <c r="I287" s="61"/>
      <c r="J287" s="62" t="s">
        <v>624</v>
      </c>
    </row>
    <row r="288" spans="1:10" s="17" customFormat="1" hidden="1">
      <c r="A288" s="62" t="s">
        <v>625</v>
      </c>
      <c r="B288" s="63" t="s">
        <v>11</v>
      </c>
      <c r="C288" s="61" t="s">
        <v>11</v>
      </c>
      <c r="D288" s="61" t="s">
        <v>617</v>
      </c>
      <c r="E288" s="61"/>
      <c r="F288" s="61"/>
      <c r="G288" s="61"/>
      <c r="H288" s="61"/>
      <c r="I288" s="61"/>
      <c r="J288" s="62" t="s">
        <v>626</v>
      </c>
    </row>
    <row r="289" spans="1:10" s="17" customFormat="1" hidden="1">
      <c r="A289" s="62" t="s">
        <v>627</v>
      </c>
      <c r="B289" s="63" t="s">
        <v>11</v>
      </c>
      <c r="C289" s="61" t="s">
        <v>11</v>
      </c>
      <c r="D289" s="61" t="s">
        <v>617</v>
      </c>
      <c r="E289" s="61"/>
      <c r="F289" s="61"/>
      <c r="G289" s="61"/>
      <c r="H289" s="61"/>
      <c r="I289" s="61"/>
      <c r="J289" s="62" t="s">
        <v>628</v>
      </c>
    </row>
    <row r="290" spans="1:10" s="17" customFormat="1" hidden="1">
      <c r="A290" s="62" t="s">
        <v>629</v>
      </c>
      <c r="B290" s="63" t="s">
        <v>11</v>
      </c>
      <c r="C290" s="61" t="s">
        <v>11</v>
      </c>
      <c r="D290" s="61" t="s">
        <v>617</v>
      </c>
      <c r="E290" s="61"/>
      <c r="F290" s="61"/>
      <c r="G290" s="61"/>
      <c r="H290" s="61"/>
      <c r="I290" s="61"/>
      <c r="J290" s="62" t="s">
        <v>630</v>
      </c>
    </row>
    <row r="291" spans="1:10" s="17" customFormat="1" hidden="1">
      <c r="A291" s="62" t="s">
        <v>631</v>
      </c>
      <c r="B291" s="63" t="s">
        <v>11</v>
      </c>
      <c r="C291" s="61" t="s">
        <v>11</v>
      </c>
      <c r="D291" s="61" t="s">
        <v>617</v>
      </c>
      <c r="E291" s="61"/>
      <c r="F291" s="61"/>
      <c r="G291" s="61"/>
      <c r="H291" s="61"/>
      <c r="I291" s="61"/>
      <c r="J291" s="62" t="s">
        <v>632</v>
      </c>
    </row>
    <row r="292" spans="1:10" s="17" customFormat="1" hidden="1">
      <c r="A292" s="62" t="s">
        <v>633</v>
      </c>
      <c r="B292" s="63" t="s">
        <v>11</v>
      </c>
      <c r="C292" s="63" t="s">
        <v>11</v>
      </c>
      <c r="D292" s="61"/>
      <c r="E292" s="61"/>
      <c r="F292" s="61"/>
      <c r="G292" s="61"/>
      <c r="H292" s="61"/>
      <c r="I292" s="61"/>
      <c r="J292" s="62" t="s">
        <v>634</v>
      </c>
    </row>
    <row r="293" spans="1:10" s="17" customFormat="1" hidden="1">
      <c r="A293" s="62" t="s">
        <v>635</v>
      </c>
      <c r="B293" s="63" t="s">
        <v>11</v>
      </c>
      <c r="C293" s="63" t="s">
        <v>11</v>
      </c>
      <c r="D293" s="61"/>
      <c r="E293" s="61"/>
      <c r="F293" s="61"/>
      <c r="G293" s="61"/>
      <c r="H293" s="61"/>
      <c r="I293" s="61"/>
      <c r="J293" s="62" t="s">
        <v>636</v>
      </c>
    </row>
    <row r="294" spans="1:10" s="17" customFormat="1" hidden="1">
      <c r="A294" s="62" t="s">
        <v>637</v>
      </c>
      <c r="B294" s="63" t="s">
        <v>11</v>
      </c>
      <c r="C294" s="63" t="s">
        <v>11</v>
      </c>
      <c r="D294" s="61"/>
      <c r="E294" s="61"/>
      <c r="F294" s="61"/>
      <c r="G294" s="61"/>
      <c r="H294" s="61"/>
      <c r="I294" s="61"/>
      <c r="J294" s="62" t="s">
        <v>638</v>
      </c>
    </row>
    <row r="295" spans="1:10" s="17" customFormat="1" hidden="1">
      <c r="A295" s="62" t="s">
        <v>639</v>
      </c>
      <c r="B295" s="63" t="s">
        <v>11</v>
      </c>
      <c r="C295" s="61" t="s">
        <v>14</v>
      </c>
      <c r="D295" s="61" t="s">
        <v>551</v>
      </c>
      <c r="E295" s="61"/>
      <c r="F295" s="61"/>
      <c r="G295" s="61" t="s">
        <v>504</v>
      </c>
      <c r="H295" s="61"/>
      <c r="I295" s="61"/>
      <c r="J295" s="62" t="s">
        <v>640</v>
      </c>
    </row>
    <row r="296" spans="1:10" s="17" customFormat="1">
      <c r="A296" s="62" t="s">
        <v>641</v>
      </c>
      <c r="B296" s="63" t="s">
        <v>14</v>
      </c>
      <c r="C296" s="61" t="s">
        <v>14</v>
      </c>
      <c r="D296" s="61"/>
      <c r="E296" s="61" t="s">
        <v>14</v>
      </c>
      <c r="F296" s="61"/>
      <c r="G296" s="61"/>
      <c r="H296" s="61"/>
      <c r="I296" s="61"/>
      <c r="J296" s="62" t="s">
        <v>642</v>
      </c>
    </row>
    <row r="297" spans="1:10" s="17" customFormat="1">
      <c r="A297" s="62" t="s">
        <v>643</v>
      </c>
      <c r="B297" s="63" t="s">
        <v>11</v>
      </c>
      <c r="C297" s="63" t="s">
        <v>14</v>
      </c>
      <c r="D297" s="61" t="s">
        <v>644</v>
      </c>
      <c r="E297" s="61" t="s">
        <v>14</v>
      </c>
      <c r="F297" s="61"/>
      <c r="G297" s="61"/>
      <c r="H297" s="61"/>
      <c r="I297" s="61"/>
      <c r="J297" s="62" t="s">
        <v>645</v>
      </c>
    </row>
    <row r="298" spans="1:10" s="17" customFormat="1" hidden="1">
      <c r="A298" s="62" t="s">
        <v>646</v>
      </c>
      <c r="B298" s="63" t="s">
        <v>11</v>
      </c>
      <c r="C298" s="63" t="s">
        <v>11</v>
      </c>
      <c r="D298" s="61"/>
      <c r="E298" s="61"/>
      <c r="F298" s="61"/>
      <c r="G298" s="61"/>
      <c r="H298" s="61"/>
      <c r="I298" s="61"/>
      <c r="J298" s="62" t="s">
        <v>647</v>
      </c>
    </row>
    <row r="299" spans="1:10" s="17" customFormat="1" hidden="1">
      <c r="A299" s="62" t="s">
        <v>648</v>
      </c>
      <c r="B299" s="63" t="s">
        <v>11</v>
      </c>
      <c r="C299" s="63" t="s">
        <v>11</v>
      </c>
      <c r="D299" s="61"/>
      <c r="E299" s="61"/>
      <c r="F299" s="61"/>
      <c r="G299" s="61"/>
      <c r="H299" s="61"/>
      <c r="I299" s="61"/>
      <c r="J299" s="62" t="s">
        <v>649</v>
      </c>
    </row>
    <row r="300" spans="1:10" s="17" customFormat="1" hidden="1">
      <c r="A300" s="62" t="s">
        <v>650</v>
      </c>
      <c r="B300" s="63" t="s">
        <v>11</v>
      </c>
      <c r="C300" s="63" t="s">
        <v>11</v>
      </c>
      <c r="D300" s="61"/>
      <c r="E300" s="61"/>
      <c r="F300" s="61"/>
      <c r="G300" s="61"/>
      <c r="H300" s="61"/>
      <c r="I300" s="61"/>
      <c r="J300" s="62" t="s">
        <v>651</v>
      </c>
    </row>
    <row r="301" spans="1:10" s="17" customFormat="1">
      <c r="A301" s="62" t="s">
        <v>652</v>
      </c>
      <c r="B301" s="63" t="s">
        <v>11</v>
      </c>
      <c r="C301" s="63" t="s">
        <v>14</v>
      </c>
      <c r="D301" s="61" t="s">
        <v>653</v>
      </c>
      <c r="E301" s="61" t="s">
        <v>14</v>
      </c>
      <c r="F301" s="61"/>
      <c r="G301" s="61"/>
      <c r="H301" s="61"/>
      <c r="I301" s="61"/>
      <c r="J301" s="62"/>
    </row>
    <row r="302" spans="1:10" s="17" customFormat="1" hidden="1">
      <c r="A302" s="62" t="s">
        <v>654</v>
      </c>
      <c r="B302" s="63" t="s">
        <v>11</v>
      </c>
      <c r="C302" s="61" t="s">
        <v>11</v>
      </c>
      <c r="D302" s="61"/>
      <c r="E302" s="61"/>
      <c r="F302" s="61"/>
      <c r="G302" s="61"/>
      <c r="I302" s="61" t="s">
        <v>325</v>
      </c>
      <c r="J302" s="17" t="s">
        <v>655</v>
      </c>
    </row>
    <row r="303" spans="1:10" s="17" customFormat="1">
      <c r="A303" s="62" t="s">
        <v>656</v>
      </c>
      <c r="B303" s="63" t="s">
        <v>11</v>
      </c>
      <c r="C303" s="63" t="s">
        <v>14</v>
      </c>
      <c r="D303" s="61" t="s">
        <v>653</v>
      </c>
      <c r="E303" s="61" t="s">
        <v>14</v>
      </c>
      <c r="F303" s="61"/>
      <c r="G303" s="61"/>
      <c r="H303" s="61"/>
      <c r="I303" s="61"/>
      <c r="J303" s="62" t="s">
        <v>657</v>
      </c>
    </row>
    <row r="304" spans="1:10" s="17" customFormat="1" hidden="1">
      <c r="A304" s="62" t="s">
        <v>658</v>
      </c>
      <c r="B304" s="63" t="s">
        <v>11</v>
      </c>
      <c r="C304" s="61" t="s">
        <v>11</v>
      </c>
      <c r="D304" s="61"/>
      <c r="E304" s="61"/>
      <c r="F304" s="61"/>
      <c r="G304" s="61"/>
      <c r="H304" s="61"/>
      <c r="I304" s="61"/>
      <c r="J304" s="62" t="s">
        <v>659</v>
      </c>
    </row>
    <row r="305" spans="1:10" s="17" customFormat="1" hidden="1">
      <c r="A305" s="62" t="s">
        <v>660</v>
      </c>
      <c r="B305" s="63" t="s">
        <v>11</v>
      </c>
      <c r="C305" s="63" t="s">
        <v>11</v>
      </c>
      <c r="D305" s="61"/>
      <c r="E305" s="61"/>
      <c r="F305" s="61"/>
      <c r="G305" s="61"/>
      <c r="H305" s="61"/>
      <c r="I305" s="61"/>
      <c r="J305" s="62" t="s">
        <v>661</v>
      </c>
    </row>
    <row r="306" spans="1:10" s="17" customFormat="1">
      <c r="A306" s="62" t="s">
        <v>662</v>
      </c>
      <c r="B306" s="63" t="s">
        <v>11</v>
      </c>
      <c r="C306" s="63" t="s">
        <v>14</v>
      </c>
      <c r="D306" s="61" t="s">
        <v>653</v>
      </c>
      <c r="E306" s="61" t="s">
        <v>14</v>
      </c>
      <c r="F306" s="61"/>
      <c r="G306" s="61"/>
      <c r="H306" s="61"/>
      <c r="I306" s="61"/>
      <c r="J306" s="62" t="s">
        <v>663</v>
      </c>
    </row>
    <row r="307" spans="1:10" s="17" customFormat="1">
      <c r="A307" s="62" t="s">
        <v>664</v>
      </c>
      <c r="B307" s="63" t="s">
        <v>11</v>
      </c>
      <c r="C307" s="63" t="s">
        <v>14</v>
      </c>
      <c r="D307" s="61" t="s">
        <v>653</v>
      </c>
      <c r="E307" s="61" t="s">
        <v>14</v>
      </c>
      <c r="F307" s="61"/>
      <c r="G307" s="61"/>
      <c r="H307" s="61"/>
      <c r="I307" s="61"/>
      <c r="J307" s="62" t="s">
        <v>665</v>
      </c>
    </row>
    <row r="308" spans="1:10" s="17" customFormat="1">
      <c r="A308" s="62" t="s">
        <v>666</v>
      </c>
      <c r="B308" s="63" t="s">
        <v>11</v>
      </c>
      <c r="C308" s="63" t="s">
        <v>14</v>
      </c>
      <c r="D308" s="61" t="s">
        <v>653</v>
      </c>
      <c r="E308" s="61" t="s">
        <v>14</v>
      </c>
      <c r="F308" s="61"/>
      <c r="G308" s="61"/>
      <c r="H308" s="61"/>
      <c r="I308" s="61"/>
      <c r="J308" s="62"/>
    </row>
    <row r="309" spans="1:10" s="17" customFormat="1">
      <c r="A309" s="62" t="s">
        <v>667</v>
      </c>
      <c r="B309" s="63" t="s">
        <v>11</v>
      </c>
      <c r="C309" s="63" t="s">
        <v>14</v>
      </c>
      <c r="D309" s="61" t="s">
        <v>653</v>
      </c>
      <c r="E309" s="61" t="s">
        <v>14</v>
      </c>
      <c r="F309" s="61"/>
      <c r="G309" s="61"/>
      <c r="H309" s="61"/>
      <c r="I309" s="61"/>
      <c r="J309" s="62" t="s">
        <v>663</v>
      </c>
    </row>
    <row r="310" spans="1:10" s="17" customFormat="1">
      <c r="A310" s="62" t="s">
        <v>668</v>
      </c>
      <c r="B310" s="63" t="s">
        <v>14</v>
      </c>
      <c r="C310" s="63" t="s">
        <v>14</v>
      </c>
      <c r="D310" s="61" t="s">
        <v>669</v>
      </c>
      <c r="E310" s="61" t="s">
        <v>14</v>
      </c>
      <c r="F310" s="61"/>
      <c r="G310" s="61"/>
      <c r="H310" s="61"/>
      <c r="I310" s="61"/>
      <c r="J310" s="62" t="s">
        <v>670</v>
      </c>
    </row>
    <row r="311" spans="1:10" s="17" customFormat="1" hidden="1">
      <c r="A311" s="62" t="s">
        <v>671</v>
      </c>
      <c r="B311" s="63" t="s">
        <v>11</v>
      </c>
      <c r="C311" s="63" t="s">
        <v>11</v>
      </c>
      <c r="D311" s="61" t="s">
        <v>283</v>
      </c>
      <c r="E311" s="61"/>
      <c r="F311" s="61"/>
      <c r="G311" s="61"/>
      <c r="H311" s="61"/>
      <c r="I311" s="61"/>
      <c r="J311" s="62" t="s">
        <v>672</v>
      </c>
    </row>
    <row r="312" spans="1:10" s="17" customFormat="1" hidden="1">
      <c r="A312" s="62" t="s">
        <v>673</v>
      </c>
      <c r="B312" s="63" t="s">
        <v>11</v>
      </c>
      <c r="C312" s="63" t="s">
        <v>11</v>
      </c>
      <c r="D312" s="61"/>
      <c r="E312" s="61"/>
      <c r="F312" s="61"/>
      <c r="G312" s="61"/>
      <c r="H312" s="61"/>
      <c r="I312" s="61"/>
      <c r="J312" s="62" t="s">
        <v>674</v>
      </c>
    </row>
    <row r="313" spans="1:10" s="17" customFormat="1">
      <c r="A313" s="62" t="s">
        <v>675</v>
      </c>
      <c r="B313" s="63" t="s">
        <v>14</v>
      </c>
      <c r="C313" s="63" t="s">
        <v>14</v>
      </c>
      <c r="D313" s="61"/>
      <c r="E313" s="61" t="s">
        <v>14</v>
      </c>
      <c r="F313" s="61"/>
      <c r="G313" s="61"/>
      <c r="H313" s="61"/>
      <c r="I313" s="61"/>
      <c r="J313" s="62" t="s">
        <v>676</v>
      </c>
    </row>
    <row r="314" spans="1:10" s="17" customFormat="1" hidden="1">
      <c r="A314" s="62" t="s">
        <v>677</v>
      </c>
      <c r="B314" s="63" t="s">
        <v>11</v>
      </c>
      <c r="C314" s="63" t="s">
        <v>11</v>
      </c>
      <c r="D314" s="61"/>
      <c r="E314" s="61"/>
      <c r="F314" s="61"/>
      <c r="G314" s="61"/>
      <c r="H314" s="61"/>
      <c r="I314" s="61"/>
      <c r="J314" s="62" t="s">
        <v>678</v>
      </c>
    </row>
    <row r="315" spans="1:10" s="17" customFormat="1" hidden="1">
      <c r="A315" s="62" t="s">
        <v>679</v>
      </c>
      <c r="B315" s="63" t="s">
        <v>11</v>
      </c>
      <c r="C315" s="63" t="s">
        <v>11</v>
      </c>
      <c r="D315" s="61"/>
      <c r="E315" s="61"/>
      <c r="F315" s="61"/>
      <c r="G315" s="61"/>
      <c r="H315" s="61"/>
      <c r="I315" s="61"/>
      <c r="J315" s="62" t="s">
        <v>680</v>
      </c>
    </row>
    <row r="316" spans="1:10" s="17" customFormat="1">
      <c r="A316" s="62" t="s">
        <v>681</v>
      </c>
      <c r="B316" s="63" t="s">
        <v>14</v>
      </c>
      <c r="C316" s="63" t="s">
        <v>14</v>
      </c>
      <c r="D316" s="61" t="s">
        <v>316</v>
      </c>
      <c r="E316" s="61" t="s">
        <v>14</v>
      </c>
      <c r="F316" s="61"/>
      <c r="G316" s="61"/>
      <c r="H316" s="61"/>
      <c r="I316" s="61"/>
      <c r="J316" s="62" t="s">
        <v>682</v>
      </c>
    </row>
    <row r="317" spans="1:10" s="17" customFormat="1" hidden="1">
      <c r="A317" s="62" t="s">
        <v>683</v>
      </c>
      <c r="B317" s="63" t="s">
        <v>11</v>
      </c>
      <c r="C317" s="63" t="s">
        <v>11</v>
      </c>
      <c r="D317" s="61" t="s">
        <v>684</v>
      </c>
      <c r="E317" s="61"/>
      <c r="F317" s="61"/>
      <c r="G317" s="61"/>
      <c r="H317" s="61"/>
      <c r="I317" s="61"/>
      <c r="J317" s="62" t="s">
        <v>685</v>
      </c>
    </row>
    <row r="318" spans="1:10" s="17" customFormat="1">
      <c r="A318" s="62" t="s">
        <v>686</v>
      </c>
      <c r="B318" s="63" t="s">
        <v>14</v>
      </c>
      <c r="C318" s="63" t="s">
        <v>14</v>
      </c>
      <c r="D318" s="61" t="s">
        <v>687</v>
      </c>
      <c r="E318" s="61" t="s">
        <v>14</v>
      </c>
      <c r="F318" s="61"/>
      <c r="G318" s="61"/>
      <c r="H318" s="61"/>
      <c r="I318" s="61"/>
      <c r="J318" s="62" t="s">
        <v>688</v>
      </c>
    </row>
    <row r="319" spans="1:10" s="17" customFormat="1" hidden="1">
      <c r="A319" s="62" t="s">
        <v>689</v>
      </c>
      <c r="B319" s="63" t="s">
        <v>11</v>
      </c>
      <c r="C319" s="61" t="s">
        <v>14</v>
      </c>
      <c r="D319" s="61" t="s">
        <v>690</v>
      </c>
      <c r="E319" s="61"/>
      <c r="F319" s="61" t="s">
        <v>11</v>
      </c>
      <c r="G319" s="61" t="s">
        <v>14</v>
      </c>
      <c r="H319" s="61"/>
      <c r="I319" s="61"/>
      <c r="J319" s="62" t="s">
        <v>691</v>
      </c>
    </row>
    <row r="320" spans="1:10" s="17" customFormat="1" hidden="1">
      <c r="A320" s="62" t="s">
        <v>692</v>
      </c>
      <c r="B320" s="63" t="s">
        <v>11</v>
      </c>
      <c r="C320" s="63" t="s">
        <v>11</v>
      </c>
      <c r="D320" s="61"/>
      <c r="E320" s="61"/>
      <c r="F320" s="61"/>
      <c r="G320" s="61"/>
      <c r="H320" s="61"/>
      <c r="I320" s="61"/>
      <c r="J320" s="62" t="s">
        <v>693</v>
      </c>
    </row>
    <row r="321" spans="1:10" s="17" customFormat="1" hidden="1">
      <c r="A321" s="62" t="s">
        <v>694</v>
      </c>
      <c r="B321" s="63" t="s">
        <v>11</v>
      </c>
      <c r="C321" s="63" t="s">
        <v>11</v>
      </c>
      <c r="D321" s="61"/>
      <c r="E321" s="61"/>
      <c r="F321" s="61"/>
      <c r="G321" s="61"/>
      <c r="H321" s="61"/>
      <c r="I321" s="61"/>
      <c r="J321" s="62" t="s">
        <v>695</v>
      </c>
    </row>
    <row r="322" spans="1:10" s="17" customFormat="1">
      <c r="A322" s="62" t="s">
        <v>696</v>
      </c>
      <c r="B322" s="63" t="s">
        <v>14</v>
      </c>
      <c r="C322" s="63" t="s">
        <v>14</v>
      </c>
      <c r="D322" s="61"/>
      <c r="E322" s="61" t="s">
        <v>14</v>
      </c>
      <c r="F322" s="61"/>
      <c r="G322" s="61"/>
      <c r="H322" s="61"/>
      <c r="I322" s="61"/>
      <c r="J322" s="62" t="s">
        <v>697</v>
      </c>
    </row>
    <row r="323" spans="1:10" s="17" customFormat="1" hidden="1">
      <c r="A323" s="62" t="s">
        <v>698</v>
      </c>
      <c r="B323" s="63" t="s">
        <v>11</v>
      </c>
      <c r="C323" s="61" t="s">
        <v>14</v>
      </c>
      <c r="D323" s="61"/>
      <c r="E323" s="61"/>
      <c r="F323" s="61"/>
      <c r="G323" s="61" t="s">
        <v>504</v>
      </c>
      <c r="H323" s="61"/>
      <c r="I323" s="61"/>
      <c r="J323" s="62" t="s">
        <v>699</v>
      </c>
    </row>
    <row r="324" spans="1:10" s="17" customFormat="1" hidden="1">
      <c r="A324" s="62" t="s">
        <v>700</v>
      </c>
      <c r="B324" s="63" t="s">
        <v>11</v>
      </c>
      <c r="C324" s="61" t="s">
        <v>11</v>
      </c>
      <c r="D324" s="61"/>
      <c r="E324" s="61"/>
      <c r="F324" s="61"/>
      <c r="G324" s="61"/>
      <c r="H324" s="61"/>
      <c r="I324" s="61"/>
      <c r="J324" s="62" t="s">
        <v>701</v>
      </c>
    </row>
    <row r="325" spans="1:10" s="17" customFormat="1" hidden="1">
      <c r="A325" s="62" t="s">
        <v>702</v>
      </c>
      <c r="B325" s="63" t="s">
        <v>11</v>
      </c>
      <c r="C325" s="63" t="s">
        <v>11</v>
      </c>
      <c r="D325" s="61"/>
      <c r="E325" s="61"/>
      <c r="F325" s="61"/>
      <c r="G325" s="61"/>
      <c r="H325" s="61"/>
      <c r="I325" s="61"/>
      <c r="J325" s="62" t="s">
        <v>703</v>
      </c>
    </row>
    <row r="326" spans="1:10" s="17" customFormat="1" hidden="1">
      <c r="A326" s="62" t="s">
        <v>704</v>
      </c>
      <c r="B326" s="63" t="s">
        <v>11</v>
      </c>
      <c r="C326" s="61" t="s">
        <v>14</v>
      </c>
      <c r="D326" s="61"/>
      <c r="E326" s="61"/>
      <c r="F326" s="61" t="s">
        <v>14</v>
      </c>
      <c r="G326" s="61" t="s">
        <v>11</v>
      </c>
      <c r="H326" s="61"/>
      <c r="I326" s="61"/>
      <c r="J326" s="62" t="s">
        <v>705</v>
      </c>
    </row>
    <row r="327" spans="1:10" s="17" customFormat="1" hidden="1">
      <c r="A327" s="62" t="s">
        <v>706</v>
      </c>
      <c r="B327" s="63" t="s">
        <v>11</v>
      </c>
      <c r="C327" s="61" t="s">
        <v>14</v>
      </c>
      <c r="D327" s="61"/>
      <c r="E327" s="61"/>
      <c r="F327" s="61" t="s">
        <v>14</v>
      </c>
      <c r="G327" s="61" t="s">
        <v>11</v>
      </c>
      <c r="H327" s="61"/>
      <c r="I327" s="61"/>
      <c r="J327" s="62" t="s">
        <v>707</v>
      </c>
    </row>
    <row r="328" spans="1:10" s="17" customFormat="1">
      <c r="A328" s="62" t="s">
        <v>708</v>
      </c>
      <c r="B328" s="63" t="s">
        <v>14</v>
      </c>
      <c r="C328" s="63" t="s">
        <v>14</v>
      </c>
      <c r="D328" s="61" t="s">
        <v>557</v>
      </c>
      <c r="E328" s="61" t="s">
        <v>14</v>
      </c>
      <c r="F328" s="61"/>
      <c r="G328" s="61"/>
      <c r="H328" s="61"/>
      <c r="I328" s="61"/>
      <c r="J328" s="62" t="s">
        <v>709</v>
      </c>
    </row>
    <row r="329" spans="1:10" s="17" customFormat="1">
      <c r="A329" s="62" t="s">
        <v>710</v>
      </c>
      <c r="B329" s="63" t="s">
        <v>14</v>
      </c>
      <c r="C329" s="63" t="s">
        <v>14</v>
      </c>
      <c r="D329" s="61" t="s">
        <v>557</v>
      </c>
      <c r="E329" s="61" t="s">
        <v>14</v>
      </c>
      <c r="F329" s="61"/>
      <c r="G329" s="61"/>
      <c r="H329" s="61"/>
      <c r="I329" s="61"/>
      <c r="J329" s="62" t="s">
        <v>711</v>
      </c>
    </row>
    <row r="330" spans="1:10" s="17" customFormat="1">
      <c r="A330" s="62" t="s">
        <v>712</v>
      </c>
      <c r="B330" s="63" t="s">
        <v>11</v>
      </c>
      <c r="C330" s="63" t="s">
        <v>14</v>
      </c>
      <c r="D330" s="61" t="s">
        <v>557</v>
      </c>
      <c r="E330" s="61" t="s">
        <v>14</v>
      </c>
      <c r="F330" s="61"/>
      <c r="G330" s="61"/>
      <c r="H330" s="61"/>
      <c r="I330" s="61"/>
      <c r="J330" s="62" t="s">
        <v>712</v>
      </c>
    </row>
    <row r="331" spans="1:10" s="17" customFormat="1" hidden="1">
      <c r="A331" s="62" t="s">
        <v>713</v>
      </c>
      <c r="B331" s="63" t="s">
        <v>11</v>
      </c>
      <c r="C331" s="63" t="s">
        <v>11</v>
      </c>
      <c r="D331" s="61"/>
      <c r="E331" s="61"/>
      <c r="F331" s="61"/>
      <c r="G331" s="61"/>
      <c r="H331" s="61"/>
      <c r="I331" s="61"/>
      <c r="J331" s="62" t="s">
        <v>714</v>
      </c>
    </row>
    <row r="332" spans="1:10" s="17" customFormat="1" hidden="1">
      <c r="A332" s="62" t="s">
        <v>715</v>
      </c>
      <c r="B332" s="63" t="s">
        <v>11</v>
      </c>
      <c r="C332" s="63" t="s">
        <v>11</v>
      </c>
      <c r="D332" s="61"/>
      <c r="E332" s="61"/>
      <c r="F332" s="61"/>
      <c r="G332" s="61"/>
      <c r="H332" s="61"/>
      <c r="I332" s="61"/>
      <c r="J332" s="62" t="s">
        <v>716</v>
      </c>
    </row>
    <row r="333" spans="1:10" s="17" customFormat="1" hidden="1">
      <c r="A333" s="62" t="s">
        <v>717</v>
      </c>
      <c r="B333" s="63" t="s">
        <v>11</v>
      </c>
      <c r="C333" s="63" t="s">
        <v>11</v>
      </c>
      <c r="D333" s="61"/>
      <c r="E333" s="61"/>
      <c r="F333" s="61"/>
      <c r="G333" s="61"/>
      <c r="H333" s="61"/>
      <c r="I333" s="61"/>
      <c r="J333" s="62" t="s">
        <v>718</v>
      </c>
    </row>
    <row r="334" spans="1:10" s="17" customFormat="1" hidden="1">
      <c r="A334" s="62" t="s">
        <v>719</v>
      </c>
      <c r="B334" s="63" t="s">
        <v>11</v>
      </c>
      <c r="C334" s="63" t="s">
        <v>11</v>
      </c>
      <c r="D334" s="61"/>
      <c r="E334" s="61"/>
      <c r="F334" s="61"/>
      <c r="G334" s="61"/>
      <c r="H334" s="61"/>
      <c r="I334" s="61"/>
      <c r="J334" s="62" t="s">
        <v>720</v>
      </c>
    </row>
    <row r="335" spans="1:10" s="17" customFormat="1" hidden="1">
      <c r="A335" s="62" t="s">
        <v>721</v>
      </c>
      <c r="B335" s="63" t="s">
        <v>11</v>
      </c>
      <c r="C335" s="63" t="s">
        <v>11</v>
      </c>
      <c r="D335" s="61"/>
      <c r="E335" s="61"/>
      <c r="F335" s="61"/>
      <c r="G335" s="61"/>
      <c r="H335" s="61"/>
      <c r="I335" s="61"/>
      <c r="J335" s="62" t="s">
        <v>722</v>
      </c>
    </row>
    <row r="336" spans="1:10" s="17" customFormat="1" hidden="1">
      <c r="A336" s="62" t="s">
        <v>723</v>
      </c>
      <c r="B336" s="63" t="s">
        <v>11</v>
      </c>
      <c r="C336" s="63" t="s">
        <v>11</v>
      </c>
      <c r="D336" s="61"/>
      <c r="E336" s="61"/>
      <c r="F336" s="61"/>
      <c r="G336" s="61"/>
      <c r="H336" s="61"/>
      <c r="I336" s="61"/>
      <c r="J336" s="62" t="s">
        <v>724</v>
      </c>
    </row>
    <row r="337" spans="1:10" s="17" customFormat="1" hidden="1">
      <c r="A337" s="62" t="s">
        <v>725</v>
      </c>
      <c r="B337" s="63" t="s">
        <v>11</v>
      </c>
      <c r="C337" s="63" t="s">
        <v>11</v>
      </c>
      <c r="D337" s="61"/>
      <c r="E337" s="61"/>
      <c r="F337" s="61"/>
      <c r="G337" s="61"/>
      <c r="H337" s="61"/>
      <c r="I337" s="61"/>
      <c r="J337" s="62" t="s">
        <v>724</v>
      </c>
    </row>
    <row r="338" spans="1:10" s="17" customFormat="1" hidden="1">
      <c r="A338" s="62" t="s">
        <v>726</v>
      </c>
      <c r="B338" s="63" t="s">
        <v>11</v>
      </c>
      <c r="C338" s="63" t="s">
        <v>11</v>
      </c>
      <c r="D338" s="61"/>
      <c r="E338" s="61"/>
      <c r="F338" s="61"/>
      <c r="G338" s="61"/>
      <c r="H338" s="61"/>
      <c r="I338" s="61"/>
      <c r="J338" s="62" t="s">
        <v>727</v>
      </c>
    </row>
    <row r="339" spans="1:10" s="17" customFormat="1" hidden="1">
      <c r="A339" s="62" t="s">
        <v>728</v>
      </c>
      <c r="B339" s="63" t="s">
        <v>11</v>
      </c>
      <c r="C339" s="63" t="s">
        <v>11</v>
      </c>
      <c r="D339" s="61"/>
      <c r="E339" s="61"/>
      <c r="F339" s="61"/>
      <c r="G339" s="61"/>
      <c r="H339" s="61"/>
      <c r="I339" s="61"/>
      <c r="J339" s="62" t="s">
        <v>729</v>
      </c>
    </row>
    <row r="340" spans="1:10" s="17" customFormat="1" hidden="1">
      <c r="A340" s="62" t="s">
        <v>730</v>
      </c>
      <c r="B340" s="63" t="s">
        <v>11</v>
      </c>
      <c r="C340" s="63" t="s">
        <v>11</v>
      </c>
      <c r="D340" s="61"/>
      <c r="E340" s="61"/>
      <c r="F340" s="61"/>
      <c r="G340" s="61"/>
      <c r="H340" s="61"/>
      <c r="I340" s="61"/>
      <c r="J340" s="62" t="s">
        <v>731</v>
      </c>
    </row>
    <row r="341" spans="1:10" s="17" customFormat="1" hidden="1">
      <c r="A341" s="62" t="s">
        <v>732</v>
      </c>
      <c r="B341" s="63" t="s">
        <v>11</v>
      </c>
      <c r="C341" s="63" t="s">
        <v>11</v>
      </c>
      <c r="D341" s="61"/>
      <c r="E341" s="61"/>
      <c r="F341" s="61"/>
      <c r="G341" s="61"/>
      <c r="H341" s="61"/>
      <c r="I341" s="61"/>
      <c r="J341" s="62" t="s">
        <v>733</v>
      </c>
    </row>
    <row r="342" spans="1:10" s="17" customFormat="1" hidden="1">
      <c r="A342" s="62" t="s">
        <v>734</v>
      </c>
      <c r="B342" s="63" t="s">
        <v>11</v>
      </c>
      <c r="C342" s="63" t="s">
        <v>11</v>
      </c>
      <c r="D342" s="61"/>
      <c r="E342" s="61"/>
      <c r="F342" s="61"/>
      <c r="G342" s="61"/>
      <c r="H342" s="61"/>
      <c r="I342" s="61"/>
      <c r="J342" s="62" t="s">
        <v>735</v>
      </c>
    </row>
    <row r="343" spans="1:10" s="17" customFormat="1" hidden="1">
      <c r="A343" s="62" t="s">
        <v>736</v>
      </c>
      <c r="B343" s="63" t="s">
        <v>11</v>
      </c>
      <c r="C343" s="63" t="s">
        <v>11</v>
      </c>
      <c r="D343" s="61"/>
      <c r="E343" s="61"/>
      <c r="F343" s="61"/>
      <c r="G343" s="61"/>
      <c r="H343" s="61"/>
      <c r="I343" s="61"/>
      <c r="J343" s="62" t="s">
        <v>737</v>
      </c>
    </row>
    <row r="344" spans="1:10" s="17" customFormat="1" hidden="1">
      <c r="A344" s="62" t="s">
        <v>738</v>
      </c>
      <c r="B344" s="63" t="s">
        <v>11</v>
      </c>
      <c r="C344" s="63" t="s">
        <v>11</v>
      </c>
      <c r="D344" s="61"/>
      <c r="E344" s="61"/>
      <c r="F344" s="61"/>
      <c r="G344" s="61"/>
      <c r="H344" s="61"/>
      <c r="I344" s="61"/>
      <c r="J344" s="62" t="s">
        <v>739</v>
      </c>
    </row>
    <row r="345" spans="1:10" s="17" customFormat="1" hidden="1">
      <c r="A345" s="62" t="s">
        <v>740</v>
      </c>
      <c r="B345" s="63" t="s">
        <v>11</v>
      </c>
      <c r="C345" s="63" t="s">
        <v>11</v>
      </c>
      <c r="D345" s="61"/>
      <c r="E345" s="61"/>
      <c r="F345" s="61"/>
      <c r="G345" s="61"/>
      <c r="H345" s="61"/>
      <c r="I345" s="61"/>
      <c r="J345" s="62" t="s">
        <v>741</v>
      </c>
    </row>
    <row r="346" spans="1:10" s="17" customFormat="1" hidden="1">
      <c r="A346" s="62" t="s">
        <v>742</v>
      </c>
      <c r="B346" s="63" t="s">
        <v>11</v>
      </c>
      <c r="C346" s="63" t="s">
        <v>11</v>
      </c>
      <c r="D346" s="61"/>
      <c r="E346" s="61"/>
      <c r="F346" s="61"/>
      <c r="G346" s="61"/>
      <c r="H346" s="61"/>
      <c r="I346" s="61"/>
      <c r="J346" s="62" t="s">
        <v>743</v>
      </c>
    </row>
    <row r="347" spans="1:10" s="17" customFormat="1" hidden="1">
      <c r="A347" s="62" t="s">
        <v>744</v>
      </c>
      <c r="B347" s="63" t="s">
        <v>11</v>
      </c>
      <c r="C347" s="61" t="s">
        <v>85</v>
      </c>
      <c r="D347" s="61"/>
      <c r="E347" s="61"/>
      <c r="F347" s="61" t="s">
        <v>86</v>
      </c>
      <c r="G347" s="61" t="s">
        <v>86</v>
      </c>
      <c r="I347" s="61" t="s">
        <v>745</v>
      </c>
      <c r="J347" s="17" t="s">
        <v>746</v>
      </c>
    </row>
    <row r="348" spans="1:10" s="17" customFormat="1">
      <c r="A348" s="62" t="s">
        <v>747</v>
      </c>
      <c r="B348" s="63" t="s">
        <v>14</v>
      </c>
      <c r="C348" s="61" t="s">
        <v>14</v>
      </c>
      <c r="D348" s="61" t="s">
        <v>748</v>
      </c>
      <c r="E348" s="61" t="s">
        <v>14</v>
      </c>
      <c r="F348" s="61"/>
      <c r="G348" s="61"/>
      <c r="H348" s="61"/>
      <c r="I348" s="61"/>
      <c r="J348" s="62" t="s">
        <v>749</v>
      </c>
    </row>
    <row r="349" spans="1:10" s="17" customFormat="1" hidden="1">
      <c r="A349" s="62" t="s">
        <v>750</v>
      </c>
      <c r="B349" s="63" t="s">
        <v>11</v>
      </c>
      <c r="C349" s="63" t="s">
        <v>11</v>
      </c>
      <c r="D349" s="61"/>
      <c r="E349" s="61"/>
      <c r="F349" s="61"/>
      <c r="G349" s="61"/>
      <c r="H349" s="61"/>
      <c r="I349" s="61"/>
      <c r="J349" s="62" t="s">
        <v>751</v>
      </c>
    </row>
    <row r="350" spans="1:10" s="17" customFormat="1" hidden="1">
      <c r="A350" s="62" t="s">
        <v>752</v>
      </c>
      <c r="B350" s="63" t="s">
        <v>11</v>
      </c>
      <c r="C350" s="63" t="s">
        <v>11</v>
      </c>
      <c r="D350" s="61"/>
      <c r="E350" s="61"/>
      <c r="F350" s="61"/>
      <c r="G350" s="61"/>
      <c r="H350" s="61"/>
      <c r="I350" s="61"/>
      <c r="J350" s="62" t="s">
        <v>753</v>
      </c>
    </row>
    <row r="351" spans="1:10" s="17" customFormat="1">
      <c r="A351" s="62" t="s">
        <v>754</v>
      </c>
      <c r="B351" s="63" t="s">
        <v>14</v>
      </c>
      <c r="C351" s="63" t="s">
        <v>14</v>
      </c>
      <c r="D351" s="61" t="s">
        <v>497</v>
      </c>
      <c r="E351" s="61" t="s">
        <v>14</v>
      </c>
      <c r="F351" s="61"/>
      <c r="G351" s="61"/>
      <c r="H351" s="61"/>
      <c r="I351" s="61"/>
      <c r="J351" s="62" t="s">
        <v>755</v>
      </c>
    </row>
    <row r="352" spans="1:10" s="17" customFormat="1" hidden="1">
      <c r="A352" s="62" t="s">
        <v>756</v>
      </c>
      <c r="B352" s="63" t="s">
        <v>11</v>
      </c>
      <c r="C352" s="63" t="s">
        <v>11</v>
      </c>
      <c r="D352" s="61"/>
      <c r="E352" s="61"/>
      <c r="F352" s="61"/>
      <c r="G352" s="61"/>
      <c r="H352" s="61"/>
      <c r="I352" s="61"/>
      <c r="J352" s="62" t="s">
        <v>757</v>
      </c>
    </row>
    <row r="353" spans="1:10" s="17" customFormat="1" hidden="1">
      <c r="A353" s="62" t="s">
        <v>758</v>
      </c>
      <c r="B353" s="63" t="s">
        <v>11</v>
      </c>
      <c r="C353" s="63" t="s">
        <v>11</v>
      </c>
      <c r="D353" s="61"/>
      <c r="E353" s="61"/>
      <c r="F353" s="61"/>
      <c r="G353" s="61"/>
      <c r="H353" s="61"/>
      <c r="I353" s="61"/>
      <c r="J353" s="62" t="s">
        <v>759</v>
      </c>
    </row>
    <row r="354" spans="1:10" s="17" customFormat="1" hidden="1">
      <c r="A354" s="62" t="s">
        <v>760</v>
      </c>
      <c r="B354" s="63" t="s">
        <v>11</v>
      </c>
      <c r="C354" s="63" t="s">
        <v>11</v>
      </c>
      <c r="D354" s="61"/>
      <c r="E354" s="61"/>
      <c r="F354" s="61"/>
      <c r="G354" s="61"/>
      <c r="H354" s="61"/>
      <c r="I354" s="61"/>
      <c r="J354" s="62" t="s">
        <v>761</v>
      </c>
    </row>
    <row r="355" spans="1:10" s="17" customFormat="1" hidden="1">
      <c r="A355" s="62" t="s">
        <v>762</v>
      </c>
      <c r="B355" s="63" t="s">
        <v>11</v>
      </c>
      <c r="C355" s="61" t="s">
        <v>11</v>
      </c>
      <c r="D355" s="61" t="s">
        <v>763</v>
      </c>
      <c r="E355" s="61"/>
      <c r="F355" s="61"/>
      <c r="G355" s="61"/>
      <c r="H355" s="61"/>
      <c r="I355" s="61"/>
      <c r="J355" s="62" t="s">
        <v>764</v>
      </c>
    </row>
    <row r="356" spans="1:10" s="17" customFormat="1" hidden="1">
      <c r="A356" s="62" t="s">
        <v>765</v>
      </c>
      <c r="B356" s="63" t="s">
        <v>11</v>
      </c>
      <c r="C356" s="61" t="s">
        <v>11</v>
      </c>
      <c r="D356" s="61"/>
      <c r="E356" s="61"/>
      <c r="F356" s="61"/>
      <c r="G356" s="61"/>
      <c r="H356" s="61"/>
      <c r="I356" s="61"/>
      <c r="J356" s="62" t="s">
        <v>766</v>
      </c>
    </row>
    <row r="357" spans="1:10" s="17" customFormat="1" hidden="1">
      <c r="A357" s="62" t="s">
        <v>767</v>
      </c>
      <c r="B357" s="63" t="s">
        <v>11</v>
      </c>
      <c r="C357" s="63" t="s">
        <v>11</v>
      </c>
      <c r="D357" s="61"/>
      <c r="E357" s="61"/>
      <c r="F357" s="61"/>
      <c r="G357" s="61"/>
      <c r="H357" s="61"/>
      <c r="I357" s="61"/>
      <c r="J357" s="62" t="s">
        <v>768</v>
      </c>
    </row>
    <row r="358" spans="1:10" s="17" customFormat="1" hidden="1">
      <c r="A358" s="62" t="s">
        <v>769</v>
      </c>
      <c r="B358" s="63" t="s">
        <v>11</v>
      </c>
      <c r="C358" s="61" t="s">
        <v>14</v>
      </c>
      <c r="D358" s="61" t="s">
        <v>770</v>
      </c>
      <c r="E358" s="61"/>
      <c r="F358" s="61" t="s">
        <v>14</v>
      </c>
      <c r="G358" s="61" t="s">
        <v>11</v>
      </c>
      <c r="H358" s="61"/>
      <c r="I358" s="61"/>
      <c r="J358" s="62" t="s">
        <v>771</v>
      </c>
    </row>
    <row r="359" spans="1:10" s="17" customFormat="1" hidden="1">
      <c r="A359" s="62" t="s">
        <v>772</v>
      </c>
      <c r="B359" s="63" t="s">
        <v>11</v>
      </c>
      <c r="C359" s="63" t="s">
        <v>11</v>
      </c>
      <c r="D359" s="61"/>
      <c r="E359" s="61"/>
      <c r="F359" s="61"/>
      <c r="G359" s="61"/>
      <c r="H359" s="61"/>
      <c r="I359" s="61"/>
      <c r="J359" s="62" t="s">
        <v>773</v>
      </c>
    </row>
    <row r="360" spans="1:10" s="17" customFormat="1" hidden="1">
      <c r="A360" s="62" t="s">
        <v>774</v>
      </c>
      <c r="B360" s="63" t="s">
        <v>11</v>
      </c>
      <c r="C360" s="63" t="s">
        <v>11</v>
      </c>
      <c r="D360" s="61"/>
      <c r="E360" s="61"/>
      <c r="F360" s="61"/>
      <c r="G360" s="61"/>
      <c r="H360" s="61"/>
      <c r="I360" s="61"/>
      <c r="J360" s="62" t="s">
        <v>775</v>
      </c>
    </row>
    <row r="361" spans="1:10" s="17" customFormat="1" hidden="1">
      <c r="A361" s="62" t="s">
        <v>776</v>
      </c>
      <c r="B361" s="63" t="s">
        <v>11</v>
      </c>
      <c r="C361" s="63" t="s">
        <v>11</v>
      </c>
      <c r="D361" s="61"/>
      <c r="E361" s="61"/>
      <c r="F361" s="61"/>
      <c r="G361" s="61"/>
      <c r="H361" s="61"/>
      <c r="I361" s="61"/>
      <c r="J361" s="62" t="s">
        <v>777</v>
      </c>
    </row>
    <row r="362" spans="1:10" s="17" customFormat="1">
      <c r="A362" s="62" t="s">
        <v>778</v>
      </c>
      <c r="B362" s="63" t="s">
        <v>14</v>
      </c>
      <c r="C362" s="61" t="s">
        <v>14</v>
      </c>
      <c r="D362" s="61" t="s">
        <v>779</v>
      </c>
      <c r="E362" s="61" t="s">
        <v>14</v>
      </c>
      <c r="F362" s="61"/>
      <c r="G362" s="61"/>
      <c r="H362" s="61"/>
      <c r="I362" s="61"/>
      <c r="J362" s="62" t="s">
        <v>780</v>
      </c>
    </row>
    <row r="363" spans="1:10" s="17" customFormat="1">
      <c r="A363" s="62" t="s">
        <v>781</v>
      </c>
      <c r="B363" s="63" t="s">
        <v>14</v>
      </c>
      <c r="C363" s="63" t="s">
        <v>14</v>
      </c>
      <c r="D363" s="61"/>
      <c r="E363" s="61" t="s">
        <v>14</v>
      </c>
      <c r="F363" s="61"/>
      <c r="G363" s="61"/>
      <c r="H363" s="61"/>
      <c r="I363" s="61"/>
      <c r="J363" s="62" t="s">
        <v>782</v>
      </c>
    </row>
    <row r="364" spans="1:10" s="17" customFormat="1" hidden="1">
      <c r="A364" s="62" t="s">
        <v>783</v>
      </c>
      <c r="B364" s="63" t="s">
        <v>11</v>
      </c>
      <c r="C364" s="63" t="s">
        <v>11</v>
      </c>
      <c r="D364" s="61"/>
      <c r="E364" s="61"/>
      <c r="F364" s="61"/>
      <c r="G364" s="61"/>
      <c r="H364" s="61"/>
      <c r="I364" s="61"/>
      <c r="J364" s="62" t="s">
        <v>782</v>
      </c>
    </row>
    <row r="365" spans="1:10" s="17" customFormat="1" hidden="1">
      <c r="A365" s="62" t="s">
        <v>784</v>
      </c>
      <c r="B365" s="63" t="s">
        <v>11</v>
      </c>
      <c r="C365" s="61" t="s">
        <v>11</v>
      </c>
      <c r="D365" s="61" t="s">
        <v>785</v>
      </c>
      <c r="E365" s="61"/>
      <c r="F365" s="61"/>
      <c r="G365" s="61"/>
      <c r="H365" s="61"/>
      <c r="I365" s="61"/>
      <c r="J365" s="62" t="s">
        <v>786</v>
      </c>
    </row>
    <row r="366" spans="1:10" s="17" customFormat="1">
      <c r="A366" s="62" t="s">
        <v>787</v>
      </c>
      <c r="B366" s="63" t="s">
        <v>14</v>
      </c>
      <c r="C366" s="61" t="s">
        <v>14</v>
      </c>
      <c r="D366" s="61" t="s">
        <v>788</v>
      </c>
      <c r="E366" s="61" t="s">
        <v>14</v>
      </c>
      <c r="F366" s="61"/>
      <c r="G366" s="61"/>
      <c r="H366" s="61"/>
      <c r="I366" s="61"/>
      <c r="J366" s="62" t="s">
        <v>789</v>
      </c>
    </row>
    <row r="367" spans="1:10" s="17" customFormat="1" hidden="1">
      <c r="A367" s="62" t="s">
        <v>790</v>
      </c>
      <c r="B367" s="63" t="s">
        <v>11</v>
      </c>
      <c r="C367" s="63" t="s">
        <v>11</v>
      </c>
      <c r="D367" s="61"/>
      <c r="E367" s="61"/>
      <c r="F367" s="61"/>
      <c r="G367" s="61"/>
      <c r="H367" s="61"/>
      <c r="I367" s="61"/>
      <c r="J367" s="62" t="s">
        <v>791</v>
      </c>
    </row>
    <row r="368" spans="1:10" s="17" customFormat="1">
      <c r="A368" s="62" t="s">
        <v>792</v>
      </c>
      <c r="B368" s="63" t="s">
        <v>14</v>
      </c>
      <c r="C368" s="63" t="s">
        <v>14</v>
      </c>
      <c r="D368" s="61"/>
      <c r="E368" s="61" t="s">
        <v>14</v>
      </c>
      <c r="F368" s="61"/>
      <c r="G368" s="61"/>
      <c r="H368" s="61"/>
      <c r="I368" s="61"/>
      <c r="J368" s="62" t="s">
        <v>793</v>
      </c>
    </row>
    <row r="369" spans="1:10" s="17" customFormat="1">
      <c r="A369" s="62" t="s">
        <v>794</v>
      </c>
      <c r="B369" s="63" t="s">
        <v>14</v>
      </c>
      <c r="C369" s="63" t="s">
        <v>14</v>
      </c>
      <c r="D369" s="61"/>
      <c r="E369" s="61" t="s">
        <v>14</v>
      </c>
      <c r="F369" s="61"/>
      <c r="G369" s="61"/>
      <c r="H369" s="61" t="s">
        <v>504</v>
      </c>
      <c r="I369" s="61"/>
      <c r="J369" s="62"/>
    </row>
    <row r="370" spans="1:10" s="17" customFormat="1" hidden="1">
      <c r="A370" s="62" t="s">
        <v>795</v>
      </c>
      <c r="B370" s="63" t="s">
        <v>11</v>
      </c>
      <c r="C370" s="61" t="s">
        <v>14</v>
      </c>
      <c r="D370" s="61" t="s">
        <v>796</v>
      </c>
      <c r="E370" s="61"/>
      <c r="F370" s="61" t="s">
        <v>14</v>
      </c>
      <c r="G370" s="61" t="s">
        <v>11</v>
      </c>
      <c r="H370" s="61"/>
      <c r="I370" s="61"/>
      <c r="J370" s="62" t="s">
        <v>797</v>
      </c>
    </row>
    <row r="371" spans="1:10" s="17" customFormat="1" hidden="1">
      <c r="A371" s="62" t="s">
        <v>798</v>
      </c>
      <c r="B371" s="63" t="s">
        <v>11</v>
      </c>
      <c r="C371" s="61" t="s">
        <v>14</v>
      </c>
      <c r="D371" s="61" t="s">
        <v>796</v>
      </c>
      <c r="E371" s="61"/>
      <c r="F371" s="61" t="s">
        <v>14</v>
      </c>
      <c r="G371" s="61" t="s">
        <v>11</v>
      </c>
      <c r="H371" s="61"/>
      <c r="I371" s="61"/>
      <c r="J371" s="62" t="s">
        <v>799</v>
      </c>
    </row>
    <row r="372" spans="1:10" s="17" customFormat="1" hidden="1">
      <c r="A372" s="62" t="s">
        <v>800</v>
      </c>
      <c r="B372" s="63" t="s">
        <v>11</v>
      </c>
      <c r="C372" s="63" t="s">
        <v>11</v>
      </c>
      <c r="D372" s="61"/>
      <c r="E372" s="61"/>
      <c r="F372" s="61"/>
      <c r="G372" s="61"/>
      <c r="H372" s="61"/>
      <c r="I372" s="61"/>
      <c r="J372" s="62" t="s">
        <v>801</v>
      </c>
    </row>
    <row r="373" spans="1:10" s="17" customFormat="1">
      <c r="A373" s="62" t="s">
        <v>802</v>
      </c>
      <c r="B373" s="63" t="s">
        <v>14</v>
      </c>
      <c r="C373" s="63" t="s">
        <v>14</v>
      </c>
      <c r="D373" s="61" t="s">
        <v>803</v>
      </c>
      <c r="E373" s="61" t="s">
        <v>14</v>
      </c>
      <c r="F373" s="61"/>
      <c r="G373" s="61"/>
      <c r="H373" s="61"/>
      <c r="I373" s="61"/>
      <c r="J373" s="62" t="s">
        <v>804</v>
      </c>
    </row>
    <row r="374" spans="1:10" s="17" customFormat="1">
      <c r="A374" s="62" t="s">
        <v>805</v>
      </c>
      <c r="B374" s="63" t="s">
        <v>14</v>
      </c>
      <c r="C374" s="63" t="s">
        <v>14</v>
      </c>
      <c r="D374" s="61" t="s">
        <v>803</v>
      </c>
      <c r="E374" s="61" t="s">
        <v>14</v>
      </c>
      <c r="F374" s="61"/>
      <c r="G374" s="61"/>
      <c r="H374" s="61"/>
      <c r="I374" s="61"/>
      <c r="J374" s="62" t="s">
        <v>806</v>
      </c>
    </row>
    <row r="375" spans="1:10" s="17" customFormat="1">
      <c r="A375" s="62" t="s">
        <v>807</v>
      </c>
      <c r="B375" s="63" t="s">
        <v>14</v>
      </c>
      <c r="C375" s="61" t="s">
        <v>14</v>
      </c>
      <c r="D375" s="61"/>
      <c r="E375" s="61" t="s">
        <v>14</v>
      </c>
      <c r="F375" s="61"/>
      <c r="G375" s="61"/>
      <c r="H375" s="61"/>
      <c r="I375" s="61"/>
      <c r="J375" s="62" t="s">
        <v>808</v>
      </c>
    </row>
    <row r="376" spans="1:10" s="17" customFormat="1">
      <c r="A376" s="62" t="s">
        <v>809</v>
      </c>
      <c r="B376" s="63" t="s">
        <v>11</v>
      </c>
      <c r="C376" s="63" t="s">
        <v>14</v>
      </c>
      <c r="D376" s="61" t="s">
        <v>421</v>
      </c>
      <c r="E376" s="61" t="s">
        <v>14</v>
      </c>
      <c r="F376" s="61"/>
      <c r="G376" s="61"/>
      <c r="H376" s="61"/>
      <c r="I376" s="61"/>
      <c r="J376" s="62" t="s">
        <v>810</v>
      </c>
    </row>
    <row r="377" spans="1:10" s="17" customFormat="1">
      <c r="A377" s="62" t="s">
        <v>811</v>
      </c>
      <c r="B377" s="63" t="s">
        <v>14</v>
      </c>
      <c r="C377" s="63" t="s">
        <v>14</v>
      </c>
      <c r="D377" s="61" t="s">
        <v>812</v>
      </c>
      <c r="E377" s="61" t="s">
        <v>14</v>
      </c>
      <c r="F377" s="61"/>
      <c r="G377" s="61"/>
      <c r="H377" s="61"/>
      <c r="I377" s="61"/>
      <c r="J377" s="62" t="s">
        <v>813</v>
      </c>
    </row>
    <row r="378" spans="1:10" s="17" customFormat="1">
      <c r="A378" s="62" t="s">
        <v>814</v>
      </c>
      <c r="B378" s="63" t="s">
        <v>14</v>
      </c>
      <c r="C378" s="63" t="s">
        <v>14</v>
      </c>
      <c r="D378" s="61" t="s">
        <v>812</v>
      </c>
      <c r="E378" s="61" t="s">
        <v>14</v>
      </c>
      <c r="F378" s="61"/>
      <c r="G378" s="61"/>
      <c r="H378" s="61"/>
      <c r="I378" s="61"/>
      <c r="J378" s="62" t="s">
        <v>815</v>
      </c>
    </row>
    <row r="379" spans="1:10" s="17" customFormat="1">
      <c r="A379" s="62" t="s">
        <v>816</v>
      </c>
      <c r="B379" s="63" t="s">
        <v>14</v>
      </c>
      <c r="C379" s="63" t="s">
        <v>14</v>
      </c>
      <c r="D379" s="61" t="s">
        <v>812</v>
      </c>
      <c r="E379" s="61" t="s">
        <v>14</v>
      </c>
      <c r="F379" s="61"/>
      <c r="G379" s="61"/>
      <c r="H379" s="61"/>
      <c r="I379" s="61"/>
      <c r="J379" s="62" t="s">
        <v>817</v>
      </c>
    </row>
    <row r="380" spans="1:10" s="17" customFormat="1">
      <c r="A380" s="62" t="s">
        <v>818</v>
      </c>
      <c r="B380" s="63" t="s">
        <v>14</v>
      </c>
      <c r="C380" s="63" t="s">
        <v>14</v>
      </c>
      <c r="D380" s="61" t="s">
        <v>812</v>
      </c>
      <c r="E380" s="61" t="s">
        <v>14</v>
      </c>
      <c r="F380" s="61"/>
      <c r="G380" s="61"/>
      <c r="H380" s="61" t="s">
        <v>504</v>
      </c>
      <c r="I380" s="61"/>
      <c r="J380" s="62" t="s">
        <v>817</v>
      </c>
    </row>
    <row r="381" spans="1:10" s="17" customFormat="1">
      <c r="A381" s="62" t="s">
        <v>819</v>
      </c>
      <c r="B381" s="63" t="s">
        <v>14</v>
      </c>
      <c r="C381" s="63" t="s">
        <v>14</v>
      </c>
      <c r="D381" s="61" t="s">
        <v>812</v>
      </c>
      <c r="E381" s="61" t="s">
        <v>14</v>
      </c>
      <c r="F381" s="61"/>
      <c r="G381" s="61"/>
      <c r="H381" s="61"/>
      <c r="I381" s="61"/>
      <c r="J381" s="62" t="s">
        <v>820</v>
      </c>
    </row>
    <row r="382" spans="1:10" s="17" customFormat="1">
      <c r="A382" s="62" t="s">
        <v>821</v>
      </c>
      <c r="B382" s="63" t="s">
        <v>14</v>
      </c>
      <c r="C382" s="63" t="s">
        <v>14</v>
      </c>
      <c r="D382" s="61" t="s">
        <v>812</v>
      </c>
      <c r="E382" s="61" t="s">
        <v>14</v>
      </c>
      <c r="F382" s="61"/>
      <c r="G382" s="61"/>
      <c r="H382" s="61"/>
      <c r="I382" s="61"/>
      <c r="J382" s="62" t="s">
        <v>822</v>
      </c>
    </row>
    <row r="383" spans="1:10" s="17" customFormat="1">
      <c r="A383" s="62" t="s">
        <v>823</v>
      </c>
      <c r="B383" s="63" t="s">
        <v>14</v>
      </c>
      <c r="C383" s="63" t="s">
        <v>14</v>
      </c>
      <c r="D383" s="61" t="s">
        <v>812</v>
      </c>
      <c r="E383" s="61" t="s">
        <v>14</v>
      </c>
      <c r="F383" s="61"/>
      <c r="G383" s="61"/>
      <c r="H383" s="61"/>
      <c r="I383" s="61"/>
      <c r="J383" s="62" t="s">
        <v>824</v>
      </c>
    </row>
    <row r="384" spans="1:10" s="17" customFormat="1">
      <c r="A384" s="62" t="s">
        <v>825</v>
      </c>
      <c r="B384" s="63" t="s">
        <v>14</v>
      </c>
      <c r="C384" s="63" t="s">
        <v>14</v>
      </c>
      <c r="D384" s="61" t="s">
        <v>812</v>
      </c>
      <c r="E384" s="61" t="s">
        <v>14</v>
      </c>
      <c r="F384" s="61"/>
      <c r="G384" s="61"/>
      <c r="H384" s="61"/>
      <c r="I384" s="61"/>
      <c r="J384" s="62" t="s">
        <v>826</v>
      </c>
    </row>
    <row r="385" spans="1:10" s="17" customFormat="1">
      <c r="A385" s="62" t="s">
        <v>827</v>
      </c>
      <c r="B385" s="63" t="s">
        <v>14</v>
      </c>
      <c r="C385" s="63" t="s">
        <v>14</v>
      </c>
      <c r="D385" s="61" t="s">
        <v>812</v>
      </c>
      <c r="E385" s="61" t="s">
        <v>14</v>
      </c>
      <c r="F385" s="61"/>
      <c r="G385" s="61"/>
      <c r="H385" s="61"/>
      <c r="I385" s="61"/>
      <c r="J385" s="62" t="s">
        <v>828</v>
      </c>
    </row>
    <row r="386" spans="1:10" s="17" customFormat="1">
      <c r="A386" s="62" t="s">
        <v>829</v>
      </c>
      <c r="B386" s="63" t="s">
        <v>14</v>
      </c>
      <c r="C386" s="63" t="s">
        <v>14</v>
      </c>
      <c r="D386" s="61" t="s">
        <v>812</v>
      </c>
      <c r="E386" s="61" t="s">
        <v>14</v>
      </c>
      <c r="F386" s="61"/>
      <c r="G386" s="61"/>
      <c r="H386" s="61"/>
      <c r="I386" s="61"/>
      <c r="J386" s="62" t="s">
        <v>830</v>
      </c>
    </row>
    <row r="387" spans="1:10" s="17" customFormat="1">
      <c r="A387" s="62" t="s">
        <v>831</v>
      </c>
      <c r="B387" s="63" t="s">
        <v>14</v>
      </c>
      <c r="C387" s="63" t="s">
        <v>14</v>
      </c>
      <c r="D387" s="61" t="s">
        <v>812</v>
      </c>
      <c r="E387" s="61" t="s">
        <v>14</v>
      </c>
      <c r="F387" s="61"/>
      <c r="G387" s="61"/>
      <c r="H387" s="61"/>
      <c r="I387" s="61"/>
      <c r="J387" s="62" t="s">
        <v>832</v>
      </c>
    </row>
    <row r="388" spans="1:10" s="17" customFormat="1">
      <c r="A388" s="62" t="s">
        <v>833</v>
      </c>
      <c r="B388" s="63" t="s">
        <v>14</v>
      </c>
      <c r="C388" s="63" t="s">
        <v>14</v>
      </c>
      <c r="D388" s="61" t="s">
        <v>812</v>
      </c>
      <c r="E388" s="61" t="s">
        <v>14</v>
      </c>
      <c r="F388" s="61"/>
      <c r="G388" s="61"/>
      <c r="H388" s="61"/>
      <c r="I388" s="61"/>
      <c r="J388" s="62" t="s">
        <v>834</v>
      </c>
    </row>
    <row r="389" spans="1:10" s="17" customFormat="1">
      <c r="A389" s="62" t="s">
        <v>835</v>
      </c>
      <c r="B389" s="63" t="s">
        <v>14</v>
      </c>
      <c r="C389" s="63" t="s">
        <v>14</v>
      </c>
      <c r="D389" s="61" t="s">
        <v>812</v>
      </c>
      <c r="E389" s="61" t="s">
        <v>14</v>
      </c>
      <c r="F389" s="61"/>
      <c r="G389" s="61"/>
      <c r="H389" s="61"/>
      <c r="I389" s="61"/>
      <c r="J389" s="62" t="s">
        <v>836</v>
      </c>
    </row>
    <row r="390" spans="1:10" s="17" customFormat="1" hidden="1">
      <c r="A390" s="62" t="s">
        <v>837</v>
      </c>
      <c r="B390" s="63" t="s">
        <v>11</v>
      </c>
      <c r="C390" s="63" t="s">
        <v>11</v>
      </c>
      <c r="D390" s="61" t="s">
        <v>283</v>
      </c>
      <c r="E390" s="61"/>
      <c r="F390" s="61"/>
      <c r="G390" s="61"/>
      <c r="H390" s="61"/>
      <c r="I390" s="61"/>
      <c r="J390" s="62" t="s">
        <v>838</v>
      </c>
    </row>
    <row r="391" spans="1:10" s="17" customFormat="1" hidden="1">
      <c r="A391" s="62" t="s">
        <v>839</v>
      </c>
      <c r="B391" s="63" t="s">
        <v>11</v>
      </c>
      <c r="C391" s="61" t="s">
        <v>14</v>
      </c>
      <c r="D391" s="61" t="s">
        <v>503</v>
      </c>
      <c r="E391" s="61"/>
      <c r="F391" s="61"/>
      <c r="G391" s="61" t="s">
        <v>504</v>
      </c>
      <c r="H391" s="61"/>
      <c r="I391" s="61"/>
      <c r="J391" s="62" t="s">
        <v>840</v>
      </c>
    </row>
    <row r="392" spans="1:10" s="17" customFormat="1" hidden="1">
      <c r="A392" s="62" t="s">
        <v>841</v>
      </c>
      <c r="B392" s="63" t="s">
        <v>11</v>
      </c>
      <c r="C392" s="63" t="s">
        <v>11</v>
      </c>
      <c r="D392" s="61" t="s">
        <v>503</v>
      </c>
      <c r="E392" s="61"/>
      <c r="F392" s="61"/>
      <c r="G392" s="61"/>
      <c r="H392" s="61"/>
      <c r="I392" s="61"/>
      <c r="J392" s="62" t="s">
        <v>842</v>
      </c>
    </row>
    <row r="393" spans="1:10" s="17" customFormat="1">
      <c r="A393" s="62" t="s">
        <v>843</v>
      </c>
      <c r="B393" s="63" t="s">
        <v>14</v>
      </c>
      <c r="C393" s="61" t="s">
        <v>14</v>
      </c>
      <c r="D393" s="61"/>
      <c r="E393" s="61" t="s">
        <v>14</v>
      </c>
      <c r="F393" s="61"/>
      <c r="G393" s="61"/>
      <c r="H393" s="61"/>
      <c r="I393" s="61"/>
      <c r="J393" s="62" t="s">
        <v>844</v>
      </c>
    </row>
    <row r="394" spans="1:10" s="17" customFormat="1" hidden="1">
      <c r="A394" s="62" t="s">
        <v>845</v>
      </c>
      <c r="B394" s="63" t="s">
        <v>11</v>
      </c>
      <c r="C394" s="63" t="s">
        <v>11</v>
      </c>
      <c r="D394" s="61"/>
      <c r="E394" s="61"/>
      <c r="F394" s="61"/>
      <c r="G394" s="61"/>
      <c r="H394" s="61"/>
      <c r="I394" s="61"/>
      <c r="J394" s="62" t="s">
        <v>846</v>
      </c>
    </row>
    <row r="395" spans="1:10" s="17" customFormat="1" hidden="1">
      <c r="A395" s="62" t="s">
        <v>847</v>
      </c>
      <c r="B395" s="63" t="s">
        <v>11</v>
      </c>
      <c r="C395" s="63" t="s">
        <v>11</v>
      </c>
      <c r="D395" s="61"/>
      <c r="E395" s="61"/>
      <c r="F395" s="61"/>
      <c r="G395" s="61"/>
      <c r="H395" s="61"/>
      <c r="I395" s="61"/>
      <c r="J395" s="62" t="s">
        <v>846</v>
      </c>
    </row>
    <row r="396" spans="1:10" s="17" customFormat="1">
      <c r="A396" s="62" t="s">
        <v>848</v>
      </c>
      <c r="B396" s="63" t="s">
        <v>14</v>
      </c>
      <c r="C396" s="63" t="s">
        <v>14</v>
      </c>
      <c r="D396" s="61"/>
      <c r="E396" s="61" t="s">
        <v>14</v>
      </c>
      <c r="F396" s="61"/>
      <c r="G396" s="61"/>
      <c r="H396" s="61"/>
      <c r="I396" s="61"/>
      <c r="J396" s="62" t="s">
        <v>849</v>
      </c>
    </row>
    <row r="397" spans="1:10" s="17" customFormat="1" hidden="1">
      <c r="A397" s="62" t="s">
        <v>850</v>
      </c>
      <c r="B397" s="63" t="s">
        <v>11</v>
      </c>
      <c r="C397" s="63" t="s">
        <v>11</v>
      </c>
      <c r="D397" s="61"/>
      <c r="E397" s="61"/>
      <c r="F397" s="61"/>
      <c r="G397" s="61"/>
      <c r="H397" s="61"/>
      <c r="I397" s="61"/>
      <c r="J397" s="62" t="s">
        <v>851</v>
      </c>
    </row>
    <row r="398" spans="1:10" s="17" customFormat="1" hidden="1">
      <c r="A398" s="62" t="s">
        <v>852</v>
      </c>
      <c r="B398" s="63" t="s">
        <v>11</v>
      </c>
      <c r="C398" s="61" t="s">
        <v>14</v>
      </c>
      <c r="D398" s="61" t="s">
        <v>853</v>
      </c>
      <c r="E398" s="61"/>
      <c r="F398" s="61" t="s">
        <v>11</v>
      </c>
      <c r="G398" s="61" t="s">
        <v>14</v>
      </c>
      <c r="H398" s="61"/>
      <c r="I398" s="61"/>
      <c r="J398" s="62" t="s">
        <v>854</v>
      </c>
    </row>
    <row r="399" spans="1:10" s="17" customFormat="1" hidden="1">
      <c r="A399" s="62" t="s">
        <v>855</v>
      </c>
      <c r="B399" s="63" t="s">
        <v>11</v>
      </c>
      <c r="C399" s="63" t="s">
        <v>11</v>
      </c>
      <c r="D399" s="61"/>
      <c r="E399" s="61"/>
      <c r="F399" s="61"/>
      <c r="G399" s="61"/>
      <c r="H399" s="61"/>
      <c r="I399" s="61"/>
      <c r="J399" s="62" t="s">
        <v>856</v>
      </c>
    </row>
    <row r="400" spans="1:10" s="17" customFormat="1">
      <c r="A400" s="62" t="s">
        <v>857</v>
      </c>
      <c r="B400" s="63" t="s">
        <v>14</v>
      </c>
      <c r="C400" s="63" t="s">
        <v>14</v>
      </c>
      <c r="D400" s="61" t="s">
        <v>568</v>
      </c>
      <c r="E400" s="61" t="s">
        <v>14</v>
      </c>
      <c r="F400" s="61"/>
      <c r="G400" s="61"/>
      <c r="H400" s="61"/>
      <c r="I400" s="61"/>
      <c r="J400" s="62" t="s">
        <v>858</v>
      </c>
    </row>
    <row r="401" spans="1:10" s="17" customFormat="1" hidden="1">
      <c r="A401" s="62" t="s">
        <v>859</v>
      </c>
      <c r="B401" s="63" t="s">
        <v>11</v>
      </c>
      <c r="C401" s="63" t="s">
        <v>11</v>
      </c>
      <c r="D401" s="61"/>
      <c r="E401" s="61"/>
      <c r="F401" s="61"/>
      <c r="G401" s="61"/>
      <c r="H401" s="61"/>
      <c r="I401" s="61"/>
      <c r="J401" s="62" t="s">
        <v>860</v>
      </c>
    </row>
    <row r="402" spans="1:10" s="17" customFormat="1" hidden="1">
      <c r="A402" s="62" t="s">
        <v>861</v>
      </c>
      <c r="B402" s="63" t="s">
        <v>11</v>
      </c>
      <c r="C402" s="63" t="s">
        <v>11</v>
      </c>
      <c r="D402" s="61"/>
      <c r="E402" s="61"/>
      <c r="F402" s="61"/>
      <c r="G402" s="61"/>
      <c r="H402" s="61"/>
      <c r="I402" s="61"/>
      <c r="J402" s="62" t="s">
        <v>862</v>
      </c>
    </row>
    <row r="403" spans="1:10" s="17" customFormat="1" hidden="1">
      <c r="A403" s="62" t="s">
        <v>863</v>
      </c>
      <c r="B403" s="63" t="s">
        <v>11</v>
      </c>
      <c r="C403" s="61" t="s">
        <v>14</v>
      </c>
      <c r="D403" s="61"/>
      <c r="E403" s="61"/>
      <c r="F403" s="61" t="s">
        <v>11</v>
      </c>
      <c r="G403" s="61" t="s">
        <v>14</v>
      </c>
      <c r="H403" s="61"/>
      <c r="I403" s="61"/>
      <c r="J403" s="62" t="s">
        <v>864</v>
      </c>
    </row>
    <row r="404" spans="1:10" s="17" customFormat="1" hidden="1">
      <c r="A404" s="62" t="s">
        <v>865</v>
      </c>
      <c r="B404" s="63" t="s">
        <v>11</v>
      </c>
      <c r="C404" s="61" t="s">
        <v>14</v>
      </c>
      <c r="D404" s="61" t="s">
        <v>866</v>
      </c>
      <c r="E404" s="61"/>
      <c r="F404" s="61"/>
      <c r="G404" s="61" t="s">
        <v>504</v>
      </c>
      <c r="H404" s="61"/>
      <c r="I404" s="61"/>
      <c r="J404" s="62" t="s">
        <v>867</v>
      </c>
    </row>
    <row r="405" spans="1:10" s="17" customFormat="1" hidden="1">
      <c r="A405" s="62" t="s">
        <v>868</v>
      </c>
      <c r="B405" s="63" t="s">
        <v>11</v>
      </c>
      <c r="C405" s="63" t="s">
        <v>11</v>
      </c>
      <c r="D405" s="61"/>
      <c r="E405" s="61"/>
      <c r="F405" s="61"/>
      <c r="G405" s="61"/>
      <c r="H405" s="61"/>
      <c r="I405" s="61"/>
      <c r="J405" s="62" t="s">
        <v>869</v>
      </c>
    </row>
    <row r="406" spans="1:10" s="17" customFormat="1" hidden="1">
      <c r="A406" s="62" t="s">
        <v>870</v>
      </c>
      <c r="B406" s="63" t="s">
        <v>11</v>
      </c>
      <c r="C406" s="63" t="s">
        <v>11</v>
      </c>
      <c r="D406" s="61"/>
      <c r="E406" s="61"/>
      <c r="F406" s="61"/>
      <c r="G406" s="61"/>
      <c r="H406" s="61"/>
      <c r="I406" s="61"/>
      <c r="J406" s="62" t="s">
        <v>871</v>
      </c>
    </row>
    <row r="407" spans="1:10" s="17" customFormat="1" hidden="1">
      <c r="A407" s="62" t="s">
        <v>872</v>
      </c>
      <c r="B407" s="63" t="s">
        <v>11</v>
      </c>
      <c r="C407" s="63" t="s">
        <v>11</v>
      </c>
      <c r="D407" s="61"/>
      <c r="E407" s="61"/>
      <c r="F407" s="61"/>
      <c r="G407" s="61"/>
      <c r="H407" s="61"/>
      <c r="I407" s="61"/>
      <c r="J407" s="62" t="s">
        <v>873</v>
      </c>
    </row>
    <row r="408" spans="1:10" s="17" customFormat="1" hidden="1">
      <c r="A408" s="62" t="s">
        <v>874</v>
      </c>
      <c r="B408" s="63" t="s">
        <v>11</v>
      </c>
      <c r="C408" s="63" t="s">
        <v>11</v>
      </c>
      <c r="D408" s="61"/>
      <c r="E408" s="61"/>
      <c r="F408" s="61"/>
      <c r="G408" s="61"/>
      <c r="H408" s="61"/>
      <c r="I408" s="61"/>
      <c r="J408" s="62" t="s">
        <v>875</v>
      </c>
    </row>
    <row r="409" spans="1:10" s="17" customFormat="1" hidden="1">
      <c r="A409" s="62" t="s">
        <v>876</v>
      </c>
      <c r="B409" s="63" t="s">
        <v>11</v>
      </c>
      <c r="C409" s="61" t="s">
        <v>11</v>
      </c>
      <c r="D409" s="61" t="s">
        <v>877</v>
      </c>
      <c r="E409" s="61"/>
      <c r="F409" s="61"/>
      <c r="G409" s="61"/>
      <c r="I409" s="61" t="s">
        <v>878</v>
      </c>
      <c r="J409" s="17" t="s">
        <v>879</v>
      </c>
    </row>
    <row r="410" spans="1:10" s="17" customFormat="1" hidden="1">
      <c r="A410" s="62" t="s">
        <v>880</v>
      </c>
      <c r="B410" s="63" t="s">
        <v>11</v>
      </c>
      <c r="C410" s="61" t="s">
        <v>11</v>
      </c>
      <c r="D410" s="61" t="s">
        <v>881</v>
      </c>
      <c r="E410" s="61"/>
      <c r="F410" s="61"/>
      <c r="G410" s="61"/>
      <c r="H410" s="61"/>
      <c r="I410" s="61"/>
      <c r="J410" s="62" t="s">
        <v>882</v>
      </c>
    </row>
    <row r="411" spans="1:10" s="17" customFormat="1" hidden="1">
      <c r="A411" s="62" t="s">
        <v>883</v>
      </c>
      <c r="B411" s="63" t="s">
        <v>11</v>
      </c>
      <c r="C411" s="61" t="s">
        <v>11</v>
      </c>
      <c r="D411" s="61" t="s">
        <v>881</v>
      </c>
      <c r="E411" s="61"/>
      <c r="F411" s="61"/>
      <c r="G411" s="61"/>
      <c r="H411" s="61"/>
      <c r="I411" s="61"/>
      <c r="J411" s="62" t="s">
        <v>884</v>
      </c>
    </row>
    <row r="412" spans="1:10" s="17" customFormat="1" hidden="1">
      <c r="A412" s="62" t="s">
        <v>885</v>
      </c>
      <c r="B412" s="63" t="s">
        <v>11</v>
      </c>
      <c r="C412" s="61" t="s">
        <v>11</v>
      </c>
      <c r="D412" s="61" t="s">
        <v>881</v>
      </c>
      <c r="E412" s="61"/>
      <c r="F412" s="61"/>
      <c r="G412" s="61"/>
      <c r="H412" s="61"/>
      <c r="I412" s="61"/>
      <c r="J412" s="62" t="s">
        <v>886</v>
      </c>
    </row>
    <row r="413" spans="1:10" s="17" customFormat="1" hidden="1">
      <c r="A413" s="62" t="s">
        <v>887</v>
      </c>
      <c r="B413" s="63" t="s">
        <v>11</v>
      </c>
      <c r="C413" s="61" t="s">
        <v>11</v>
      </c>
      <c r="D413" s="61" t="s">
        <v>881</v>
      </c>
      <c r="E413" s="61"/>
      <c r="F413" s="61"/>
      <c r="G413" s="61"/>
      <c r="H413" s="61"/>
      <c r="I413" s="61"/>
      <c r="J413" s="62" t="s">
        <v>888</v>
      </c>
    </row>
    <row r="414" spans="1:10" s="17" customFormat="1" hidden="1">
      <c r="A414" s="62" t="s">
        <v>889</v>
      </c>
      <c r="B414" s="63" t="s">
        <v>11</v>
      </c>
      <c r="C414" s="61" t="s">
        <v>11</v>
      </c>
      <c r="D414" s="61" t="s">
        <v>881</v>
      </c>
      <c r="E414" s="61"/>
      <c r="F414" s="61"/>
      <c r="G414" s="61"/>
      <c r="H414" s="61"/>
      <c r="I414" s="61"/>
      <c r="J414" s="62" t="s">
        <v>890</v>
      </c>
    </row>
    <row r="415" spans="1:10" s="17" customFormat="1" hidden="1">
      <c r="A415" s="62" t="s">
        <v>891</v>
      </c>
      <c r="B415" s="63" t="s">
        <v>11</v>
      </c>
      <c r="C415" s="61" t="s">
        <v>11</v>
      </c>
      <c r="D415" s="61" t="s">
        <v>881</v>
      </c>
      <c r="E415" s="61"/>
      <c r="F415" s="61"/>
      <c r="G415" s="61"/>
      <c r="H415" s="61"/>
      <c r="I415" s="61"/>
      <c r="J415" s="62" t="s">
        <v>892</v>
      </c>
    </row>
    <row r="416" spans="1:10" s="17" customFormat="1" hidden="1">
      <c r="A416" s="62" t="s">
        <v>893</v>
      </c>
      <c r="B416" s="63" t="s">
        <v>11</v>
      </c>
      <c r="C416" s="61" t="s">
        <v>85</v>
      </c>
      <c r="D416" s="61"/>
      <c r="E416" s="61"/>
      <c r="F416" s="61" t="s">
        <v>86</v>
      </c>
      <c r="G416" s="61" t="s">
        <v>86</v>
      </c>
      <c r="I416" s="61" t="s">
        <v>894</v>
      </c>
      <c r="J416" s="17" t="s">
        <v>895</v>
      </c>
    </row>
    <row r="417" spans="1:10" s="17" customFormat="1" hidden="1">
      <c r="A417" s="62" t="s">
        <v>896</v>
      </c>
      <c r="B417" s="63" t="s">
        <v>11</v>
      </c>
      <c r="C417" s="63" t="s">
        <v>11</v>
      </c>
      <c r="D417" s="61"/>
      <c r="E417" s="61"/>
      <c r="F417" s="61"/>
      <c r="G417" s="61"/>
      <c r="H417" s="61"/>
      <c r="I417" s="61"/>
      <c r="J417" s="62" t="s">
        <v>897</v>
      </c>
    </row>
    <row r="418" spans="1:10" s="17" customFormat="1" hidden="1">
      <c r="A418" s="62" t="s">
        <v>898</v>
      </c>
      <c r="B418" s="63" t="s">
        <v>11</v>
      </c>
      <c r="C418" s="63" t="s">
        <v>11</v>
      </c>
      <c r="D418" s="61"/>
      <c r="E418" s="61"/>
      <c r="F418" s="61"/>
      <c r="G418" s="61"/>
      <c r="H418" s="61"/>
      <c r="I418" s="61"/>
      <c r="J418" s="62" t="s">
        <v>899</v>
      </c>
    </row>
    <row r="419" spans="1:10" s="17" customFormat="1" hidden="1">
      <c r="A419" s="62" t="s">
        <v>900</v>
      </c>
      <c r="B419" s="63" t="s">
        <v>11</v>
      </c>
      <c r="C419" s="63" t="s">
        <v>11</v>
      </c>
      <c r="D419" s="61"/>
      <c r="E419" s="61"/>
      <c r="F419" s="61"/>
      <c r="G419" s="61"/>
      <c r="H419" s="61"/>
      <c r="I419" s="61"/>
      <c r="J419" s="62" t="s">
        <v>901</v>
      </c>
    </row>
    <row r="420" spans="1:10" s="17" customFormat="1" hidden="1">
      <c r="A420" s="62" t="s">
        <v>902</v>
      </c>
      <c r="B420" s="63" t="s">
        <v>11</v>
      </c>
      <c r="C420" s="63" t="s">
        <v>11</v>
      </c>
      <c r="D420" s="61"/>
      <c r="E420" s="61"/>
      <c r="F420" s="61"/>
      <c r="G420" s="61"/>
      <c r="H420" s="61"/>
      <c r="I420" s="61"/>
      <c r="J420" s="62" t="s">
        <v>903</v>
      </c>
    </row>
    <row r="421" spans="1:10" s="17" customFormat="1" hidden="1">
      <c r="A421" s="62" t="s">
        <v>904</v>
      </c>
      <c r="B421" s="63" t="s">
        <v>11</v>
      </c>
      <c r="C421" s="63" t="s">
        <v>11</v>
      </c>
      <c r="D421" s="61"/>
      <c r="E421" s="61"/>
      <c r="F421" s="61"/>
      <c r="G421" s="61"/>
      <c r="H421" s="61"/>
      <c r="I421" s="61"/>
      <c r="J421" s="62" t="s">
        <v>905</v>
      </c>
    </row>
    <row r="422" spans="1:10" s="17" customFormat="1" hidden="1">
      <c r="A422" s="62" t="s">
        <v>906</v>
      </c>
      <c r="B422" s="63" t="s">
        <v>11</v>
      </c>
      <c r="C422" s="61" t="s">
        <v>14</v>
      </c>
      <c r="D422" s="61" t="s">
        <v>907</v>
      </c>
      <c r="E422" s="61"/>
      <c r="F422" s="61" t="s">
        <v>14</v>
      </c>
      <c r="G422" s="61"/>
      <c r="I422" s="61" t="s">
        <v>908</v>
      </c>
      <c r="J422" s="17" t="s">
        <v>453</v>
      </c>
    </row>
    <row r="423" spans="1:10" s="17" customFormat="1" hidden="1">
      <c r="A423" s="62" t="s">
        <v>909</v>
      </c>
      <c r="B423" s="63" t="s">
        <v>11</v>
      </c>
      <c r="C423" s="63" t="s">
        <v>11</v>
      </c>
      <c r="D423" s="61"/>
      <c r="E423" s="61"/>
      <c r="F423" s="61"/>
      <c r="G423" s="61"/>
      <c r="H423" s="61"/>
      <c r="I423" s="61"/>
      <c r="J423" s="62" t="s">
        <v>910</v>
      </c>
    </row>
    <row r="424" spans="1:10" s="17" customFormat="1" hidden="1">
      <c r="A424" s="62" t="s">
        <v>911</v>
      </c>
      <c r="B424" s="63" t="s">
        <v>11</v>
      </c>
      <c r="C424" s="63" t="s">
        <v>11</v>
      </c>
      <c r="D424" s="61"/>
      <c r="E424" s="61"/>
      <c r="F424" s="61"/>
      <c r="G424" s="61"/>
      <c r="H424" s="61"/>
      <c r="I424" s="61"/>
      <c r="J424" s="62" t="s">
        <v>912</v>
      </c>
    </row>
    <row r="425" spans="1:10" s="17" customFormat="1" hidden="1">
      <c r="A425" s="62" t="s">
        <v>913</v>
      </c>
      <c r="B425" s="63" t="s">
        <v>11</v>
      </c>
      <c r="C425" s="63" t="s">
        <v>11</v>
      </c>
      <c r="D425" s="61"/>
      <c r="E425" s="61"/>
      <c r="F425" s="61"/>
      <c r="G425" s="61"/>
      <c r="H425" s="61"/>
      <c r="I425" s="61"/>
      <c r="J425" s="62" t="s">
        <v>914</v>
      </c>
    </row>
    <row r="426" spans="1:10" s="17" customFormat="1" hidden="1">
      <c r="A426" s="62" t="s">
        <v>915</v>
      </c>
      <c r="B426" s="63" t="s">
        <v>11</v>
      </c>
      <c r="C426" s="63" t="s">
        <v>11</v>
      </c>
      <c r="D426" s="61"/>
      <c r="E426" s="61"/>
      <c r="F426" s="61"/>
      <c r="G426" s="61"/>
      <c r="H426" s="61"/>
      <c r="I426" s="61"/>
      <c r="J426" s="62" t="s">
        <v>916</v>
      </c>
    </row>
    <row r="427" spans="1:10" s="17" customFormat="1" hidden="1">
      <c r="A427" s="62" t="s">
        <v>917</v>
      </c>
      <c r="B427" s="63" t="s">
        <v>11</v>
      </c>
      <c r="C427" s="63" t="s">
        <v>11</v>
      </c>
      <c r="D427" s="61"/>
      <c r="E427" s="61"/>
      <c r="F427" s="61"/>
      <c r="G427" s="61"/>
      <c r="H427" s="61"/>
      <c r="I427" s="61"/>
      <c r="J427" s="62" t="s">
        <v>918</v>
      </c>
    </row>
    <row r="428" spans="1:10" s="17" customFormat="1" hidden="1">
      <c r="A428" s="62" t="s">
        <v>919</v>
      </c>
      <c r="B428" s="63" t="s">
        <v>11</v>
      </c>
      <c r="C428" s="63" t="s">
        <v>11</v>
      </c>
      <c r="D428" s="61"/>
      <c r="E428" s="61"/>
      <c r="F428" s="61"/>
      <c r="G428" s="61"/>
      <c r="H428" s="61"/>
      <c r="I428" s="61"/>
      <c r="J428" s="62" t="s">
        <v>914</v>
      </c>
    </row>
    <row r="429" spans="1:10" s="17" customFormat="1" hidden="1">
      <c r="A429" s="62" t="s">
        <v>920</v>
      </c>
      <c r="B429" s="63" t="s">
        <v>11</v>
      </c>
      <c r="C429" s="63" t="s">
        <v>11</v>
      </c>
      <c r="D429" s="61"/>
      <c r="E429" s="61"/>
      <c r="F429" s="61"/>
      <c r="G429" s="61"/>
      <c r="H429" s="61"/>
      <c r="I429" s="61"/>
      <c r="J429" s="62" t="s">
        <v>921</v>
      </c>
    </row>
    <row r="430" spans="1:10" s="17" customFormat="1">
      <c r="A430" s="62" t="s">
        <v>922</v>
      </c>
      <c r="B430" s="63" t="s">
        <v>14</v>
      </c>
      <c r="C430" s="61" t="s">
        <v>14</v>
      </c>
      <c r="D430" s="61" t="s">
        <v>923</v>
      </c>
      <c r="E430" s="61" t="s">
        <v>14</v>
      </c>
      <c r="F430" s="61"/>
      <c r="G430" s="61"/>
      <c r="H430" s="61"/>
      <c r="I430" s="61"/>
      <c r="J430" s="62" t="s">
        <v>924</v>
      </c>
    </row>
    <row r="431" spans="1:10" s="17" customFormat="1">
      <c r="A431" s="62" t="s">
        <v>925</v>
      </c>
      <c r="B431" s="63" t="s">
        <v>14</v>
      </c>
      <c r="C431" s="61" t="s">
        <v>14</v>
      </c>
      <c r="D431" s="61" t="s">
        <v>923</v>
      </c>
      <c r="E431" s="61" t="s">
        <v>14</v>
      </c>
      <c r="F431" s="61"/>
      <c r="G431" s="61"/>
      <c r="H431" s="61"/>
      <c r="I431" s="61"/>
      <c r="J431" s="62" t="s">
        <v>926</v>
      </c>
    </row>
    <row r="432" spans="1:10" s="17" customFormat="1">
      <c r="A432" s="62" t="s">
        <v>927</v>
      </c>
      <c r="B432" s="63" t="s">
        <v>14</v>
      </c>
      <c r="C432" s="61" t="s">
        <v>14</v>
      </c>
      <c r="D432" s="61" t="s">
        <v>923</v>
      </c>
      <c r="E432" s="61" t="s">
        <v>14</v>
      </c>
      <c r="F432" s="61"/>
      <c r="G432" s="61"/>
      <c r="H432" s="61"/>
      <c r="I432" s="61"/>
      <c r="J432" s="62" t="s">
        <v>928</v>
      </c>
    </row>
    <row r="433" spans="1:10" s="17" customFormat="1">
      <c r="A433" s="62" t="s">
        <v>929</v>
      </c>
      <c r="B433" s="63" t="s">
        <v>14</v>
      </c>
      <c r="C433" s="61" t="s">
        <v>14</v>
      </c>
      <c r="D433" s="61" t="s">
        <v>923</v>
      </c>
      <c r="E433" s="61" t="s">
        <v>14</v>
      </c>
      <c r="F433" s="61"/>
      <c r="G433" s="61"/>
      <c r="H433" s="61"/>
      <c r="I433" s="61"/>
      <c r="J433" s="62" t="s">
        <v>930</v>
      </c>
    </row>
    <row r="434" spans="1:10" s="17" customFormat="1">
      <c r="A434" s="62" t="s">
        <v>931</v>
      </c>
      <c r="B434" s="63" t="s">
        <v>14</v>
      </c>
      <c r="C434" s="61" t="s">
        <v>14</v>
      </c>
      <c r="D434" s="61" t="s">
        <v>923</v>
      </c>
      <c r="E434" s="61" t="s">
        <v>14</v>
      </c>
      <c r="F434" s="61"/>
      <c r="G434" s="61"/>
      <c r="H434" s="61"/>
      <c r="I434" s="61"/>
      <c r="J434" s="62" t="s">
        <v>932</v>
      </c>
    </row>
    <row r="435" spans="1:10" s="17" customFormat="1">
      <c r="A435" s="62" t="s">
        <v>933</v>
      </c>
      <c r="B435" s="63" t="s">
        <v>14</v>
      </c>
      <c r="C435" s="61" t="s">
        <v>14</v>
      </c>
      <c r="D435" s="61" t="s">
        <v>923</v>
      </c>
      <c r="E435" s="61" t="s">
        <v>14</v>
      </c>
      <c r="F435" s="61"/>
      <c r="G435" s="61"/>
      <c r="H435" s="61"/>
      <c r="I435" s="61"/>
      <c r="J435" s="62" t="s">
        <v>934</v>
      </c>
    </row>
    <row r="436" spans="1:10" s="17" customFormat="1">
      <c r="A436" s="62" t="s">
        <v>935</v>
      </c>
      <c r="B436" s="63" t="s">
        <v>14</v>
      </c>
      <c r="C436" s="61" t="s">
        <v>14</v>
      </c>
      <c r="D436" s="61" t="s">
        <v>923</v>
      </c>
      <c r="E436" s="61" t="s">
        <v>14</v>
      </c>
      <c r="F436" s="61"/>
      <c r="G436" s="61"/>
      <c r="H436" s="61"/>
      <c r="I436" s="61"/>
      <c r="J436" s="62" t="s">
        <v>936</v>
      </c>
    </row>
    <row r="437" spans="1:10" s="17" customFormat="1">
      <c r="A437" s="62" t="s">
        <v>937</v>
      </c>
      <c r="B437" s="63" t="s">
        <v>11</v>
      </c>
      <c r="C437" s="63" t="s">
        <v>14</v>
      </c>
      <c r="D437" s="61" t="s">
        <v>938</v>
      </c>
      <c r="E437" s="61" t="s">
        <v>14</v>
      </c>
      <c r="F437" s="61"/>
      <c r="G437" s="61"/>
      <c r="H437" s="61"/>
      <c r="I437" s="61"/>
      <c r="J437" s="62" t="s">
        <v>939</v>
      </c>
    </row>
    <row r="438" spans="1:10" s="17" customFormat="1">
      <c r="A438" s="62" t="s">
        <v>940</v>
      </c>
      <c r="B438" s="63" t="s">
        <v>14</v>
      </c>
      <c r="C438" s="61" t="s">
        <v>14</v>
      </c>
      <c r="D438" s="61" t="s">
        <v>923</v>
      </c>
      <c r="E438" s="61" t="s">
        <v>14</v>
      </c>
      <c r="F438" s="61"/>
      <c r="G438" s="61"/>
      <c r="H438" s="61"/>
      <c r="I438" s="61"/>
      <c r="J438" s="62" t="s">
        <v>941</v>
      </c>
    </row>
    <row r="439" spans="1:10" s="17" customFormat="1" hidden="1">
      <c r="A439" s="62" t="s">
        <v>942</v>
      </c>
      <c r="B439" s="63" t="s">
        <v>11</v>
      </c>
      <c r="C439" s="63" t="s">
        <v>11</v>
      </c>
      <c r="D439" s="61"/>
      <c r="E439" s="61"/>
      <c r="F439" s="61"/>
      <c r="G439" s="61"/>
      <c r="H439" s="61"/>
      <c r="I439" s="61"/>
      <c r="J439" s="62" t="s">
        <v>943</v>
      </c>
    </row>
    <row r="440" spans="1:10" s="17" customFormat="1" hidden="1">
      <c r="A440" s="62" t="s">
        <v>944</v>
      </c>
      <c r="B440" s="63" t="s">
        <v>11</v>
      </c>
      <c r="C440" s="63" t="s">
        <v>11</v>
      </c>
      <c r="D440" s="61"/>
      <c r="E440" s="61"/>
      <c r="F440" s="61"/>
      <c r="G440" s="61"/>
      <c r="H440" s="61"/>
      <c r="I440" s="61"/>
      <c r="J440" s="62" t="s">
        <v>945</v>
      </c>
    </row>
    <row r="441" spans="1:10" s="17" customFormat="1" hidden="1">
      <c r="A441" s="62" t="s">
        <v>946</v>
      </c>
      <c r="B441" s="63" t="s">
        <v>11</v>
      </c>
      <c r="C441" s="63" t="s">
        <v>11</v>
      </c>
      <c r="D441" s="61"/>
      <c r="E441" s="61"/>
      <c r="F441" s="61"/>
      <c r="G441" s="61"/>
      <c r="H441" s="61"/>
      <c r="I441" s="61"/>
      <c r="J441" s="62" t="s">
        <v>947</v>
      </c>
    </row>
    <row r="442" spans="1:10" s="17" customFormat="1" hidden="1">
      <c r="A442" s="62" t="s">
        <v>948</v>
      </c>
      <c r="B442" s="63" t="s">
        <v>11</v>
      </c>
      <c r="C442" s="63" t="s">
        <v>11</v>
      </c>
      <c r="D442" s="61"/>
      <c r="E442" s="61"/>
      <c r="F442" s="61"/>
      <c r="G442" s="61"/>
      <c r="H442" s="61"/>
      <c r="I442" s="61"/>
      <c r="J442" s="62" t="s">
        <v>949</v>
      </c>
    </row>
    <row r="443" spans="1:10" s="17" customFormat="1" hidden="1">
      <c r="A443" s="62" t="s">
        <v>950</v>
      </c>
      <c r="B443" s="63" t="s">
        <v>11</v>
      </c>
      <c r="C443" s="63" t="s">
        <v>11</v>
      </c>
      <c r="D443" s="61"/>
      <c r="E443" s="61"/>
      <c r="F443" s="61"/>
      <c r="G443" s="61"/>
      <c r="H443" s="61"/>
      <c r="I443" s="61"/>
      <c r="J443" s="62"/>
    </row>
    <row r="444" spans="1:10" s="17" customFormat="1" hidden="1">
      <c r="A444" s="62" t="s">
        <v>951</v>
      </c>
      <c r="B444" s="63" t="s">
        <v>11</v>
      </c>
      <c r="C444" s="61" t="s">
        <v>11</v>
      </c>
      <c r="D444" s="61"/>
      <c r="E444" s="61"/>
      <c r="F444" s="61"/>
      <c r="G444" s="61"/>
      <c r="H444" s="61"/>
      <c r="I444" s="61"/>
      <c r="J444" s="62" t="s">
        <v>952</v>
      </c>
    </row>
    <row r="445" spans="1:10" s="17" customFormat="1" hidden="1">
      <c r="A445" s="62" t="s">
        <v>953</v>
      </c>
      <c r="B445" s="63" t="s">
        <v>11</v>
      </c>
      <c r="C445" s="63" t="s">
        <v>11</v>
      </c>
      <c r="D445" s="61"/>
      <c r="E445" s="61"/>
      <c r="F445" s="61"/>
      <c r="G445" s="61"/>
      <c r="H445" s="61"/>
      <c r="I445" s="61"/>
      <c r="J445" s="62" t="s">
        <v>954</v>
      </c>
    </row>
    <row r="446" spans="1:10" s="17" customFormat="1" hidden="1">
      <c r="A446" s="62" t="s">
        <v>955</v>
      </c>
      <c r="B446" s="63" t="s">
        <v>11</v>
      </c>
      <c r="C446" s="63" t="s">
        <v>11</v>
      </c>
      <c r="D446" s="61"/>
      <c r="E446" s="61"/>
      <c r="F446" s="61"/>
      <c r="G446" s="61"/>
      <c r="H446" s="61"/>
      <c r="I446" s="61"/>
      <c r="J446" s="62" t="s">
        <v>956</v>
      </c>
    </row>
    <row r="447" spans="1:10" s="17" customFormat="1" hidden="1">
      <c r="A447" s="62" t="s">
        <v>957</v>
      </c>
      <c r="B447" s="63" t="s">
        <v>11</v>
      </c>
      <c r="C447" s="63" t="s">
        <v>11</v>
      </c>
      <c r="D447" s="61" t="s">
        <v>958</v>
      </c>
      <c r="E447" s="61"/>
      <c r="F447" s="61"/>
      <c r="G447" s="61"/>
      <c r="H447" s="61"/>
      <c r="I447" s="61"/>
      <c r="J447" s="62" t="s">
        <v>959</v>
      </c>
    </row>
    <row r="448" spans="1:10" s="17" customFormat="1" hidden="1">
      <c r="A448" s="62" t="s">
        <v>960</v>
      </c>
      <c r="B448" s="63" t="s">
        <v>11</v>
      </c>
      <c r="C448" s="63" t="s">
        <v>11</v>
      </c>
      <c r="D448" s="61"/>
      <c r="E448" s="61"/>
      <c r="F448" s="61"/>
      <c r="G448" s="61"/>
      <c r="H448" s="61"/>
      <c r="I448" s="61"/>
      <c r="J448" s="62" t="s">
        <v>961</v>
      </c>
    </row>
    <row r="449" spans="1:10" s="17" customFormat="1" hidden="1">
      <c r="A449" s="62" t="s">
        <v>962</v>
      </c>
      <c r="B449" s="63" t="s">
        <v>11</v>
      </c>
      <c r="C449" s="63" t="s">
        <v>11</v>
      </c>
      <c r="D449" s="61"/>
      <c r="E449" s="61"/>
      <c r="F449" s="61"/>
      <c r="G449" s="61"/>
      <c r="H449" s="61"/>
      <c r="I449" s="61"/>
      <c r="J449" s="62" t="s">
        <v>963</v>
      </c>
    </row>
    <row r="450" spans="1:10" s="17" customFormat="1" hidden="1">
      <c r="A450" s="62" t="s">
        <v>964</v>
      </c>
      <c r="B450" s="63" t="s">
        <v>11</v>
      </c>
      <c r="C450" s="63" t="s">
        <v>11</v>
      </c>
      <c r="D450" s="61"/>
      <c r="E450" s="61"/>
      <c r="F450" s="61"/>
      <c r="G450" s="61"/>
      <c r="H450" s="61"/>
      <c r="I450" s="61"/>
      <c r="J450" s="62" t="s">
        <v>965</v>
      </c>
    </row>
    <row r="451" spans="1:10" s="17" customFormat="1" hidden="1">
      <c r="A451" s="62" t="s">
        <v>966</v>
      </c>
      <c r="B451" s="63" t="s">
        <v>11</v>
      </c>
      <c r="C451" s="63" t="s">
        <v>11</v>
      </c>
      <c r="D451" s="61"/>
      <c r="E451" s="61"/>
      <c r="F451" s="61"/>
      <c r="G451" s="61"/>
      <c r="H451" s="61"/>
      <c r="I451" s="61"/>
      <c r="J451" s="62" t="s">
        <v>967</v>
      </c>
    </row>
    <row r="452" spans="1:10" s="17" customFormat="1" hidden="1">
      <c r="A452" s="62" t="s">
        <v>968</v>
      </c>
      <c r="B452" s="63" t="s">
        <v>11</v>
      </c>
      <c r="C452" s="63" t="s">
        <v>11</v>
      </c>
      <c r="D452" s="61"/>
      <c r="E452" s="61"/>
      <c r="F452" s="61"/>
      <c r="G452" s="61"/>
      <c r="H452" s="61"/>
      <c r="I452" s="61"/>
      <c r="J452" s="62" t="s">
        <v>969</v>
      </c>
    </row>
    <row r="453" spans="1:10" s="17" customFormat="1">
      <c r="A453" s="62" t="s">
        <v>970</v>
      </c>
      <c r="B453" s="63" t="s">
        <v>11</v>
      </c>
      <c r="C453" s="63" t="s">
        <v>14</v>
      </c>
      <c r="D453" s="61" t="s">
        <v>958</v>
      </c>
      <c r="E453" s="61" t="s">
        <v>14</v>
      </c>
      <c r="F453" s="61"/>
      <c r="G453" s="61"/>
      <c r="H453" s="61"/>
      <c r="I453" s="61"/>
      <c r="J453" s="62" t="s">
        <v>971</v>
      </c>
    </row>
    <row r="454" spans="1:10" s="17" customFormat="1" hidden="1">
      <c r="A454" s="62" t="s">
        <v>972</v>
      </c>
      <c r="B454" s="63" t="s">
        <v>11</v>
      </c>
      <c r="C454" s="61" t="s">
        <v>85</v>
      </c>
      <c r="D454" s="61"/>
      <c r="E454" s="61"/>
      <c r="F454" s="61" t="s">
        <v>86</v>
      </c>
      <c r="G454" s="61" t="s">
        <v>86</v>
      </c>
      <c r="I454" s="61" t="s">
        <v>745</v>
      </c>
      <c r="J454" s="17" t="s">
        <v>973</v>
      </c>
    </row>
    <row r="455" spans="1:10" s="17" customFormat="1" hidden="1">
      <c r="A455" s="62" t="s">
        <v>974</v>
      </c>
      <c r="B455" s="63" t="s">
        <v>11</v>
      </c>
      <c r="C455" s="63" t="s">
        <v>11</v>
      </c>
      <c r="D455" s="61"/>
      <c r="E455" s="61"/>
      <c r="F455" s="61"/>
      <c r="G455" s="61"/>
      <c r="H455" s="61"/>
      <c r="I455" s="61"/>
      <c r="J455" s="62" t="s">
        <v>975</v>
      </c>
    </row>
    <row r="456" spans="1:10" s="17" customFormat="1" hidden="1">
      <c r="A456" s="62" t="s">
        <v>976</v>
      </c>
      <c r="B456" s="63" t="s">
        <v>11</v>
      </c>
      <c r="C456" s="63" t="s">
        <v>11</v>
      </c>
      <c r="D456" s="61"/>
      <c r="E456" s="61"/>
      <c r="F456" s="61"/>
      <c r="G456" s="61"/>
      <c r="H456" s="61"/>
      <c r="I456" s="61"/>
      <c r="J456" s="62" t="s">
        <v>977</v>
      </c>
    </row>
    <row r="457" spans="1:10" s="17" customFormat="1" hidden="1">
      <c r="A457" s="62" t="s">
        <v>978</v>
      </c>
      <c r="B457" s="63" t="s">
        <v>11</v>
      </c>
      <c r="C457" s="63" t="s">
        <v>11</v>
      </c>
      <c r="D457" s="61"/>
      <c r="E457" s="61"/>
      <c r="F457" s="61"/>
      <c r="G457" s="61"/>
      <c r="H457" s="61"/>
      <c r="I457" s="61"/>
      <c r="J457" s="62" t="s">
        <v>979</v>
      </c>
    </row>
    <row r="458" spans="1:10" s="17" customFormat="1" hidden="1">
      <c r="A458" s="62" t="s">
        <v>980</v>
      </c>
      <c r="B458" s="63" t="s">
        <v>11</v>
      </c>
      <c r="C458" s="61" t="s">
        <v>85</v>
      </c>
      <c r="D458" s="61"/>
      <c r="E458" s="61"/>
      <c r="F458" s="61" t="s">
        <v>86</v>
      </c>
      <c r="G458" s="61" t="s">
        <v>86</v>
      </c>
      <c r="I458" s="61" t="s">
        <v>745</v>
      </c>
      <c r="J458" s="17" t="s">
        <v>981</v>
      </c>
    </row>
    <row r="459" spans="1:10" s="17" customFormat="1" hidden="1">
      <c r="A459" s="62" t="s">
        <v>982</v>
      </c>
      <c r="B459" s="63" t="s">
        <v>11</v>
      </c>
      <c r="C459" s="63" t="s">
        <v>11</v>
      </c>
      <c r="D459" s="61"/>
      <c r="E459" s="61"/>
      <c r="F459" s="61"/>
      <c r="G459" s="61"/>
      <c r="H459" s="61"/>
      <c r="I459" s="61"/>
      <c r="J459" s="62" t="s">
        <v>983</v>
      </c>
    </row>
    <row r="460" spans="1:10" s="17" customFormat="1" hidden="1">
      <c r="A460" s="62" t="s">
        <v>984</v>
      </c>
      <c r="B460" s="63" t="s">
        <v>11</v>
      </c>
      <c r="C460" s="61" t="s">
        <v>85</v>
      </c>
      <c r="D460" s="61"/>
      <c r="E460" s="61"/>
      <c r="F460" s="61" t="s">
        <v>86</v>
      </c>
      <c r="G460" s="61" t="s">
        <v>86</v>
      </c>
      <c r="I460" s="61" t="s">
        <v>745</v>
      </c>
      <c r="J460" s="17" t="s">
        <v>985</v>
      </c>
    </row>
    <row r="461" spans="1:10" s="17" customFormat="1" hidden="1">
      <c r="A461" s="62" t="s">
        <v>986</v>
      </c>
      <c r="B461" s="63" t="s">
        <v>11</v>
      </c>
      <c r="C461" s="63" t="s">
        <v>11</v>
      </c>
      <c r="D461" s="61"/>
      <c r="E461" s="61"/>
      <c r="F461" s="61"/>
      <c r="G461" s="61"/>
      <c r="H461" s="61"/>
      <c r="I461" s="61"/>
      <c r="J461" s="62" t="s">
        <v>987</v>
      </c>
    </row>
    <row r="462" spans="1:10" s="17" customFormat="1" hidden="1">
      <c r="A462" s="62" t="s">
        <v>988</v>
      </c>
      <c r="B462" s="63" t="s">
        <v>11</v>
      </c>
      <c r="C462" s="63" t="s">
        <v>11</v>
      </c>
      <c r="D462" s="61"/>
      <c r="E462" s="61"/>
      <c r="F462" s="61"/>
      <c r="G462" s="61"/>
      <c r="H462" s="61"/>
      <c r="I462" s="61"/>
      <c r="J462" s="62" t="s">
        <v>989</v>
      </c>
    </row>
    <row r="463" spans="1:10" s="17" customFormat="1">
      <c r="A463" s="62" t="s">
        <v>990</v>
      </c>
      <c r="B463" s="63" t="s">
        <v>14</v>
      </c>
      <c r="C463" s="61" t="s">
        <v>14</v>
      </c>
      <c r="D463" s="61"/>
      <c r="E463" s="61" t="s">
        <v>14</v>
      </c>
      <c r="F463" s="61"/>
      <c r="G463" s="61"/>
      <c r="H463" s="61"/>
      <c r="I463" s="61"/>
      <c r="J463" s="62" t="s">
        <v>991</v>
      </c>
    </row>
    <row r="464" spans="1:10" s="17" customFormat="1" hidden="1">
      <c r="A464" s="62" t="s">
        <v>992</v>
      </c>
      <c r="B464" s="63" t="s">
        <v>11</v>
      </c>
      <c r="C464" s="61" t="s">
        <v>85</v>
      </c>
      <c r="D464" s="61"/>
      <c r="E464" s="61"/>
      <c r="F464" s="61" t="s">
        <v>86</v>
      </c>
      <c r="G464" s="61" t="s">
        <v>86</v>
      </c>
      <c r="I464" s="61" t="s">
        <v>745</v>
      </c>
      <c r="J464" s="17" t="s">
        <v>993</v>
      </c>
    </row>
    <row r="465" spans="1:10" s="17" customFormat="1">
      <c r="A465" s="62" t="s">
        <v>994</v>
      </c>
      <c r="B465" s="63" t="s">
        <v>14</v>
      </c>
      <c r="C465" s="63" t="s">
        <v>14</v>
      </c>
      <c r="D465" s="61" t="s">
        <v>995</v>
      </c>
      <c r="E465" s="61" t="s">
        <v>14</v>
      </c>
      <c r="F465" s="61"/>
      <c r="G465" s="61"/>
      <c r="H465" s="61"/>
      <c r="I465" s="61"/>
      <c r="J465" s="62" t="s">
        <v>996</v>
      </c>
    </row>
    <row r="466" spans="1:10" s="17" customFormat="1">
      <c r="A466" s="62" t="s">
        <v>997</v>
      </c>
      <c r="B466" s="63" t="s">
        <v>14</v>
      </c>
      <c r="C466" s="61" t="s">
        <v>14</v>
      </c>
      <c r="D466" s="61"/>
      <c r="E466" s="61" t="s">
        <v>14</v>
      </c>
      <c r="F466" s="61"/>
      <c r="G466" s="61"/>
      <c r="H466" s="61"/>
      <c r="I466" s="61"/>
      <c r="J466" s="62" t="s">
        <v>998</v>
      </c>
    </row>
    <row r="467" spans="1:10" s="17" customFormat="1">
      <c r="A467" s="62" t="s">
        <v>999</v>
      </c>
      <c r="B467" s="63" t="s">
        <v>14</v>
      </c>
      <c r="C467" s="63" t="s">
        <v>14</v>
      </c>
      <c r="D467" s="61" t="s">
        <v>1000</v>
      </c>
      <c r="E467" s="61" t="s">
        <v>14</v>
      </c>
      <c r="F467" s="61"/>
      <c r="G467" s="61"/>
      <c r="H467" s="61"/>
      <c r="I467" s="61"/>
      <c r="J467" s="62" t="s">
        <v>1001</v>
      </c>
    </row>
    <row r="468" spans="1:10" s="17" customFormat="1">
      <c r="A468" s="62" t="s">
        <v>1002</v>
      </c>
      <c r="B468" s="63" t="s">
        <v>14</v>
      </c>
      <c r="C468" s="63" t="s">
        <v>14</v>
      </c>
      <c r="D468" s="61" t="s">
        <v>1003</v>
      </c>
      <c r="E468" s="61" t="s">
        <v>14</v>
      </c>
      <c r="F468" s="61"/>
      <c r="G468" s="61"/>
      <c r="H468" s="61"/>
      <c r="I468" s="61"/>
      <c r="J468" s="62" t="s">
        <v>1004</v>
      </c>
    </row>
    <row r="469" spans="1:10" s="17" customFormat="1">
      <c r="A469" s="62" t="s">
        <v>1005</v>
      </c>
      <c r="B469" s="63" t="s">
        <v>14</v>
      </c>
      <c r="C469" s="63" t="s">
        <v>14</v>
      </c>
      <c r="D469" s="61" t="s">
        <v>1003</v>
      </c>
      <c r="E469" s="61" t="s">
        <v>14</v>
      </c>
      <c r="F469" s="61"/>
      <c r="G469" s="61"/>
      <c r="H469" s="61"/>
      <c r="I469" s="61"/>
      <c r="J469" s="62" t="s">
        <v>1006</v>
      </c>
    </row>
    <row r="470" spans="1:10" s="17" customFormat="1">
      <c r="A470" s="62" t="s">
        <v>1007</v>
      </c>
      <c r="B470" s="63" t="s">
        <v>14</v>
      </c>
      <c r="C470" s="63" t="s">
        <v>14</v>
      </c>
      <c r="D470" s="61" t="s">
        <v>1003</v>
      </c>
      <c r="E470" s="61" t="s">
        <v>14</v>
      </c>
      <c r="F470" s="61"/>
      <c r="G470" s="61"/>
      <c r="H470" s="61"/>
      <c r="I470" s="61"/>
      <c r="J470" s="62" t="s">
        <v>1008</v>
      </c>
    </row>
    <row r="471" spans="1:10" s="17" customFormat="1">
      <c r="A471" s="62" t="s">
        <v>1009</v>
      </c>
      <c r="B471" s="63" t="s">
        <v>14</v>
      </c>
      <c r="C471" s="63" t="s">
        <v>14</v>
      </c>
      <c r="D471" s="61" t="s">
        <v>1003</v>
      </c>
      <c r="E471" s="61" t="s">
        <v>14</v>
      </c>
      <c r="F471" s="61"/>
      <c r="G471" s="61"/>
      <c r="H471" s="61"/>
      <c r="I471" s="61"/>
      <c r="J471" s="62" t="s">
        <v>1010</v>
      </c>
    </row>
    <row r="472" spans="1:10" s="17" customFormat="1">
      <c r="A472" s="62" t="s">
        <v>1011</v>
      </c>
      <c r="B472" s="63" t="s">
        <v>14</v>
      </c>
      <c r="C472" s="63" t="s">
        <v>14</v>
      </c>
      <c r="D472" s="61" t="s">
        <v>1003</v>
      </c>
      <c r="E472" s="61" t="s">
        <v>14</v>
      </c>
      <c r="F472" s="61"/>
      <c r="G472" s="61"/>
      <c r="H472" s="61"/>
      <c r="I472" s="61"/>
      <c r="J472" s="62" t="s">
        <v>1012</v>
      </c>
    </row>
    <row r="473" spans="1:10" s="17" customFormat="1">
      <c r="A473" s="62" t="s">
        <v>1013</v>
      </c>
      <c r="B473" s="63" t="s">
        <v>14</v>
      </c>
      <c r="C473" s="63" t="s">
        <v>14</v>
      </c>
      <c r="D473" s="61" t="s">
        <v>1003</v>
      </c>
      <c r="E473" s="61" t="s">
        <v>14</v>
      </c>
      <c r="F473" s="61"/>
      <c r="G473" s="61"/>
      <c r="H473" s="61"/>
      <c r="I473" s="61"/>
      <c r="J473" s="62" t="s">
        <v>1014</v>
      </c>
    </row>
    <row r="474" spans="1:10" s="17" customFormat="1">
      <c r="A474" s="62" t="s">
        <v>1015</v>
      </c>
      <c r="B474" s="63" t="s">
        <v>14</v>
      </c>
      <c r="C474" s="61" t="s">
        <v>14</v>
      </c>
      <c r="D474" s="61"/>
      <c r="E474" s="61" t="s">
        <v>14</v>
      </c>
      <c r="F474" s="61"/>
      <c r="G474" s="61"/>
      <c r="H474" s="61"/>
      <c r="I474" s="61"/>
      <c r="J474" s="62" t="s">
        <v>1016</v>
      </c>
    </row>
    <row r="475" spans="1:10" s="17" customFormat="1">
      <c r="A475" s="62" t="s">
        <v>1017</v>
      </c>
      <c r="B475" s="63" t="s">
        <v>14</v>
      </c>
      <c r="C475" s="63" t="s">
        <v>14</v>
      </c>
      <c r="D475" s="61" t="s">
        <v>1003</v>
      </c>
      <c r="E475" s="61" t="s">
        <v>14</v>
      </c>
      <c r="F475" s="61"/>
      <c r="G475" s="61"/>
      <c r="H475" s="61"/>
      <c r="I475" s="61"/>
      <c r="J475" s="62" t="s">
        <v>1018</v>
      </c>
    </row>
    <row r="476" spans="1:10" s="17" customFormat="1">
      <c r="A476" s="62" t="s">
        <v>1019</v>
      </c>
      <c r="B476" s="63" t="s">
        <v>14</v>
      </c>
      <c r="C476" s="63" t="s">
        <v>14</v>
      </c>
      <c r="D476" s="61" t="s">
        <v>1003</v>
      </c>
      <c r="E476" s="61" t="s">
        <v>14</v>
      </c>
      <c r="F476" s="61"/>
      <c r="G476" s="61"/>
      <c r="H476" s="61"/>
      <c r="I476" s="61"/>
      <c r="J476" s="62" t="s">
        <v>1020</v>
      </c>
    </row>
    <row r="477" spans="1:10" s="17" customFormat="1">
      <c r="A477" s="62" t="s">
        <v>1021</v>
      </c>
      <c r="B477" s="63" t="s">
        <v>14</v>
      </c>
      <c r="C477" s="63" t="s">
        <v>14</v>
      </c>
      <c r="D477" s="61" t="s">
        <v>1003</v>
      </c>
      <c r="E477" s="61" t="s">
        <v>14</v>
      </c>
      <c r="F477" s="61"/>
      <c r="G477" s="61"/>
      <c r="H477" s="61"/>
      <c r="I477" s="61"/>
      <c r="J477" s="62" t="s">
        <v>1022</v>
      </c>
    </row>
    <row r="478" spans="1:10" s="17" customFormat="1">
      <c r="A478" s="62" t="s">
        <v>1023</v>
      </c>
      <c r="B478" s="63" t="s">
        <v>14</v>
      </c>
      <c r="C478" s="63" t="s">
        <v>14</v>
      </c>
      <c r="D478" s="61" t="s">
        <v>1003</v>
      </c>
      <c r="E478" s="61" t="s">
        <v>14</v>
      </c>
      <c r="F478" s="61"/>
      <c r="G478" s="61"/>
      <c r="H478" s="61"/>
      <c r="I478" s="61"/>
      <c r="J478" s="62" t="s">
        <v>1024</v>
      </c>
    </row>
    <row r="479" spans="1:10" s="17" customFormat="1">
      <c r="A479" s="62" t="s">
        <v>1025</v>
      </c>
      <c r="B479" s="63" t="s">
        <v>14</v>
      </c>
      <c r="C479" s="61" t="s">
        <v>14</v>
      </c>
      <c r="D479" s="61"/>
      <c r="E479" s="61" t="s">
        <v>14</v>
      </c>
      <c r="F479" s="61"/>
      <c r="G479" s="61"/>
      <c r="H479" s="61"/>
      <c r="I479" s="61"/>
      <c r="J479" s="62" t="s">
        <v>1026</v>
      </c>
    </row>
    <row r="480" spans="1:10" s="17" customFormat="1">
      <c r="A480" s="62" t="s">
        <v>1027</v>
      </c>
      <c r="B480" s="63" t="s">
        <v>14</v>
      </c>
      <c r="C480" s="63" t="s">
        <v>14</v>
      </c>
      <c r="D480" s="61" t="s">
        <v>1028</v>
      </c>
      <c r="E480" s="61" t="s">
        <v>14</v>
      </c>
      <c r="F480" s="61"/>
      <c r="G480" s="61"/>
      <c r="H480" s="61"/>
      <c r="I480" s="61"/>
      <c r="J480" s="62" t="s">
        <v>1029</v>
      </c>
    </row>
    <row r="481" spans="1:10" s="17" customFormat="1">
      <c r="A481" s="62" t="s">
        <v>1030</v>
      </c>
      <c r="B481" s="63" t="s">
        <v>14</v>
      </c>
      <c r="C481" s="63" t="s">
        <v>14</v>
      </c>
      <c r="D481" s="61" t="s">
        <v>1028</v>
      </c>
      <c r="E481" s="61" t="s">
        <v>14</v>
      </c>
      <c r="F481" s="61"/>
      <c r="G481" s="61"/>
      <c r="H481" s="61"/>
      <c r="I481" s="61"/>
      <c r="J481" s="62" t="s">
        <v>1031</v>
      </c>
    </row>
    <row r="482" spans="1:10" s="17" customFormat="1">
      <c r="A482" s="62" t="s">
        <v>1032</v>
      </c>
      <c r="B482" s="63" t="s">
        <v>14</v>
      </c>
      <c r="C482" s="63" t="s">
        <v>14</v>
      </c>
      <c r="D482" s="61" t="s">
        <v>1000</v>
      </c>
      <c r="E482" s="61" t="s">
        <v>14</v>
      </c>
      <c r="F482" s="61"/>
      <c r="G482" s="61"/>
      <c r="H482" s="61"/>
      <c r="I482" s="61"/>
      <c r="J482" s="62" t="s">
        <v>1033</v>
      </c>
    </row>
    <row r="483" spans="1:10" s="17" customFormat="1">
      <c r="A483" s="62" t="s">
        <v>1034</v>
      </c>
      <c r="B483" s="63" t="s">
        <v>14</v>
      </c>
      <c r="C483" s="63" t="s">
        <v>14</v>
      </c>
      <c r="D483" s="61" t="s">
        <v>1035</v>
      </c>
      <c r="E483" s="61" t="s">
        <v>14</v>
      </c>
      <c r="F483" s="61"/>
      <c r="G483" s="61"/>
      <c r="H483" s="61"/>
      <c r="I483" s="61"/>
      <c r="J483" s="62" t="s">
        <v>1036</v>
      </c>
    </row>
    <row r="484" spans="1:10" s="17" customFormat="1">
      <c r="A484" s="62" t="s">
        <v>1037</v>
      </c>
      <c r="B484" s="63" t="s">
        <v>14</v>
      </c>
      <c r="C484" s="63" t="s">
        <v>14</v>
      </c>
      <c r="D484" s="61" t="s">
        <v>995</v>
      </c>
      <c r="E484" s="61" t="s">
        <v>14</v>
      </c>
      <c r="F484" s="61"/>
      <c r="G484" s="61"/>
      <c r="H484" s="61"/>
      <c r="I484" s="61"/>
      <c r="J484" s="62" t="s">
        <v>1038</v>
      </c>
    </row>
    <row r="485" spans="1:10" s="17" customFormat="1">
      <c r="A485" s="62" t="s">
        <v>1039</v>
      </c>
      <c r="B485" s="63" t="s">
        <v>14</v>
      </c>
      <c r="C485" s="63" t="s">
        <v>14</v>
      </c>
      <c r="D485" s="61" t="s">
        <v>995</v>
      </c>
      <c r="E485" s="61" t="s">
        <v>14</v>
      </c>
      <c r="F485" s="61"/>
      <c r="G485" s="61"/>
      <c r="H485" s="61"/>
      <c r="I485" s="61"/>
      <c r="J485" s="62" t="s">
        <v>1040</v>
      </c>
    </row>
    <row r="486" spans="1:10" s="17" customFormat="1">
      <c r="A486" s="62" t="s">
        <v>1041</v>
      </c>
      <c r="B486" s="63" t="s">
        <v>14</v>
      </c>
      <c r="C486" s="63" t="s">
        <v>14</v>
      </c>
      <c r="D486" s="61" t="s">
        <v>1035</v>
      </c>
      <c r="E486" s="61" t="s">
        <v>14</v>
      </c>
      <c r="F486" s="61"/>
      <c r="G486" s="61"/>
      <c r="H486" s="61"/>
      <c r="I486" s="61"/>
      <c r="J486" s="62" t="s">
        <v>1042</v>
      </c>
    </row>
    <row r="487" spans="1:10" s="17" customFormat="1">
      <c r="A487" s="62" t="s">
        <v>1043</v>
      </c>
      <c r="B487" s="63" t="s">
        <v>14</v>
      </c>
      <c r="C487" s="63" t="s">
        <v>14</v>
      </c>
      <c r="D487" s="61" t="s">
        <v>1035</v>
      </c>
      <c r="E487" s="61" t="s">
        <v>14</v>
      </c>
      <c r="F487" s="61"/>
      <c r="G487" s="61"/>
      <c r="H487" s="61"/>
      <c r="I487" s="61"/>
      <c r="J487" s="62" t="s">
        <v>1044</v>
      </c>
    </row>
    <row r="488" spans="1:10" s="17" customFormat="1">
      <c r="A488" s="62" t="s">
        <v>1045</v>
      </c>
      <c r="B488" s="63" t="s">
        <v>14</v>
      </c>
      <c r="C488" s="63" t="s">
        <v>14</v>
      </c>
      <c r="D488" s="61" t="s">
        <v>1035</v>
      </c>
      <c r="E488" s="61" t="s">
        <v>14</v>
      </c>
      <c r="F488" s="61"/>
      <c r="G488" s="61"/>
      <c r="H488" s="61"/>
      <c r="I488" s="61"/>
      <c r="J488" s="62" t="s">
        <v>1046</v>
      </c>
    </row>
    <row r="489" spans="1:10" s="17" customFormat="1" hidden="1">
      <c r="A489" s="62" t="s">
        <v>1047</v>
      </c>
      <c r="B489" s="63" t="s">
        <v>11</v>
      </c>
      <c r="C489" s="63" t="s">
        <v>11</v>
      </c>
      <c r="D489" s="61"/>
      <c r="E489" s="61"/>
      <c r="F489" s="61"/>
      <c r="G489" s="61"/>
      <c r="H489" s="61"/>
      <c r="I489" s="61"/>
      <c r="J489" s="62" t="s">
        <v>1048</v>
      </c>
    </row>
    <row r="490" spans="1:10" s="17" customFormat="1" hidden="1">
      <c r="A490" s="62" t="s">
        <v>1049</v>
      </c>
      <c r="B490" s="63" t="s">
        <v>11</v>
      </c>
      <c r="C490" s="63" t="s">
        <v>11</v>
      </c>
      <c r="D490" s="61"/>
      <c r="E490" s="61"/>
      <c r="F490" s="61"/>
      <c r="G490" s="61"/>
      <c r="H490" s="61"/>
      <c r="I490" s="61"/>
      <c r="J490" s="62" t="s">
        <v>1050</v>
      </c>
    </row>
    <row r="491" spans="1:10" s="17" customFormat="1" hidden="1">
      <c r="A491" s="62" t="s">
        <v>1051</v>
      </c>
      <c r="B491" s="63" t="s">
        <v>11</v>
      </c>
      <c r="C491" s="63" t="s">
        <v>11</v>
      </c>
      <c r="D491" s="61"/>
      <c r="E491" s="61"/>
      <c r="F491" s="61"/>
      <c r="G491" s="61"/>
      <c r="H491" s="61"/>
      <c r="I491" s="61"/>
      <c r="J491" s="62" t="s">
        <v>1052</v>
      </c>
    </row>
    <row r="492" spans="1:10" s="17" customFormat="1" hidden="1">
      <c r="A492" s="62" t="s">
        <v>1053</v>
      </c>
      <c r="B492" s="63" t="s">
        <v>11</v>
      </c>
      <c r="C492" s="63" t="s">
        <v>11</v>
      </c>
      <c r="D492" s="61"/>
      <c r="E492" s="61"/>
      <c r="F492" s="61"/>
      <c r="G492" s="61"/>
      <c r="H492" s="61"/>
      <c r="I492" s="61"/>
      <c r="J492" s="62" t="s">
        <v>1054</v>
      </c>
    </row>
    <row r="493" spans="1:10" s="17" customFormat="1" hidden="1">
      <c r="A493" s="62" t="s">
        <v>1055</v>
      </c>
      <c r="B493" s="63" t="s">
        <v>11</v>
      </c>
      <c r="C493" s="63" t="s">
        <v>11</v>
      </c>
      <c r="D493" s="61"/>
      <c r="E493" s="61"/>
      <c r="F493" s="61"/>
      <c r="G493" s="61"/>
      <c r="H493" s="61"/>
      <c r="I493" s="61"/>
      <c r="J493" s="62" t="s">
        <v>1056</v>
      </c>
    </row>
    <row r="494" spans="1:10" s="17" customFormat="1" hidden="1">
      <c r="A494" s="62" t="s">
        <v>1057</v>
      </c>
      <c r="B494" s="63" t="s">
        <v>11</v>
      </c>
      <c r="C494" s="63" t="s">
        <v>11</v>
      </c>
      <c r="D494" s="61"/>
      <c r="E494" s="61"/>
      <c r="F494" s="61"/>
      <c r="G494" s="61"/>
      <c r="H494" s="61"/>
      <c r="I494" s="61"/>
      <c r="J494" s="62" t="s">
        <v>1058</v>
      </c>
    </row>
    <row r="495" spans="1:10" s="17" customFormat="1" hidden="1">
      <c r="A495" s="62" t="s">
        <v>1059</v>
      </c>
      <c r="B495" s="63" t="s">
        <v>11</v>
      </c>
      <c r="C495" s="63" t="s">
        <v>11</v>
      </c>
      <c r="D495" s="61"/>
      <c r="E495" s="61"/>
      <c r="F495" s="61"/>
      <c r="G495" s="61"/>
      <c r="H495" s="61"/>
      <c r="I495" s="61"/>
      <c r="J495" s="62" t="s">
        <v>1060</v>
      </c>
    </row>
    <row r="496" spans="1:10" s="17" customFormat="1" hidden="1">
      <c r="A496" s="62" t="s">
        <v>1061</v>
      </c>
      <c r="B496" s="63" t="s">
        <v>11</v>
      </c>
      <c r="C496" s="63" t="s">
        <v>11</v>
      </c>
      <c r="D496" s="61"/>
      <c r="E496" s="61"/>
      <c r="F496" s="61"/>
      <c r="G496" s="61"/>
      <c r="H496" s="61"/>
      <c r="I496" s="61"/>
      <c r="J496" s="62" t="s">
        <v>1062</v>
      </c>
    </row>
    <row r="497" spans="1:10" s="17" customFormat="1" hidden="1">
      <c r="A497" s="62" t="s">
        <v>1063</v>
      </c>
      <c r="B497" s="63" t="s">
        <v>11</v>
      </c>
      <c r="C497" s="61" t="s">
        <v>85</v>
      </c>
      <c r="D497" s="61"/>
      <c r="E497" s="61"/>
      <c r="F497" s="61" t="s">
        <v>86</v>
      </c>
      <c r="G497" s="61" t="s">
        <v>86</v>
      </c>
      <c r="I497" s="61" t="s">
        <v>745</v>
      </c>
      <c r="J497" s="17" t="s">
        <v>1064</v>
      </c>
    </row>
    <row r="498" spans="1:10" s="17" customFormat="1" hidden="1">
      <c r="A498" s="62" t="s">
        <v>1065</v>
      </c>
      <c r="B498" s="63" t="s">
        <v>11</v>
      </c>
      <c r="C498" s="63" t="s">
        <v>11</v>
      </c>
      <c r="D498" s="61"/>
      <c r="E498" s="61"/>
      <c r="F498" s="61"/>
      <c r="G498" s="61"/>
      <c r="H498" s="61"/>
      <c r="I498" s="61"/>
      <c r="J498" s="62" t="s">
        <v>1066</v>
      </c>
    </row>
    <row r="499" spans="1:10" s="17" customFormat="1" hidden="1">
      <c r="A499" s="62" t="s">
        <v>1067</v>
      </c>
      <c r="B499" s="63" t="s">
        <v>11</v>
      </c>
      <c r="C499" s="61" t="s">
        <v>85</v>
      </c>
      <c r="D499" s="61"/>
      <c r="E499" s="61"/>
      <c r="F499" s="61" t="s">
        <v>86</v>
      </c>
      <c r="G499" s="61" t="s">
        <v>86</v>
      </c>
      <c r="I499" s="61" t="s">
        <v>745</v>
      </c>
      <c r="J499" s="17" t="s">
        <v>1068</v>
      </c>
    </row>
    <row r="500" spans="1:10" s="17" customFormat="1" hidden="1">
      <c r="A500" s="62" t="s">
        <v>1069</v>
      </c>
      <c r="B500" s="63" t="s">
        <v>11</v>
      </c>
      <c r="C500" s="63" t="s">
        <v>11</v>
      </c>
      <c r="D500" s="61"/>
      <c r="E500" s="61"/>
      <c r="F500" s="61"/>
      <c r="G500" s="61"/>
      <c r="H500" s="61"/>
      <c r="I500" s="61"/>
      <c r="J500" s="62" t="s">
        <v>1070</v>
      </c>
    </row>
    <row r="501" spans="1:10" s="17" customFormat="1">
      <c r="A501" s="62" t="s">
        <v>1071</v>
      </c>
      <c r="B501" s="63" t="s">
        <v>14</v>
      </c>
      <c r="C501" s="63" t="s">
        <v>14</v>
      </c>
      <c r="D501" s="61"/>
      <c r="E501" s="61" t="s">
        <v>14</v>
      </c>
      <c r="F501" s="61"/>
      <c r="G501" s="61"/>
      <c r="H501" s="61" t="s">
        <v>504</v>
      </c>
      <c r="I501" s="61"/>
      <c r="J501" s="62"/>
    </row>
    <row r="502" spans="1:10" s="17" customFormat="1" hidden="1">
      <c r="A502" s="62" t="s">
        <v>1072</v>
      </c>
      <c r="B502" s="63" t="s">
        <v>11</v>
      </c>
      <c r="C502" s="63" t="s">
        <v>11</v>
      </c>
      <c r="D502" s="61"/>
      <c r="E502" s="61"/>
      <c r="F502" s="61"/>
      <c r="G502" s="61"/>
      <c r="H502" s="61"/>
      <c r="I502" s="61"/>
      <c r="J502" s="62" t="s">
        <v>1073</v>
      </c>
    </row>
    <row r="503" spans="1:10" s="17" customFormat="1" hidden="1">
      <c r="A503" s="62" t="s">
        <v>1074</v>
      </c>
      <c r="B503" s="63" t="s">
        <v>11</v>
      </c>
      <c r="C503" s="63" t="s">
        <v>11</v>
      </c>
      <c r="D503" s="61"/>
      <c r="E503" s="61"/>
      <c r="F503" s="61"/>
      <c r="G503" s="61"/>
      <c r="H503" s="61"/>
      <c r="I503" s="61"/>
      <c r="J503" s="62" t="s">
        <v>1075</v>
      </c>
    </row>
    <row r="504" spans="1:10" s="17" customFormat="1" hidden="1">
      <c r="A504" s="62" t="s">
        <v>1076</v>
      </c>
      <c r="B504" s="63" t="s">
        <v>11</v>
      </c>
      <c r="C504" s="61" t="s">
        <v>14</v>
      </c>
      <c r="D504" s="61"/>
      <c r="E504" s="61" t="s">
        <v>11</v>
      </c>
      <c r="F504" s="61" t="s">
        <v>14</v>
      </c>
      <c r="G504" s="61"/>
      <c r="I504" s="61" t="s">
        <v>1077</v>
      </c>
      <c r="J504" s="62" t="s">
        <v>1078</v>
      </c>
    </row>
    <row r="505" spans="1:10" s="17" customFormat="1" hidden="1">
      <c r="A505" s="62" t="s">
        <v>1079</v>
      </c>
      <c r="B505" s="63" t="s">
        <v>11</v>
      </c>
      <c r="C505" s="61" t="s">
        <v>14</v>
      </c>
      <c r="D505" s="61"/>
      <c r="E505" s="61" t="s">
        <v>11</v>
      </c>
      <c r="F505" s="61" t="s">
        <v>14</v>
      </c>
      <c r="G505" s="61"/>
      <c r="I505" s="61" t="s">
        <v>1077</v>
      </c>
      <c r="J505" s="62" t="s">
        <v>1080</v>
      </c>
    </row>
    <row r="506" spans="1:10" s="17" customFormat="1" hidden="1">
      <c r="A506" s="62" t="s">
        <v>1081</v>
      </c>
      <c r="B506" s="63" t="s">
        <v>11</v>
      </c>
      <c r="C506" s="61" t="s">
        <v>14</v>
      </c>
      <c r="D506" s="61" t="s">
        <v>1082</v>
      </c>
      <c r="E506" s="61" t="s">
        <v>11</v>
      </c>
      <c r="F506" s="61" t="s">
        <v>14</v>
      </c>
      <c r="G506" s="61"/>
      <c r="I506" s="61" t="s">
        <v>1077</v>
      </c>
      <c r="J506" s="62" t="s">
        <v>1083</v>
      </c>
    </row>
    <row r="507" spans="1:10" s="17" customFormat="1" hidden="1">
      <c r="A507" s="62" t="s">
        <v>1084</v>
      </c>
      <c r="B507" s="63" t="s">
        <v>11</v>
      </c>
      <c r="C507" s="61" t="s">
        <v>14</v>
      </c>
      <c r="D507" s="61" t="s">
        <v>1082</v>
      </c>
      <c r="E507" s="61" t="s">
        <v>11</v>
      </c>
      <c r="F507" s="61" t="s">
        <v>14</v>
      </c>
      <c r="G507" s="61"/>
      <c r="I507" s="61" t="s">
        <v>1077</v>
      </c>
      <c r="J507" s="62" t="s">
        <v>1085</v>
      </c>
    </row>
    <row r="508" spans="1:10" s="17" customFormat="1" hidden="1">
      <c r="A508" s="62" t="s">
        <v>1086</v>
      </c>
      <c r="B508" s="63" t="s">
        <v>11</v>
      </c>
      <c r="C508" s="61" t="s">
        <v>14</v>
      </c>
      <c r="D508" s="61" t="s">
        <v>1082</v>
      </c>
      <c r="E508" s="61" t="s">
        <v>11</v>
      </c>
      <c r="F508" s="61" t="s">
        <v>14</v>
      </c>
      <c r="G508" s="61"/>
      <c r="I508" s="61" t="s">
        <v>1077</v>
      </c>
      <c r="J508" s="17" t="s">
        <v>1087</v>
      </c>
    </row>
    <row r="509" spans="1:10" s="17" customFormat="1" hidden="1">
      <c r="A509" s="62" t="s">
        <v>1088</v>
      </c>
      <c r="B509" s="63" t="s">
        <v>11</v>
      </c>
      <c r="C509" s="61" t="s">
        <v>11</v>
      </c>
      <c r="D509" s="61"/>
      <c r="E509" s="61"/>
      <c r="F509" s="61"/>
      <c r="G509" s="61"/>
      <c r="H509" s="61"/>
      <c r="I509" s="61"/>
      <c r="J509" s="62" t="s">
        <v>1089</v>
      </c>
    </row>
    <row r="510" spans="1:10" s="17" customFormat="1" hidden="1">
      <c r="A510" s="62" t="s">
        <v>1090</v>
      </c>
      <c r="B510" s="63" t="s">
        <v>11</v>
      </c>
      <c r="C510" s="63" t="s">
        <v>11</v>
      </c>
      <c r="D510" s="61"/>
      <c r="E510" s="61"/>
      <c r="F510" s="61"/>
      <c r="G510" s="61"/>
      <c r="H510" s="61"/>
      <c r="I510" s="61"/>
      <c r="J510" s="62" t="s">
        <v>1091</v>
      </c>
    </row>
    <row r="511" spans="1:10" s="17" customFormat="1" hidden="1">
      <c r="A511" s="62" t="s">
        <v>1092</v>
      </c>
      <c r="B511" s="63" t="s">
        <v>11</v>
      </c>
      <c r="C511" s="63" t="s">
        <v>11</v>
      </c>
      <c r="D511" s="61"/>
      <c r="E511" s="61"/>
      <c r="F511" s="61"/>
      <c r="G511" s="61"/>
      <c r="H511" s="61"/>
      <c r="I511" s="61"/>
      <c r="J511" s="62" t="s">
        <v>1091</v>
      </c>
    </row>
    <row r="512" spans="1:10" s="17" customFormat="1" hidden="1">
      <c r="A512" s="62" t="s">
        <v>1093</v>
      </c>
      <c r="B512" s="63" t="s">
        <v>11</v>
      </c>
      <c r="C512" s="63" t="s">
        <v>11</v>
      </c>
      <c r="D512" s="61"/>
      <c r="E512" s="61"/>
      <c r="F512" s="61"/>
      <c r="G512" s="61"/>
      <c r="H512" s="61"/>
      <c r="I512" s="61"/>
      <c r="J512" s="62" t="s">
        <v>1094</v>
      </c>
    </row>
    <row r="513" spans="1:10" s="17" customFormat="1" hidden="1">
      <c r="A513" s="62" t="s">
        <v>1095</v>
      </c>
      <c r="B513" s="63" t="s">
        <v>11</v>
      </c>
      <c r="C513" s="63" t="s">
        <v>11</v>
      </c>
      <c r="D513" s="61"/>
      <c r="E513" s="61"/>
      <c r="F513" s="61"/>
      <c r="G513" s="61"/>
      <c r="H513" s="61"/>
      <c r="I513" s="61"/>
      <c r="J513" s="62" t="s">
        <v>1096</v>
      </c>
    </row>
    <row r="514" spans="1:10" s="17" customFormat="1" hidden="1">
      <c r="A514" s="62" t="s">
        <v>1097</v>
      </c>
      <c r="B514" s="63" t="s">
        <v>11</v>
      </c>
      <c r="C514" s="63" t="s">
        <v>11</v>
      </c>
      <c r="D514" s="61"/>
      <c r="E514" s="61"/>
      <c r="F514" s="61"/>
      <c r="G514" s="61"/>
      <c r="H514" s="61"/>
      <c r="I514" s="61"/>
      <c r="J514" s="62" t="s">
        <v>1098</v>
      </c>
    </row>
    <row r="515" spans="1:10" s="17" customFormat="1">
      <c r="A515" s="62" t="s">
        <v>1099</v>
      </c>
      <c r="B515" s="63" t="s">
        <v>14</v>
      </c>
      <c r="C515" s="63" t="s">
        <v>14</v>
      </c>
      <c r="D515" s="61"/>
      <c r="E515" s="61" t="s">
        <v>14</v>
      </c>
      <c r="F515" s="61"/>
      <c r="G515" s="61"/>
      <c r="H515" s="61" t="s">
        <v>504</v>
      </c>
      <c r="I515" s="61"/>
      <c r="J515" s="62" t="s">
        <v>1100</v>
      </c>
    </row>
    <row r="516" spans="1:10" s="17" customFormat="1" hidden="1">
      <c r="A516" s="62" t="s">
        <v>1101</v>
      </c>
      <c r="B516" s="63" t="s">
        <v>11</v>
      </c>
      <c r="C516" s="63" t="s">
        <v>11</v>
      </c>
      <c r="D516" s="61"/>
      <c r="E516" s="61"/>
      <c r="F516" s="61"/>
      <c r="G516" s="61"/>
      <c r="H516" s="61"/>
      <c r="I516" s="61"/>
      <c r="J516" s="62" t="s">
        <v>1102</v>
      </c>
    </row>
    <row r="517" spans="1:10" s="17" customFormat="1">
      <c r="A517" s="62" t="s">
        <v>1103</v>
      </c>
      <c r="B517" s="63" t="s">
        <v>14</v>
      </c>
      <c r="C517" s="63" t="s">
        <v>14</v>
      </c>
      <c r="D517" s="61" t="s">
        <v>1104</v>
      </c>
      <c r="E517" s="61" t="s">
        <v>14</v>
      </c>
      <c r="F517" s="61"/>
      <c r="G517" s="61"/>
      <c r="H517" s="61"/>
      <c r="I517" s="61"/>
      <c r="J517" s="62" t="s">
        <v>1105</v>
      </c>
    </row>
    <row r="518" spans="1:10" s="17" customFormat="1" hidden="1">
      <c r="A518" s="62" t="s">
        <v>1106</v>
      </c>
      <c r="B518" s="63" t="s">
        <v>11</v>
      </c>
      <c r="C518" s="63" t="s">
        <v>11</v>
      </c>
      <c r="D518" s="61"/>
      <c r="E518" s="61"/>
      <c r="F518" s="61"/>
      <c r="G518" s="61"/>
      <c r="H518" s="61"/>
      <c r="I518" s="61"/>
      <c r="J518" s="62" t="s">
        <v>1107</v>
      </c>
    </row>
    <row r="519" spans="1:10" s="17" customFormat="1" hidden="1">
      <c r="A519" s="62" t="s">
        <v>1108</v>
      </c>
      <c r="B519" s="63" t="s">
        <v>11</v>
      </c>
      <c r="C519" s="63" t="s">
        <v>11</v>
      </c>
      <c r="D519" s="61"/>
      <c r="E519" s="61"/>
      <c r="F519" s="61"/>
      <c r="G519" s="61"/>
      <c r="H519" s="61"/>
      <c r="I519" s="61"/>
      <c r="J519" s="62" t="s">
        <v>1109</v>
      </c>
    </row>
    <row r="520" spans="1:10" s="17" customFormat="1" hidden="1">
      <c r="A520" s="62" t="s">
        <v>1110</v>
      </c>
      <c r="B520" s="63" t="s">
        <v>11</v>
      </c>
      <c r="C520" s="61" t="s">
        <v>85</v>
      </c>
      <c r="D520" s="61"/>
      <c r="E520" s="61"/>
      <c r="F520" s="61" t="s">
        <v>86</v>
      </c>
      <c r="G520" s="61" t="s">
        <v>86</v>
      </c>
      <c r="I520" s="61" t="s">
        <v>745</v>
      </c>
      <c r="J520" s="17" t="s">
        <v>1111</v>
      </c>
    </row>
    <row r="521" spans="1:10" s="17" customFormat="1" hidden="1">
      <c r="A521" s="62" t="s">
        <v>1112</v>
      </c>
      <c r="B521" s="63" t="s">
        <v>11</v>
      </c>
      <c r="C521" s="63" t="s">
        <v>11</v>
      </c>
      <c r="D521" s="61"/>
      <c r="E521" s="61"/>
      <c r="F521" s="61"/>
      <c r="G521" s="61"/>
      <c r="H521" s="61"/>
      <c r="I521" s="61"/>
      <c r="J521" s="62" t="s">
        <v>1113</v>
      </c>
    </row>
    <row r="522" spans="1:10" s="17" customFormat="1" hidden="1">
      <c r="A522" s="62" t="s">
        <v>1114</v>
      </c>
      <c r="B522" s="63" t="s">
        <v>11</v>
      </c>
      <c r="C522" s="63" t="s">
        <v>11</v>
      </c>
      <c r="D522" s="61"/>
      <c r="E522" s="61"/>
      <c r="F522" s="61"/>
      <c r="G522" s="61"/>
      <c r="H522" s="61"/>
      <c r="I522" s="61"/>
      <c r="J522" s="62" t="s">
        <v>1115</v>
      </c>
    </row>
    <row r="523" spans="1:10" s="17" customFormat="1" hidden="1">
      <c r="A523" s="62" t="s">
        <v>1116</v>
      </c>
      <c r="B523" s="63" t="s">
        <v>11</v>
      </c>
      <c r="C523" s="63" t="s">
        <v>11</v>
      </c>
      <c r="D523" s="61"/>
      <c r="E523" s="61"/>
      <c r="F523" s="61"/>
      <c r="G523" s="61"/>
      <c r="H523" s="61"/>
      <c r="I523" s="61"/>
      <c r="J523" s="62" t="s">
        <v>1117</v>
      </c>
    </row>
    <row r="524" spans="1:10" s="17" customFormat="1">
      <c r="A524" s="62" t="s">
        <v>1118</v>
      </c>
      <c r="B524" s="63" t="s">
        <v>14</v>
      </c>
      <c r="C524" s="61" t="s">
        <v>14</v>
      </c>
      <c r="D524" s="61" t="s">
        <v>1119</v>
      </c>
      <c r="E524" s="61" t="s">
        <v>14</v>
      </c>
      <c r="F524" s="61"/>
      <c r="G524" s="61"/>
      <c r="H524" s="61"/>
      <c r="I524" s="61"/>
      <c r="J524" s="62" t="s">
        <v>1120</v>
      </c>
    </row>
    <row r="525" spans="1:10" s="17" customFormat="1">
      <c r="A525" s="62" t="s">
        <v>1121</v>
      </c>
      <c r="B525" s="63" t="s">
        <v>14</v>
      </c>
      <c r="C525" s="61" t="s">
        <v>14</v>
      </c>
      <c r="D525" s="61"/>
      <c r="E525" s="61" t="s">
        <v>14</v>
      </c>
      <c r="F525" s="61"/>
      <c r="G525" s="61"/>
      <c r="H525" s="61"/>
      <c r="I525" s="61"/>
      <c r="J525" s="62" t="s">
        <v>1122</v>
      </c>
    </row>
    <row r="526" spans="1:10" s="17" customFormat="1" hidden="1">
      <c r="A526" s="62" t="s">
        <v>1123</v>
      </c>
      <c r="B526" s="63" t="s">
        <v>11</v>
      </c>
      <c r="C526" s="61" t="s">
        <v>85</v>
      </c>
      <c r="D526" s="61"/>
      <c r="E526" s="61"/>
      <c r="F526" s="61" t="s">
        <v>11</v>
      </c>
      <c r="G526" s="61" t="s">
        <v>86</v>
      </c>
      <c r="H526" s="61"/>
      <c r="I526" s="61"/>
      <c r="J526" s="62" t="s">
        <v>1124</v>
      </c>
    </row>
    <row r="527" spans="1:10" s="17" customFormat="1" hidden="1">
      <c r="A527" s="62" t="s">
        <v>1125</v>
      </c>
      <c r="B527" s="63" t="s">
        <v>11</v>
      </c>
      <c r="C527" s="63" t="s">
        <v>11</v>
      </c>
      <c r="D527" s="61"/>
      <c r="E527" s="61"/>
      <c r="F527" s="61"/>
      <c r="G527" s="61"/>
      <c r="H527" s="61"/>
      <c r="I527" s="61"/>
      <c r="J527" s="62" t="s">
        <v>1126</v>
      </c>
    </row>
    <row r="528" spans="1:10" s="17" customFormat="1" hidden="1">
      <c r="A528" s="62" t="s">
        <v>1127</v>
      </c>
      <c r="B528" s="63" t="s">
        <v>11</v>
      </c>
      <c r="C528" s="61" t="s">
        <v>85</v>
      </c>
      <c r="D528" s="61"/>
      <c r="E528" s="61"/>
      <c r="F528" s="61" t="s">
        <v>11</v>
      </c>
      <c r="G528" s="61" t="s">
        <v>86</v>
      </c>
      <c r="H528" s="61"/>
      <c r="I528" s="61"/>
      <c r="J528" s="62" t="s">
        <v>1128</v>
      </c>
    </row>
    <row r="529" spans="1:10" s="17" customFormat="1" hidden="1">
      <c r="A529" s="62" t="s">
        <v>1129</v>
      </c>
      <c r="B529" s="63" t="s">
        <v>11</v>
      </c>
      <c r="C529" s="61" t="s">
        <v>14</v>
      </c>
      <c r="D529" s="61"/>
      <c r="E529" s="61"/>
      <c r="F529" s="61"/>
      <c r="G529" s="61" t="s">
        <v>504</v>
      </c>
      <c r="H529" s="61"/>
      <c r="I529" s="61"/>
      <c r="J529" s="62" t="s">
        <v>1130</v>
      </c>
    </row>
    <row r="530" spans="1:10" s="17" customFormat="1" hidden="1">
      <c r="A530" s="62" t="s">
        <v>1131</v>
      </c>
      <c r="B530" s="63" t="s">
        <v>11</v>
      </c>
      <c r="C530" s="61" t="s">
        <v>14</v>
      </c>
      <c r="D530" s="61"/>
      <c r="E530" s="61"/>
      <c r="F530" s="61"/>
      <c r="G530" s="61" t="s">
        <v>504</v>
      </c>
      <c r="H530" s="61"/>
      <c r="I530" s="61"/>
      <c r="J530" s="62" t="s">
        <v>1132</v>
      </c>
    </row>
    <row r="531" spans="1:10" s="17" customFormat="1" hidden="1">
      <c r="A531" s="62" t="s">
        <v>1133</v>
      </c>
      <c r="B531" s="63" t="s">
        <v>11</v>
      </c>
      <c r="C531" s="61" t="s">
        <v>14</v>
      </c>
      <c r="D531" s="61"/>
      <c r="E531" s="61"/>
      <c r="F531" s="61"/>
      <c r="G531" s="61" t="s">
        <v>504</v>
      </c>
      <c r="H531" s="61"/>
      <c r="I531" s="61"/>
      <c r="J531" s="62" t="s">
        <v>1134</v>
      </c>
    </row>
    <row r="532" spans="1:10" s="17" customFormat="1" hidden="1">
      <c r="A532" s="62" t="s">
        <v>1135</v>
      </c>
      <c r="B532" s="63" t="s">
        <v>11</v>
      </c>
      <c r="C532" s="61" t="s">
        <v>14</v>
      </c>
      <c r="D532" s="61"/>
      <c r="E532" s="61"/>
      <c r="F532" s="61"/>
      <c r="G532" s="61" t="s">
        <v>504</v>
      </c>
      <c r="H532" s="61"/>
      <c r="I532" s="61"/>
      <c r="J532" s="62" t="s">
        <v>1136</v>
      </c>
    </row>
    <row r="533" spans="1:10" s="17" customFormat="1" hidden="1">
      <c r="A533" s="62" t="s">
        <v>1137</v>
      </c>
      <c r="B533" s="63" t="s">
        <v>11</v>
      </c>
      <c r="C533" s="61" t="s">
        <v>14</v>
      </c>
      <c r="D533" s="61"/>
      <c r="E533" s="61"/>
      <c r="F533" s="61"/>
      <c r="G533" s="61" t="s">
        <v>504</v>
      </c>
      <c r="H533" s="61"/>
      <c r="I533" s="61"/>
      <c r="J533" s="62" t="s">
        <v>1138</v>
      </c>
    </row>
    <row r="534" spans="1:10" s="17" customFormat="1" hidden="1">
      <c r="A534" s="62" t="s">
        <v>1139</v>
      </c>
      <c r="B534" s="63" t="s">
        <v>11</v>
      </c>
      <c r="C534" s="61" t="s">
        <v>14</v>
      </c>
      <c r="D534" s="61"/>
      <c r="E534" s="61"/>
      <c r="F534" s="61"/>
      <c r="G534" s="61" t="s">
        <v>504</v>
      </c>
      <c r="H534" s="61"/>
      <c r="I534" s="61"/>
      <c r="J534" s="62" t="s">
        <v>1140</v>
      </c>
    </row>
    <row r="535" spans="1:10" s="17" customFormat="1" hidden="1">
      <c r="A535" s="62" t="s">
        <v>1141</v>
      </c>
      <c r="B535" s="63" t="s">
        <v>11</v>
      </c>
      <c r="C535" s="61" t="s">
        <v>14</v>
      </c>
      <c r="D535" s="61"/>
      <c r="E535" s="61"/>
      <c r="F535" s="61"/>
      <c r="G535" s="61" t="s">
        <v>504</v>
      </c>
      <c r="H535" s="61"/>
      <c r="I535" s="61"/>
      <c r="J535" s="62" t="s">
        <v>1142</v>
      </c>
    </row>
    <row r="536" spans="1:10" s="17" customFormat="1" hidden="1">
      <c r="A536" s="62" t="s">
        <v>1143</v>
      </c>
      <c r="B536" s="63" t="s">
        <v>11</v>
      </c>
      <c r="C536" s="61" t="s">
        <v>14</v>
      </c>
      <c r="D536" s="61"/>
      <c r="E536" s="61"/>
      <c r="F536" s="61"/>
      <c r="G536" s="61" t="s">
        <v>504</v>
      </c>
      <c r="H536" s="61"/>
      <c r="I536" s="61"/>
      <c r="J536" s="62" t="s">
        <v>1144</v>
      </c>
    </row>
    <row r="537" spans="1:10" s="17" customFormat="1" hidden="1">
      <c r="A537" s="62" t="s">
        <v>1145</v>
      </c>
      <c r="B537" s="63" t="s">
        <v>11</v>
      </c>
      <c r="C537" s="61" t="s">
        <v>14</v>
      </c>
      <c r="D537" s="61"/>
      <c r="E537" s="61"/>
      <c r="F537" s="61"/>
      <c r="G537" s="61" t="s">
        <v>504</v>
      </c>
      <c r="H537" s="61"/>
      <c r="I537" s="61"/>
      <c r="J537" s="62" t="s">
        <v>1146</v>
      </c>
    </row>
    <row r="538" spans="1:10" s="17" customFormat="1" hidden="1">
      <c r="A538" s="62" t="s">
        <v>1147</v>
      </c>
      <c r="B538" s="63" t="s">
        <v>11</v>
      </c>
      <c r="C538" s="61" t="s">
        <v>14</v>
      </c>
      <c r="D538" s="61"/>
      <c r="E538" s="61"/>
      <c r="F538" s="61"/>
      <c r="G538" s="61" t="s">
        <v>504</v>
      </c>
      <c r="H538" s="61"/>
      <c r="I538" s="61"/>
      <c r="J538" s="62" t="s">
        <v>1148</v>
      </c>
    </row>
    <row r="539" spans="1:10" s="17" customFormat="1" hidden="1">
      <c r="A539" s="62" t="s">
        <v>1149</v>
      </c>
      <c r="B539" s="63" t="s">
        <v>11</v>
      </c>
      <c r="C539" s="61" t="s">
        <v>14</v>
      </c>
      <c r="D539" s="61"/>
      <c r="E539" s="61"/>
      <c r="F539" s="61"/>
      <c r="G539" s="61" t="s">
        <v>504</v>
      </c>
      <c r="H539" s="61"/>
      <c r="I539" s="61"/>
      <c r="J539" s="62" t="s">
        <v>1150</v>
      </c>
    </row>
    <row r="540" spans="1:10" s="17" customFormat="1" hidden="1">
      <c r="A540" s="62" t="s">
        <v>1151</v>
      </c>
      <c r="B540" s="63" t="s">
        <v>11</v>
      </c>
      <c r="C540" s="61" t="s">
        <v>14</v>
      </c>
      <c r="D540" s="61" t="s">
        <v>1152</v>
      </c>
      <c r="E540" s="61"/>
      <c r="F540" s="61"/>
      <c r="G540" s="61" t="s">
        <v>504</v>
      </c>
      <c r="H540" s="61"/>
      <c r="I540" s="61"/>
      <c r="J540" s="62" t="s">
        <v>1153</v>
      </c>
    </row>
    <row r="541" spans="1:10" s="17" customFormat="1" hidden="1">
      <c r="A541" s="62" t="s">
        <v>1154</v>
      </c>
      <c r="B541" s="63" t="s">
        <v>11</v>
      </c>
      <c r="C541" s="61" t="s">
        <v>14</v>
      </c>
      <c r="D541" s="61" t="s">
        <v>1152</v>
      </c>
      <c r="E541" s="61"/>
      <c r="F541" s="61"/>
      <c r="G541" s="61" t="s">
        <v>504</v>
      </c>
      <c r="H541" s="61"/>
      <c r="I541" s="61"/>
      <c r="J541" s="62" t="s">
        <v>1155</v>
      </c>
    </row>
    <row r="542" spans="1:10" s="17" customFormat="1" hidden="1">
      <c r="A542" s="62" t="s">
        <v>1156</v>
      </c>
      <c r="B542" s="63" t="s">
        <v>11</v>
      </c>
      <c r="C542" s="61" t="s">
        <v>14</v>
      </c>
      <c r="D542" s="61" t="s">
        <v>1152</v>
      </c>
      <c r="E542" s="61"/>
      <c r="F542" s="61"/>
      <c r="G542" s="61" t="s">
        <v>504</v>
      </c>
      <c r="H542" s="61"/>
      <c r="I542" s="61"/>
      <c r="J542" s="62" t="s">
        <v>1157</v>
      </c>
    </row>
    <row r="543" spans="1:10" s="17" customFormat="1" hidden="1">
      <c r="A543" s="62" t="s">
        <v>1158</v>
      </c>
      <c r="B543" s="63" t="s">
        <v>11</v>
      </c>
      <c r="C543" s="61" t="s">
        <v>14</v>
      </c>
      <c r="D543" s="61" t="s">
        <v>1152</v>
      </c>
      <c r="E543" s="61"/>
      <c r="F543" s="61"/>
      <c r="G543" s="61" t="s">
        <v>504</v>
      </c>
      <c r="H543" s="61"/>
      <c r="I543" s="61"/>
      <c r="J543" s="62" t="s">
        <v>1159</v>
      </c>
    </row>
    <row r="544" spans="1:10" s="17" customFormat="1" hidden="1">
      <c r="A544" s="62" t="s">
        <v>1160</v>
      </c>
      <c r="B544" s="63" t="s">
        <v>11</v>
      </c>
      <c r="C544" s="61" t="s">
        <v>14</v>
      </c>
      <c r="D544" s="61" t="s">
        <v>1152</v>
      </c>
      <c r="E544" s="61"/>
      <c r="F544" s="61"/>
      <c r="G544" s="61" t="s">
        <v>504</v>
      </c>
      <c r="H544" s="61"/>
      <c r="I544" s="61"/>
      <c r="J544" s="62" t="s">
        <v>1161</v>
      </c>
    </row>
    <row r="545" spans="1:10" s="17" customFormat="1" hidden="1">
      <c r="A545" s="62" t="s">
        <v>1162</v>
      </c>
      <c r="B545" s="63" t="s">
        <v>11</v>
      </c>
      <c r="C545" s="61" t="s">
        <v>14</v>
      </c>
      <c r="D545" s="61" t="s">
        <v>1152</v>
      </c>
      <c r="E545" s="61"/>
      <c r="F545" s="61"/>
      <c r="G545" s="61" t="s">
        <v>504</v>
      </c>
      <c r="H545" s="61"/>
      <c r="I545" s="61"/>
      <c r="J545" s="62" t="s">
        <v>1163</v>
      </c>
    </row>
    <row r="546" spans="1:10" s="17" customFormat="1" hidden="1">
      <c r="A546" s="62" t="s">
        <v>1164</v>
      </c>
      <c r="B546" s="63" t="s">
        <v>11</v>
      </c>
      <c r="C546" s="61" t="s">
        <v>14</v>
      </c>
      <c r="D546" s="61" t="s">
        <v>1152</v>
      </c>
      <c r="E546" s="61"/>
      <c r="F546" s="61"/>
      <c r="G546" s="61" t="s">
        <v>504</v>
      </c>
      <c r="H546" s="61"/>
      <c r="I546" s="61"/>
      <c r="J546" s="62" t="s">
        <v>1165</v>
      </c>
    </row>
    <row r="547" spans="1:10" s="17" customFormat="1" hidden="1">
      <c r="A547" s="62" t="s">
        <v>1166</v>
      </c>
      <c r="B547" s="63" t="s">
        <v>11</v>
      </c>
      <c r="C547" s="61" t="s">
        <v>14</v>
      </c>
      <c r="D547" s="61" t="s">
        <v>1152</v>
      </c>
      <c r="E547" s="61"/>
      <c r="F547" s="61"/>
      <c r="G547" s="61" t="s">
        <v>504</v>
      </c>
      <c r="H547" s="61"/>
      <c r="I547" s="61"/>
      <c r="J547" s="62" t="s">
        <v>1167</v>
      </c>
    </row>
    <row r="548" spans="1:10" s="17" customFormat="1" hidden="1">
      <c r="A548" s="62" t="s">
        <v>1168</v>
      </c>
      <c r="B548" s="63" t="s">
        <v>11</v>
      </c>
      <c r="C548" s="61" t="s">
        <v>14</v>
      </c>
      <c r="D548" s="61" t="s">
        <v>1152</v>
      </c>
      <c r="E548" s="61"/>
      <c r="F548" s="61"/>
      <c r="G548" s="61" t="s">
        <v>504</v>
      </c>
      <c r="H548" s="61"/>
      <c r="I548" s="61"/>
      <c r="J548" s="62" t="s">
        <v>1169</v>
      </c>
    </row>
    <row r="549" spans="1:10" s="17" customFormat="1">
      <c r="A549" s="62" t="s">
        <v>1170</v>
      </c>
      <c r="B549" s="63" t="s">
        <v>14</v>
      </c>
      <c r="C549" s="63" t="s">
        <v>14</v>
      </c>
      <c r="D549" s="61" t="s">
        <v>1028</v>
      </c>
      <c r="E549" s="61" t="s">
        <v>14</v>
      </c>
      <c r="F549" s="61"/>
      <c r="G549" s="61"/>
      <c r="H549" s="61"/>
      <c r="I549" s="61"/>
      <c r="J549" s="62" t="s">
        <v>1171</v>
      </c>
    </row>
    <row r="550" spans="1:10" s="17" customFormat="1">
      <c r="A550" s="62" t="s">
        <v>1172</v>
      </c>
      <c r="B550" s="63" t="s">
        <v>14</v>
      </c>
      <c r="C550" s="63" t="s">
        <v>14</v>
      </c>
      <c r="D550" s="61" t="s">
        <v>1028</v>
      </c>
      <c r="E550" s="61" t="s">
        <v>14</v>
      </c>
      <c r="F550" s="61"/>
      <c r="G550" s="61"/>
      <c r="H550" s="61" t="s">
        <v>504</v>
      </c>
      <c r="I550" s="61"/>
      <c r="J550" s="62" t="s">
        <v>1173</v>
      </c>
    </row>
    <row r="551" spans="1:10" s="17" customFormat="1">
      <c r="A551" s="62" t="s">
        <v>1174</v>
      </c>
      <c r="B551" s="63" t="s">
        <v>14</v>
      </c>
      <c r="C551" s="63" t="s">
        <v>14</v>
      </c>
      <c r="D551" s="61" t="s">
        <v>1028</v>
      </c>
      <c r="E551" s="61" t="s">
        <v>14</v>
      </c>
      <c r="F551" s="61"/>
      <c r="G551" s="61"/>
      <c r="H551" s="61" t="s">
        <v>504</v>
      </c>
      <c r="I551" s="61"/>
      <c r="J551" s="62" t="s">
        <v>1175</v>
      </c>
    </row>
    <row r="552" spans="1:10" s="17" customFormat="1">
      <c r="A552" s="62" t="s">
        <v>1176</v>
      </c>
      <c r="B552" s="63" t="s">
        <v>14</v>
      </c>
      <c r="C552" s="63" t="s">
        <v>14</v>
      </c>
      <c r="D552" s="61" t="s">
        <v>1028</v>
      </c>
      <c r="E552" s="61" t="s">
        <v>14</v>
      </c>
      <c r="F552" s="61"/>
      <c r="G552" s="61"/>
      <c r="H552" s="61"/>
      <c r="I552" s="61"/>
      <c r="J552" s="62" t="s">
        <v>1177</v>
      </c>
    </row>
    <row r="553" spans="1:10" s="17" customFormat="1">
      <c r="A553" s="62" t="s">
        <v>1178</v>
      </c>
      <c r="B553" s="63" t="s">
        <v>14</v>
      </c>
      <c r="C553" s="63" t="s">
        <v>14</v>
      </c>
      <c r="D553" s="61" t="s">
        <v>1028</v>
      </c>
      <c r="E553" s="61" t="s">
        <v>14</v>
      </c>
      <c r="F553" s="61"/>
      <c r="G553" s="61"/>
      <c r="H553" s="61" t="s">
        <v>504</v>
      </c>
      <c r="I553" s="61"/>
      <c r="J553" s="62" t="s">
        <v>1179</v>
      </c>
    </row>
    <row r="554" spans="1:10" s="17" customFormat="1">
      <c r="A554" s="62" t="s">
        <v>1180</v>
      </c>
      <c r="B554" s="63" t="s">
        <v>14</v>
      </c>
      <c r="C554" s="63" t="s">
        <v>14</v>
      </c>
      <c r="D554" s="61" t="s">
        <v>1028</v>
      </c>
      <c r="E554" s="61" t="s">
        <v>14</v>
      </c>
      <c r="F554" s="61"/>
      <c r="G554" s="61"/>
      <c r="H554" s="61"/>
      <c r="I554" s="61"/>
      <c r="J554" s="62" t="s">
        <v>1181</v>
      </c>
    </row>
    <row r="555" spans="1:10" s="17" customFormat="1">
      <c r="A555" s="62" t="s">
        <v>1182</v>
      </c>
      <c r="B555" s="63" t="s">
        <v>14</v>
      </c>
      <c r="C555" s="63" t="s">
        <v>14</v>
      </c>
      <c r="D555" s="61" t="s">
        <v>1028</v>
      </c>
      <c r="E555" s="61" t="s">
        <v>14</v>
      </c>
      <c r="F555" s="61"/>
      <c r="G555" s="61"/>
      <c r="H555" s="61"/>
      <c r="I555" s="61"/>
      <c r="J555" s="62" t="s">
        <v>132</v>
      </c>
    </row>
    <row r="556" spans="1:10" s="17" customFormat="1">
      <c r="A556" s="62" t="s">
        <v>1183</v>
      </c>
      <c r="B556" s="63" t="s">
        <v>14</v>
      </c>
      <c r="C556" s="63" t="s">
        <v>14</v>
      </c>
      <c r="D556" s="61" t="s">
        <v>1028</v>
      </c>
      <c r="E556" s="61" t="s">
        <v>14</v>
      </c>
      <c r="F556" s="61"/>
      <c r="G556" s="61"/>
      <c r="H556" s="61"/>
      <c r="I556" s="61"/>
      <c r="J556" s="62" t="s">
        <v>1184</v>
      </c>
    </row>
    <row r="557" spans="1:10" s="17" customFormat="1">
      <c r="A557" s="62" t="s">
        <v>1185</v>
      </c>
      <c r="B557" s="63" t="s">
        <v>14</v>
      </c>
      <c r="C557" s="61" t="s">
        <v>14</v>
      </c>
      <c r="D557" s="61"/>
      <c r="E557" s="61" t="s">
        <v>14</v>
      </c>
      <c r="F557" s="61"/>
      <c r="G557" s="61"/>
      <c r="H557" s="61"/>
      <c r="I557" s="61"/>
      <c r="J557" s="62" t="s">
        <v>1186</v>
      </c>
    </row>
    <row r="558" spans="1:10" s="17" customFormat="1">
      <c r="A558" s="62" t="s">
        <v>1187</v>
      </c>
      <c r="B558" s="63" t="s">
        <v>14</v>
      </c>
      <c r="C558" s="63" t="s">
        <v>14</v>
      </c>
      <c r="D558" s="61" t="s">
        <v>1028</v>
      </c>
      <c r="E558" s="61" t="s">
        <v>14</v>
      </c>
      <c r="F558" s="61"/>
      <c r="G558" s="61"/>
      <c r="H558" s="61"/>
      <c r="I558" s="61"/>
      <c r="J558" s="62" t="s">
        <v>1188</v>
      </c>
    </row>
    <row r="559" spans="1:10" s="17" customFormat="1">
      <c r="A559" s="62" t="s">
        <v>1189</v>
      </c>
      <c r="B559" s="63" t="s">
        <v>14</v>
      </c>
      <c r="C559" s="61" t="s">
        <v>14</v>
      </c>
      <c r="D559" s="61"/>
      <c r="E559" s="61" t="s">
        <v>14</v>
      </c>
      <c r="F559" s="61"/>
      <c r="G559" s="61"/>
      <c r="H559" s="61"/>
      <c r="I559" s="61"/>
      <c r="J559" s="62" t="s">
        <v>1190</v>
      </c>
    </row>
    <row r="560" spans="1:10" s="17" customFormat="1">
      <c r="A560" s="62" t="s">
        <v>1191</v>
      </c>
      <c r="B560" s="63" t="s">
        <v>14</v>
      </c>
      <c r="C560" s="63" t="s">
        <v>14</v>
      </c>
      <c r="D560" s="61" t="s">
        <v>1028</v>
      </c>
      <c r="E560" s="61" t="s">
        <v>14</v>
      </c>
      <c r="F560" s="61"/>
      <c r="G560" s="61"/>
      <c r="H560" s="61"/>
      <c r="I560" s="61"/>
      <c r="J560" s="62" t="s">
        <v>1192</v>
      </c>
    </row>
    <row r="561" spans="1:10" s="17" customFormat="1" hidden="1">
      <c r="A561" s="62" t="s">
        <v>1193</v>
      </c>
      <c r="B561" s="63" t="s">
        <v>11</v>
      </c>
      <c r="C561" s="63" t="s">
        <v>11</v>
      </c>
      <c r="D561" s="61"/>
      <c r="E561" s="61"/>
      <c r="F561" s="61"/>
      <c r="G561" s="61"/>
      <c r="H561" s="61"/>
      <c r="I561" s="61"/>
      <c r="J561" s="62" t="s">
        <v>1194</v>
      </c>
    </row>
    <row r="562" spans="1:10" s="17" customFormat="1">
      <c r="A562" s="62" t="s">
        <v>1195</v>
      </c>
      <c r="B562" s="63" t="s">
        <v>14</v>
      </c>
      <c r="C562" s="61" t="s">
        <v>14</v>
      </c>
      <c r="D562" s="61"/>
      <c r="E562" s="61" t="s">
        <v>14</v>
      </c>
      <c r="F562" s="61"/>
      <c r="G562" s="61"/>
      <c r="H562" s="61"/>
      <c r="I562" s="61"/>
      <c r="J562" s="62" t="s">
        <v>1196</v>
      </c>
    </row>
    <row r="563" spans="1:10" s="17" customFormat="1">
      <c r="A563" s="62" t="s">
        <v>1197</v>
      </c>
      <c r="B563" s="63" t="s">
        <v>14</v>
      </c>
      <c r="C563" s="63" t="s">
        <v>14</v>
      </c>
      <c r="D563" s="61" t="s">
        <v>1198</v>
      </c>
      <c r="E563" s="61" t="s">
        <v>14</v>
      </c>
      <c r="F563" s="61"/>
      <c r="G563" s="61"/>
      <c r="H563" s="61"/>
      <c r="I563" s="61"/>
      <c r="J563" s="62" t="s">
        <v>1199</v>
      </c>
    </row>
    <row r="564" spans="1:10" s="17" customFormat="1">
      <c r="A564" s="62" t="s">
        <v>1200</v>
      </c>
      <c r="B564" s="63" t="s">
        <v>14</v>
      </c>
      <c r="C564" s="63" t="s">
        <v>14</v>
      </c>
      <c r="D564" s="61" t="s">
        <v>1028</v>
      </c>
      <c r="E564" s="61" t="s">
        <v>14</v>
      </c>
      <c r="F564" s="61"/>
      <c r="G564" s="61"/>
      <c r="H564" s="61"/>
      <c r="I564" s="61"/>
      <c r="J564" s="62" t="s">
        <v>1201</v>
      </c>
    </row>
    <row r="565" spans="1:10" s="17" customFormat="1" hidden="1">
      <c r="A565" s="62" t="s">
        <v>1202</v>
      </c>
      <c r="B565" s="63" t="s">
        <v>11</v>
      </c>
      <c r="C565" s="61" t="s">
        <v>85</v>
      </c>
      <c r="D565" s="61" t="s">
        <v>1203</v>
      </c>
      <c r="E565" s="61"/>
      <c r="F565" s="61" t="s">
        <v>11</v>
      </c>
      <c r="G565" s="61" t="s">
        <v>86</v>
      </c>
      <c r="H565" s="61"/>
      <c r="I565" s="61"/>
      <c r="J565" s="62" t="s">
        <v>1204</v>
      </c>
    </row>
    <row r="566" spans="1:10" s="17" customFormat="1" hidden="1">
      <c r="A566" s="62" t="s">
        <v>1205</v>
      </c>
      <c r="B566" s="63" t="s">
        <v>11</v>
      </c>
      <c r="C566" s="61" t="s">
        <v>85</v>
      </c>
      <c r="D566" s="61" t="s">
        <v>1206</v>
      </c>
      <c r="E566" s="61"/>
      <c r="F566" s="61" t="s">
        <v>11</v>
      </c>
      <c r="G566" s="61" t="s">
        <v>86</v>
      </c>
      <c r="H566" s="61"/>
      <c r="I566" s="61"/>
      <c r="J566" s="62" t="s">
        <v>1207</v>
      </c>
    </row>
    <row r="567" spans="1:10" s="17" customFormat="1" hidden="1">
      <c r="A567" s="62" t="s">
        <v>1208</v>
      </c>
      <c r="B567" s="63" t="s">
        <v>11</v>
      </c>
      <c r="C567" s="61" t="s">
        <v>85</v>
      </c>
      <c r="D567" s="61" t="s">
        <v>1206</v>
      </c>
      <c r="E567" s="61"/>
      <c r="F567" s="61" t="s">
        <v>11</v>
      </c>
      <c r="G567" s="61" t="s">
        <v>86</v>
      </c>
      <c r="H567" s="61"/>
      <c r="I567" s="61"/>
      <c r="J567" s="62" t="s">
        <v>1209</v>
      </c>
    </row>
    <row r="568" spans="1:10" s="17" customFormat="1" hidden="1">
      <c r="A568" s="62" t="s">
        <v>1210</v>
      </c>
      <c r="B568" s="63" t="s">
        <v>11</v>
      </c>
      <c r="C568" s="61" t="s">
        <v>85</v>
      </c>
      <c r="D568" s="61" t="s">
        <v>1206</v>
      </c>
      <c r="E568" s="61"/>
      <c r="F568" s="61" t="s">
        <v>11</v>
      </c>
      <c r="G568" s="61" t="s">
        <v>86</v>
      </c>
      <c r="H568" s="61"/>
      <c r="I568" s="61"/>
      <c r="J568" s="62" t="s">
        <v>1211</v>
      </c>
    </row>
    <row r="569" spans="1:10" s="17" customFormat="1" hidden="1">
      <c r="A569" s="62" t="s">
        <v>1212</v>
      </c>
      <c r="B569" s="63" t="s">
        <v>11</v>
      </c>
      <c r="C569" s="61" t="s">
        <v>85</v>
      </c>
      <c r="D569" s="61" t="s">
        <v>1206</v>
      </c>
      <c r="E569" s="61"/>
      <c r="F569" s="61" t="s">
        <v>11</v>
      </c>
      <c r="G569" s="61" t="s">
        <v>86</v>
      </c>
      <c r="H569" s="61"/>
      <c r="I569" s="61"/>
      <c r="J569" s="62" t="s">
        <v>1213</v>
      </c>
    </row>
    <row r="570" spans="1:10" s="17" customFormat="1">
      <c r="A570" s="62" t="s">
        <v>1214</v>
      </c>
      <c r="B570" s="63" t="s">
        <v>14</v>
      </c>
      <c r="C570" s="63" t="s">
        <v>14</v>
      </c>
      <c r="D570" s="61" t="s">
        <v>1215</v>
      </c>
      <c r="E570" s="61" t="s">
        <v>14</v>
      </c>
      <c r="F570" s="61"/>
      <c r="G570" s="61"/>
      <c r="H570" s="61"/>
      <c r="I570" s="61"/>
      <c r="J570" s="62" t="s">
        <v>1216</v>
      </c>
    </row>
    <row r="571" spans="1:10" s="17" customFormat="1">
      <c r="A571" s="62" t="s">
        <v>1217</v>
      </c>
      <c r="B571" s="63" t="s">
        <v>14</v>
      </c>
      <c r="C571" s="63" t="s">
        <v>14</v>
      </c>
      <c r="D571" s="61" t="s">
        <v>1215</v>
      </c>
      <c r="E571" s="61" t="s">
        <v>14</v>
      </c>
      <c r="F571" s="61"/>
      <c r="G571" s="61"/>
      <c r="H571" s="61"/>
      <c r="I571" s="61"/>
      <c r="J571" s="62" t="s">
        <v>1218</v>
      </c>
    </row>
    <row r="572" spans="1:10" s="17" customFormat="1">
      <c r="A572" s="62" t="s">
        <v>1219</v>
      </c>
      <c r="B572" s="63" t="s">
        <v>14</v>
      </c>
      <c r="C572" s="63" t="s">
        <v>14</v>
      </c>
      <c r="D572" s="61" t="s">
        <v>1215</v>
      </c>
      <c r="E572" s="61" t="s">
        <v>14</v>
      </c>
      <c r="F572" s="61"/>
      <c r="G572" s="61"/>
      <c r="H572" s="61"/>
      <c r="I572" s="61"/>
      <c r="J572" s="62" t="s">
        <v>1220</v>
      </c>
    </row>
    <row r="573" spans="1:10" s="17" customFormat="1">
      <c r="A573" s="62" t="s">
        <v>1221</v>
      </c>
      <c r="B573" s="63" t="s">
        <v>14</v>
      </c>
      <c r="C573" s="63" t="s">
        <v>14</v>
      </c>
      <c r="D573" s="61" t="s">
        <v>1215</v>
      </c>
      <c r="E573" s="61" t="s">
        <v>14</v>
      </c>
      <c r="F573" s="61"/>
      <c r="G573" s="61"/>
      <c r="H573" s="61"/>
      <c r="I573" s="61"/>
      <c r="J573" s="62" t="s">
        <v>1222</v>
      </c>
    </row>
    <row r="574" spans="1:10" s="17" customFormat="1">
      <c r="A574" s="62" t="s">
        <v>1223</v>
      </c>
      <c r="B574" s="63" t="s">
        <v>14</v>
      </c>
      <c r="C574" s="63" t="s">
        <v>14</v>
      </c>
      <c r="D574" s="61" t="s">
        <v>1215</v>
      </c>
      <c r="E574" s="61" t="s">
        <v>14</v>
      </c>
      <c r="F574" s="61"/>
      <c r="G574" s="61"/>
      <c r="H574" s="61"/>
      <c r="I574" s="61"/>
      <c r="J574" s="62" t="s">
        <v>1224</v>
      </c>
    </row>
    <row r="575" spans="1:10" s="17" customFormat="1">
      <c r="A575" s="62" t="s">
        <v>1225</v>
      </c>
      <c r="B575" s="63" t="s">
        <v>14</v>
      </c>
      <c r="C575" s="61" t="s">
        <v>14</v>
      </c>
      <c r="D575" s="61"/>
      <c r="E575" s="61" t="s">
        <v>14</v>
      </c>
      <c r="F575" s="61"/>
      <c r="G575" s="61"/>
      <c r="H575" s="61"/>
      <c r="I575" s="61"/>
      <c r="J575" s="62" t="s">
        <v>1226</v>
      </c>
    </row>
    <row r="576" spans="1:10" s="17" customFormat="1" hidden="1">
      <c r="A576" s="62" t="s">
        <v>1227</v>
      </c>
      <c r="B576" s="63" t="s">
        <v>11</v>
      </c>
      <c r="C576" s="63" t="s">
        <v>11</v>
      </c>
      <c r="D576" s="61"/>
      <c r="E576" s="61"/>
      <c r="F576" s="61"/>
      <c r="G576" s="61"/>
      <c r="H576" s="61"/>
      <c r="I576" s="61"/>
      <c r="J576" s="62" t="s">
        <v>1228</v>
      </c>
    </row>
    <row r="577" spans="1:10" s="17" customFormat="1" hidden="1">
      <c r="A577" s="62" t="s">
        <v>1229</v>
      </c>
      <c r="B577" s="63" t="s">
        <v>11</v>
      </c>
      <c r="C577" s="63" t="s">
        <v>11</v>
      </c>
      <c r="D577" s="61"/>
      <c r="E577" s="61"/>
      <c r="F577" s="61"/>
      <c r="G577" s="61"/>
      <c r="H577" s="61"/>
      <c r="I577" s="61"/>
      <c r="J577" s="62" t="s">
        <v>1230</v>
      </c>
    </row>
    <row r="578" spans="1:10" s="17" customFormat="1" hidden="1">
      <c r="A578" s="62" t="s">
        <v>1231</v>
      </c>
      <c r="B578" s="63" t="s">
        <v>11</v>
      </c>
      <c r="C578" s="63" t="s">
        <v>11</v>
      </c>
      <c r="D578" s="61"/>
      <c r="E578" s="61"/>
      <c r="F578" s="61"/>
      <c r="G578" s="61"/>
      <c r="H578" s="61"/>
      <c r="I578" s="61"/>
      <c r="J578" s="62" t="s">
        <v>1232</v>
      </c>
    </row>
    <row r="579" spans="1:10" s="17" customFormat="1" hidden="1">
      <c r="A579" s="62" t="s">
        <v>1233</v>
      </c>
      <c r="B579" s="63" t="s">
        <v>11</v>
      </c>
      <c r="C579" s="63" t="s">
        <v>11</v>
      </c>
      <c r="D579" s="61"/>
      <c r="E579" s="61"/>
      <c r="F579" s="61"/>
      <c r="G579" s="61"/>
      <c r="H579" s="61"/>
      <c r="I579" s="61"/>
      <c r="J579" s="62" t="s">
        <v>1234</v>
      </c>
    </row>
    <row r="580" spans="1:10" s="17" customFormat="1" hidden="1">
      <c r="A580" s="62" t="s">
        <v>1235</v>
      </c>
      <c r="B580" s="63" t="s">
        <v>11</v>
      </c>
      <c r="C580" s="63" t="s">
        <v>11</v>
      </c>
      <c r="D580" s="61"/>
      <c r="E580" s="61"/>
      <c r="F580" s="61"/>
      <c r="G580" s="61"/>
      <c r="H580" s="61"/>
      <c r="I580" s="61"/>
      <c r="J580" s="62" t="s">
        <v>1236</v>
      </c>
    </row>
    <row r="581" spans="1:10" s="17" customFormat="1" hidden="1">
      <c r="A581" s="62" t="s">
        <v>1237</v>
      </c>
      <c r="B581" s="63" t="s">
        <v>11</v>
      </c>
      <c r="C581" s="63" t="s">
        <v>11</v>
      </c>
      <c r="D581" s="61"/>
      <c r="E581" s="61"/>
      <c r="F581" s="61"/>
      <c r="G581" s="61"/>
      <c r="H581" s="61"/>
      <c r="I581" s="61"/>
      <c r="J581" s="62" t="s">
        <v>1238</v>
      </c>
    </row>
    <row r="582" spans="1:10" s="17" customFormat="1" hidden="1">
      <c r="A582" s="62" t="s">
        <v>1239</v>
      </c>
      <c r="B582" s="63" t="s">
        <v>11</v>
      </c>
      <c r="C582" s="63" t="s">
        <v>11</v>
      </c>
      <c r="D582" s="61"/>
      <c r="E582" s="61"/>
      <c r="F582" s="61"/>
      <c r="G582" s="61"/>
      <c r="H582" s="61"/>
      <c r="I582" s="61"/>
      <c r="J582" s="62" t="s">
        <v>1240</v>
      </c>
    </row>
    <row r="583" spans="1:10" s="17" customFormat="1" hidden="1">
      <c r="A583" s="62" t="s">
        <v>1241</v>
      </c>
      <c r="B583" s="63" t="s">
        <v>11</v>
      </c>
      <c r="C583" s="61" t="s">
        <v>14</v>
      </c>
      <c r="D583" s="61"/>
      <c r="E583" s="61"/>
      <c r="F583" s="61"/>
      <c r="G583" s="61" t="s">
        <v>504</v>
      </c>
      <c r="H583" s="61"/>
      <c r="I583" s="61"/>
      <c r="J583" s="62" t="s">
        <v>1242</v>
      </c>
    </row>
    <row r="584" spans="1:10" s="17" customFormat="1" hidden="1">
      <c r="A584" s="62" t="s">
        <v>1243</v>
      </c>
      <c r="B584" s="63" t="s">
        <v>11</v>
      </c>
      <c r="C584" s="63" t="s">
        <v>11</v>
      </c>
      <c r="D584" s="61"/>
      <c r="E584" s="61"/>
      <c r="F584" s="61"/>
      <c r="G584" s="61"/>
      <c r="H584" s="61"/>
      <c r="I584" s="61"/>
      <c r="J584" s="62" t="s">
        <v>1244</v>
      </c>
    </row>
    <row r="585" spans="1:10" s="17" customFormat="1" hidden="1">
      <c r="A585" s="62" t="s">
        <v>1245</v>
      </c>
      <c r="B585" s="63" t="s">
        <v>11</v>
      </c>
      <c r="C585" s="63" t="s">
        <v>11</v>
      </c>
      <c r="D585" s="61"/>
      <c r="E585" s="61"/>
      <c r="F585" s="61"/>
      <c r="G585" s="61"/>
      <c r="H585" s="61"/>
      <c r="I585" s="61"/>
      <c r="J585" s="62" t="s">
        <v>1246</v>
      </c>
    </row>
    <row r="586" spans="1:10" s="17" customFormat="1" hidden="1">
      <c r="A586" s="62" t="s">
        <v>1247</v>
      </c>
      <c r="B586" s="63" t="s">
        <v>11</v>
      </c>
      <c r="C586" s="61" t="s">
        <v>14</v>
      </c>
      <c r="D586" s="61"/>
      <c r="E586" s="61"/>
      <c r="F586" s="61"/>
      <c r="G586" s="61" t="s">
        <v>504</v>
      </c>
      <c r="H586" s="61"/>
      <c r="I586" s="61"/>
      <c r="J586" s="62" t="s">
        <v>1248</v>
      </c>
    </row>
    <row r="587" spans="1:10" s="17" customFormat="1" hidden="1">
      <c r="A587" s="62" t="s">
        <v>1249</v>
      </c>
      <c r="B587" s="63" t="s">
        <v>11</v>
      </c>
      <c r="C587" s="63" t="s">
        <v>11</v>
      </c>
      <c r="D587" s="61"/>
      <c r="E587" s="61"/>
      <c r="F587" s="61"/>
      <c r="G587" s="61"/>
      <c r="H587" s="61"/>
      <c r="I587" s="61"/>
      <c r="J587" s="62" t="s">
        <v>1250</v>
      </c>
    </row>
    <row r="588" spans="1:10" s="17" customFormat="1" hidden="1">
      <c r="A588" s="62" t="s">
        <v>1251</v>
      </c>
      <c r="B588" s="63" t="s">
        <v>11</v>
      </c>
      <c r="C588" s="63" t="s">
        <v>11</v>
      </c>
      <c r="D588" s="61"/>
      <c r="E588" s="61"/>
      <c r="F588" s="61"/>
      <c r="G588" s="61"/>
      <c r="H588" s="61"/>
      <c r="I588" s="61"/>
      <c r="J588" s="62" t="s">
        <v>1252</v>
      </c>
    </row>
    <row r="589" spans="1:10" s="17" customFormat="1" hidden="1">
      <c r="A589" s="62" t="s">
        <v>1253</v>
      </c>
      <c r="B589" s="63" t="s">
        <v>11</v>
      </c>
      <c r="C589" s="61" t="s">
        <v>14</v>
      </c>
      <c r="D589" s="61"/>
      <c r="E589" s="61"/>
      <c r="F589" s="61"/>
      <c r="G589" s="61" t="s">
        <v>504</v>
      </c>
      <c r="H589" s="61"/>
      <c r="I589" s="61"/>
      <c r="J589" s="62" t="s">
        <v>1248</v>
      </c>
    </row>
    <row r="590" spans="1:10" s="17" customFormat="1" hidden="1">
      <c r="A590" s="62" t="s">
        <v>1254</v>
      </c>
      <c r="B590" s="63" t="s">
        <v>11</v>
      </c>
      <c r="C590" s="63" t="s">
        <v>11</v>
      </c>
      <c r="D590" s="61"/>
      <c r="E590" s="61"/>
      <c r="F590" s="61"/>
      <c r="G590" s="61"/>
      <c r="H590" s="61"/>
      <c r="I590" s="61"/>
      <c r="J590" s="62" t="s">
        <v>1255</v>
      </c>
    </row>
    <row r="591" spans="1:10" s="17" customFormat="1" hidden="1">
      <c r="A591" s="62" t="s">
        <v>1256</v>
      </c>
      <c r="B591" s="63" t="s">
        <v>11</v>
      </c>
      <c r="C591" s="63" t="s">
        <v>11</v>
      </c>
      <c r="D591" s="61"/>
      <c r="E591" s="61"/>
      <c r="F591" s="61"/>
      <c r="G591" s="61"/>
      <c r="H591" s="61"/>
      <c r="I591" s="61"/>
      <c r="J591" s="62" t="s">
        <v>1257</v>
      </c>
    </row>
    <row r="592" spans="1:10" s="17" customFormat="1" hidden="1">
      <c r="A592" s="62" t="s">
        <v>1258</v>
      </c>
      <c r="B592" s="63" t="s">
        <v>11</v>
      </c>
      <c r="C592" s="63" t="s">
        <v>11</v>
      </c>
      <c r="D592" s="61"/>
      <c r="E592" s="61"/>
      <c r="F592" s="61"/>
      <c r="G592" s="61"/>
      <c r="H592" s="61"/>
      <c r="I592" s="61"/>
      <c r="J592" s="62" t="s">
        <v>1259</v>
      </c>
    </row>
    <row r="593" spans="1:10" s="17" customFormat="1" hidden="1">
      <c r="A593" s="62" t="s">
        <v>1260</v>
      </c>
      <c r="B593" s="63" t="s">
        <v>11</v>
      </c>
      <c r="C593" s="63" t="s">
        <v>11</v>
      </c>
      <c r="D593" s="61"/>
      <c r="E593" s="61"/>
      <c r="F593" s="61"/>
      <c r="G593" s="61"/>
      <c r="H593" s="61"/>
      <c r="I593" s="61"/>
      <c r="J593" s="62" t="s">
        <v>1261</v>
      </c>
    </row>
    <row r="594" spans="1:10" s="17" customFormat="1" hidden="1">
      <c r="A594" s="62" t="s">
        <v>1262</v>
      </c>
      <c r="B594" s="63" t="s">
        <v>11</v>
      </c>
      <c r="C594" s="63" t="s">
        <v>11</v>
      </c>
      <c r="D594" s="61"/>
      <c r="E594" s="61"/>
      <c r="F594" s="61"/>
      <c r="G594" s="61"/>
      <c r="H594" s="61"/>
      <c r="I594" s="61"/>
      <c r="J594" s="62" t="s">
        <v>1263</v>
      </c>
    </row>
    <row r="595" spans="1:10" s="17" customFormat="1" hidden="1">
      <c r="A595" s="62" t="s">
        <v>1264</v>
      </c>
      <c r="B595" s="63" t="s">
        <v>11</v>
      </c>
      <c r="C595" s="63" t="s">
        <v>11</v>
      </c>
      <c r="D595" s="61"/>
      <c r="E595" s="61"/>
      <c r="F595" s="61"/>
      <c r="G595" s="61"/>
      <c r="H595" s="61"/>
      <c r="I595" s="61"/>
      <c r="J595" s="62" t="s">
        <v>1265</v>
      </c>
    </row>
    <row r="596" spans="1:10" s="17" customFormat="1" hidden="1">
      <c r="A596" s="62" t="s">
        <v>1266</v>
      </c>
      <c r="B596" s="63" t="s">
        <v>11</v>
      </c>
      <c r="C596" s="63" t="s">
        <v>11</v>
      </c>
      <c r="D596" s="61"/>
      <c r="E596" s="61"/>
      <c r="F596" s="61"/>
      <c r="G596" s="61"/>
      <c r="H596" s="61"/>
      <c r="I596" s="61"/>
      <c r="J596" s="62" t="s">
        <v>1267</v>
      </c>
    </row>
    <row r="597" spans="1:10" s="17" customFormat="1" hidden="1">
      <c r="A597" s="62" t="s">
        <v>1268</v>
      </c>
      <c r="B597" s="63" t="s">
        <v>11</v>
      </c>
      <c r="C597" s="63" t="s">
        <v>11</v>
      </c>
      <c r="D597" s="61"/>
      <c r="E597" s="61"/>
      <c r="F597" s="61"/>
      <c r="G597" s="61"/>
      <c r="H597" s="61"/>
      <c r="I597" s="61"/>
      <c r="J597" s="62" t="s">
        <v>1269</v>
      </c>
    </row>
    <row r="598" spans="1:10" s="17" customFormat="1" hidden="1">
      <c r="A598" s="62" t="s">
        <v>1270</v>
      </c>
      <c r="B598" s="63" t="s">
        <v>11</v>
      </c>
      <c r="C598" s="61" t="s">
        <v>14</v>
      </c>
      <c r="D598" s="61" t="s">
        <v>503</v>
      </c>
      <c r="E598" s="61"/>
      <c r="F598" s="61"/>
      <c r="G598" s="61" t="s">
        <v>504</v>
      </c>
      <c r="H598" s="61"/>
      <c r="I598" s="61"/>
      <c r="J598" s="62" t="s">
        <v>1271</v>
      </c>
    </row>
    <row r="599" spans="1:10" s="17" customFormat="1" hidden="1">
      <c r="A599" s="62" t="s">
        <v>1272</v>
      </c>
      <c r="B599" s="63" t="s">
        <v>11</v>
      </c>
      <c r="C599" s="63" t="s">
        <v>11</v>
      </c>
      <c r="D599" s="61"/>
      <c r="E599" s="61"/>
      <c r="F599" s="61"/>
      <c r="G599" s="61"/>
      <c r="H599" s="61"/>
      <c r="I599" s="61"/>
      <c r="J599" s="62" t="s">
        <v>1273</v>
      </c>
    </row>
    <row r="600" spans="1:10" s="17" customFormat="1" hidden="1">
      <c r="A600" s="62" t="s">
        <v>1274</v>
      </c>
      <c r="B600" s="63" t="s">
        <v>11</v>
      </c>
      <c r="C600" s="63" t="s">
        <v>11</v>
      </c>
      <c r="D600" s="61"/>
      <c r="E600" s="61"/>
      <c r="F600" s="61"/>
      <c r="G600" s="61"/>
      <c r="H600" s="61"/>
      <c r="I600" s="61"/>
      <c r="J600" s="62" t="s">
        <v>1275</v>
      </c>
    </row>
    <row r="601" spans="1:10" s="17" customFormat="1" hidden="1">
      <c r="A601" s="62" t="s">
        <v>1276</v>
      </c>
      <c r="B601" s="63" t="s">
        <v>11</v>
      </c>
      <c r="C601" s="63" t="s">
        <v>11</v>
      </c>
      <c r="D601" s="61"/>
      <c r="E601" s="61"/>
      <c r="F601" s="61"/>
      <c r="G601" s="61"/>
      <c r="H601" s="61"/>
      <c r="I601" s="61"/>
      <c r="J601" s="62" t="s">
        <v>1277</v>
      </c>
    </row>
    <row r="602" spans="1:10" s="17" customFormat="1" hidden="1">
      <c r="A602" s="62" t="s">
        <v>1278</v>
      </c>
      <c r="B602" s="63" t="s">
        <v>11</v>
      </c>
      <c r="C602" s="63" t="s">
        <v>11</v>
      </c>
      <c r="D602" s="61"/>
      <c r="E602" s="61"/>
      <c r="F602" s="61"/>
      <c r="G602" s="61"/>
      <c r="H602" s="61"/>
      <c r="I602" s="61"/>
      <c r="J602" s="62" t="s">
        <v>1279</v>
      </c>
    </row>
    <row r="603" spans="1:10" s="17" customFormat="1" hidden="1">
      <c r="A603" s="62" t="s">
        <v>1280</v>
      </c>
      <c r="B603" s="63" t="s">
        <v>11</v>
      </c>
      <c r="C603" s="63" t="s">
        <v>11</v>
      </c>
      <c r="D603" s="61"/>
      <c r="E603" s="61"/>
      <c r="F603" s="61"/>
      <c r="G603" s="61"/>
      <c r="H603" s="61"/>
      <c r="I603" s="61"/>
      <c r="J603" s="62" t="s">
        <v>1281</v>
      </c>
    </row>
    <row r="604" spans="1:10" s="17" customFormat="1" hidden="1">
      <c r="A604" s="62" t="s">
        <v>1282</v>
      </c>
      <c r="B604" s="63" t="s">
        <v>11</v>
      </c>
      <c r="C604" s="63" t="s">
        <v>11</v>
      </c>
      <c r="D604" s="61"/>
      <c r="E604" s="61"/>
      <c r="F604" s="61"/>
      <c r="G604" s="61"/>
      <c r="H604" s="61"/>
      <c r="I604" s="61"/>
      <c r="J604" s="62" t="s">
        <v>1283</v>
      </c>
    </row>
    <row r="605" spans="1:10" s="17" customFormat="1" hidden="1">
      <c r="A605" s="62" t="s">
        <v>1284</v>
      </c>
      <c r="B605" s="63" t="s">
        <v>11</v>
      </c>
      <c r="C605" s="63" t="s">
        <v>11</v>
      </c>
      <c r="D605" s="61"/>
      <c r="E605" s="61"/>
      <c r="F605" s="61"/>
      <c r="G605" s="61"/>
      <c r="H605" s="61"/>
      <c r="I605" s="61"/>
      <c r="J605" s="62" t="s">
        <v>1285</v>
      </c>
    </row>
    <row r="606" spans="1:10" s="17" customFormat="1" hidden="1">
      <c r="A606" s="62" t="s">
        <v>1286</v>
      </c>
      <c r="B606" s="63" t="s">
        <v>11</v>
      </c>
      <c r="C606" s="63" t="s">
        <v>11</v>
      </c>
      <c r="D606" s="61"/>
      <c r="E606" s="61"/>
      <c r="F606" s="61"/>
      <c r="G606" s="61"/>
      <c r="H606" s="61"/>
      <c r="I606" s="61"/>
      <c r="J606" s="62" t="s">
        <v>1287</v>
      </c>
    </row>
    <row r="607" spans="1:10" s="17" customFormat="1" hidden="1">
      <c r="A607" s="62" t="s">
        <v>1288</v>
      </c>
      <c r="B607" s="63" t="s">
        <v>11</v>
      </c>
      <c r="C607" s="63" t="s">
        <v>11</v>
      </c>
      <c r="D607" s="61"/>
      <c r="E607" s="61"/>
      <c r="F607" s="61"/>
      <c r="G607" s="61"/>
      <c r="H607" s="61"/>
      <c r="I607" s="61"/>
      <c r="J607" s="62" t="s">
        <v>1289</v>
      </c>
    </row>
    <row r="608" spans="1:10" s="17" customFormat="1" hidden="1">
      <c r="A608" s="62" t="s">
        <v>1290</v>
      </c>
      <c r="B608" s="63" t="s">
        <v>11</v>
      </c>
      <c r="C608" s="63" t="s">
        <v>11</v>
      </c>
      <c r="D608" s="61"/>
      <c r="E608" s="61"/>
      <c r="F608" s="61"/>
      <c r="G608" s="61"/>
      <c r="H608" s="61"/>
      <c r="I608" s="61"/>
      <c r="J608" s="62" t="s">
        <v>1291</v>
      </c>
    </row>
    <row r="609" spans="1:10" s="17" customFormat="1" hidden="1">
      <c r="A609" s="62" t="s">
        <v>1292</v>
      </c>
      <c r="B609" s="63" t="s">
        <v>11</v>
      </c>
      <c r="C609" s="63" t="s">
        <v>11</v>
      </c>
      <c r="D609" s="61"/>
      <c r="E609" s="61"/>
      <c r="F609" s="61"/>
      <c r="G609" s="61"/>
      <c r="H609" s="61"/>
      <c r="I609" s="61"/>
      <c r="J609" s="62" t="s">
        <v>1293</v>
      </c>
    </row>
    <row r="610" spans="1:10" s="17" customFormat="1" hidden="1">
      <c r="A610" s="62" t="s">
        <v>1294</v>
      </c>
      <c r="B610" s="63" t="s">
        <v>11</v>
      </c>
      <c r="C610" s="63" t="s">
        <v>11</v>
      </c>
      <c r="D610" s="61"/>
      <c r="E610" s="61"/>
      <c r="F610" s="61"/>
      <c r="G610" s="61"/>
      <c r="H610" s="61"/>
      <c r="I610" s="61"/>
      <c r="J610" s="62" t="s">
        <v>1295</v>
      </c>
    </row>
    <row r="611" spans="1:10" s="17" customFormat="1" hidden="1">
      <c r="A611" s="62" t="s">
        <v>1296</v>
      </c>
      <c r="B611" s="63" t="s">
        <v>11</v>
      </c>
      <c r="C611" s="61" t="s">
        <v>85</v>
      </c>
      <c r="D611" s="61" t="s">
        <v>1297</v>
      </c>
      <c r="E611" s="61"/>
      <c r="F611" s="61" t="s">
        <v>11</v>
      </c>
      <c r="G611" s="61" t="s">
        <v>86</v>
      </c>
      <c r="H611" s="61"/>
      <c r="I611" s="61"/>
      <c r="J611" s="62" t="s">
        <v>1298</v>
      </c>
    </row>
    <row r="612" spans="1:10" s="17" customFormat="1" hidden="1">
      <c r="A612" s="62" t="s">
        <v>1299</v>
      </c>
      <c r="B612" s="63" t="s">
        <v>11</v>
      </c>
      <c r="C612" s="61" t="s">
        <v>85</v>
      </c>
      <c r="D612" s="61" t="s">
        <v>1297</v>
      </c>
      <c r="E612" s="61"/>
      <c r="F612" s="61" t="s">
        <v>11</v>
      </c>
      <c r="G612" s="61" t="s">
        <v>86</v>
      </c>
      <c r="H612" s="61"/>
      <c r="I612" s="61"/>
      <c r="J612" s="62" t="s">
        <v>1300</v>
      </c>
    </row>
    <row r="613" spans="1:10" s="17" customFormat="1" hidden="1">
      <c r="A613" s="62" t="s">
        <v>1301</v>
      </c>
      <c r="B613" s="63" t="s">
        <v>11</v>
      </c>
      <c r="C613" s="61" t="s">
        <v>85</v>
      </c>
      <c r="D613" s="61" t="s">
        <v>1297</v>
      </c>
      <c r="E613" s="61"/>
      <c r="F613" s="61" t="s">
        <v>11</v>
      </c>
      <c r="G613" s="61" t="s">
        <v>86</v>
      </c>
      <c r="H613" s="61"/>
      <c r="I613" s="61"/>
      <c r="J613" s="62" t="s">
        <v>1302</v>
      </c>
    </row>
    <row r="614" spans="1:10" s="17" customFormat="1" hidden="1">
      <c r="A614" s="62" t="s">
        <v>1303</v>
      </c>
      <c r="B614" s="63" t="s">
        <v>11</v>
      </c>
      <c r="C614" s="61" t="s">
        <v>85</v>
      </c>
      <c r="D614" s="61" t="s">
        <v>1297</v>
      </c>
      <c r="E614" s="61"/>
      <c r="F614" s="61" t="s">
        <v>11</v>
      </c>
      <c r="G614" s="61" t="s">
        <v>86</v>
      </c>
      <c r="H614" s="61"/>
      <c r="I614" s="61"/>
      <c r="J614" s="62" t="s">
        <v>1304</v>
      </c>
    </row>
    <row r="615" spans="1:10" s="17" customFormat="1" hidden="1">
      <c r="A615" s="62" t="s">
        <v>1305</v>
      </c>
      <c r="B615" s="63" t="s">
        <v>11</v>
      </c>
      <c r="C615" s="61" t="s">
        <v>85</v>
      </c>
      <c r="D615" s="61" t="s">
        <v>1297</v>
      </c>
      <c r="E615" s="61"/>
      <c r="F615" s="61" t="s">
        <v>11</v>
      </c>
      <c r="G615" s="61" t="s">
        <v>86</v>
      </c>
      <c r="H615" s="61"/>
      <c r="I615" s="61"/>
      <c r="J615" s="62" t="s">
        <v>1306</v>
      </c>
    </row>
    <row r="616" spans="1:10" s="17" customFormat="1" hidden="1">
      <c r="A616" s="62" t="s">
        <v>1307</v>
      </c>
      <c r="B616" s="63" t="s">
        <v>11</v>
      </c>
      <c r="C616" s="61" t="s">
        <v>85</v>
      </c>
      <c r="D616" s="61" t="s">
        <v>1297</v>
      </c>
      <c r="E616" s="61"/>
      <c r="F616" s="61" t="s">
        <v>11</v>
      </c>
      <c r="G616" s="61" t="s">
        <v>86</v>
      </c>
      <c r="H616" s="61"/>
      <c r="I616" s="61"/>
      <c r="J616" s="62" t="s">
        <v>1308</v>
      </c>
    </row>
    <row r="617" spans="1:10" s="17" customFormat="1" hidden="1">
      <c r="A617" s="62" t="s">
        <v>1309</v>
      </c>
      <c r="B617" s="63" t="s">
        <v>11</v>
      </c>
      <c r="C617" s="61" t="s">
        <v>85</v>
      </c>
      <c r="D617" s="61" t="s">
        <v>1297</v>
      </c>
      <c r="E617" s="61"/>
      <c r="F617" s="61" t="s">
        <v>11</v>
      </c>
      <c r="G617" s="61" t="s">
        <v>86</v>
      </c>
      <c r="H617" s="61"/>
      <c r="I617" s="61"/>
      <c r="J617" s="62" t="s">
        <v>1310</v>
      </c>
    </row>
    <row r="618" spans="1:10" s="17" customFormat="1" hidden="1">
      <c r="A618" s="62" t="s">
        <v>1311</v>
      </c>
      <c r="B618" s="63" t="s">
        <v>11</v>
      </c>
      <c r="C618" s="61" t="s">
        <v>85</v>
      </c>
      <c r="D618" s="61" t="s">
        <v>1297</v>
      </c>
      <c r="E618" s="61"/>
      <c r="F618" s="61" t="s">
        <v>11</v>
      </c>
      <c r="G618" s="61" t="s">
        <v>86</v>
      </c>
      <c r="H618" s="61"/>
      <c r="I618" s="61"/>
      <c r="J618" s="62" t="s">
        <v>1312</v>
      </c>
    </row>
    <row r="619" spans="1:10" s="17" customFormat="1" hidden="1">
      <c r="A619" s="62" t="s">
        <v>1313</v>
      </c>
      <c r="B619" s="63" t="s">
        <v>11</v>
      </c>
      <c r="C619" s="61" t="s">
        <v>85</v>
      </c>
      <c r="D619" s="61" t="s">
        <v>1297</v>
      </c>
      <c r="E619" s="61"/>
      <c r="F619" s="61" t="s">
        <v>11</v>
      </c>
      <c r="G619" s="61" t="s">
        <v>86</v>
      </c>
      <c r="H619" s="61"/>
      <c r="I619" s="61"/>
      <c r="J619" s="62" t="s">
        <v>1314</v>
      </c>
    </row>
    <row r="620" spans="1:10" s="17" customFormat="1" hidden="1">
      <c r="A620" s="62" t="s">
        <v>1315</v>
      </c>
      <c r="B620" s="63" t="s">
        <v>11</v>
      </c>
      <c r="C620" s="61" t="s">
        <v>85</v>
      </c>
      <c r="D620" s="61" t="s">
        <v>1297</v>
      </c>
      <c r="E620" s="61"/>
      <c r="F620" s="61" t="s">
        <v>11</v>
      </c>
      <c r="G620" s="61" t="s">
        <v>86</v>
      </c>
      <c r="H620" s="61"/>
      <c r="I620" s="61"/>
      <c r="J620" s="62" t="s">
        <v>1316</v>
      </c>
    </row>
    <row r="621" spans="1:10" s="17" customFormat="1" hidden="1">
      <c r="A621" s="62" t="s">
        <v>1317</v>
      </c>
      <c r="B621" s="63" t="s">
        <v>11</v>
      </c>
      <c r="C621" s="61" t="s">
        <v>85</v>
      </c>
      <c r="D621" s="61" t="s">
        <v>1297</v>
      </c>
      <c r="E621" s="61"/>
      <c r="F621" s="61" t="s">
        <v>11</v>
      </c>
      <c r="G621" s="61" t="s">
        <v>86</v>
      </c>
      <c r="H621" s="61"/>
      <c r="I621" s="61"/>
      <c r="J621" s="62" t="s">
        <v>1318</v>
      </c>
    </row>
    <row r="622" spans="1:10" s="17" customFormat="1" hidden="1">
      <c r="A622" s="62" t="s">
        <v>1319</v>
      </c>
      <c r="B622" s="63" t="s">
        <v>11</v>
      </c>
      <c r="C622" s="61" t="s">
        <v>85</v>
      </c>
      <c r="D622" s="61" t="s">
        <v>1297</v>
      </c>
      <c r="E622" s="61"/>
      <c r="F622" s="61" t="s">
        <v>11</v>
      </c>
      <c r="G622" s="61" t="s">
        <v>86</v>
      </c>
      <c r="H622" s="61"/>
      <c r="I622" s="61"/>
      <c r="J622" s="62" t="s">
        <v>1320</v>
      </c>
    </row>
    <row r="623" spans="1:10" s="17" customFormat="1" hidden="1">
      <c r="A623" s="62" t="s">
        <v>1321</v>
      </c>
      <c r="B623" s="63" t="s">
        <v>11</v>
      </c>
      <c r="C623" s="61" t="s">
        <v>85</v>
      </c>
      <c r="D623" s="61" t="s">
        <v>1297</v>
      </c>
      <c r="E623" s="61"/>
      <c r="F623" s="61" t="s">
        <v>11</v>
      </c>
      <c r="G623" s="61" t="s">
        <v>86</v>
      </c>
      <c r="H623" s="61"/>
      <c r="I623" s="61"/>
      <c r="J623" s="62" t="s">
        <v>1322</v>
      </c>
    </row>
    <row r="624" spans="1:10" s="17" customFormat="1" hidden="1">
      <c r="A624" s="62" t="s">
        <v>1323</v>
      </c>
      <c r="B624" s="63" t="s">
        <v>11</v>
      </c>
      <c r="C624" s="61" t="s">
        <v>85</v>
      </c>
      <c r="D624" s="61" t="s">
        <v>1297</v>
      </c>
      <c r="E624" s="61"/>
      <c r="F624" s="61" t="s">
        <v>11</v>
      </c>
      <c r="G624" s="61" t="s">
        <v>86</v>
      </c>
      <c r="H624" s="61"/>
      <c r="I624" s="61"/>
      <c r="J624" s="62" t="s">
        <v>1324</v>
      </c>
    </row>
    <row r="625" spans="1:10" s="17" customFormat="1" hidden="1">
      <c r="A625" s="62" t="s">
        <v>1325</v>
      </c>
      <c r="B625" s="63" t="s">
        <v>11</v>
      </c>
      <c r="C625" s="61" t="s">
        <v>85</v>
      </c>
      <c r="D625" s="61" t="s">
        <v>1297</v>
      </c>
      <c r="E625" s="61"/>
      <c r="F625" s="61" t="s">
        <v>11</v>
      </c>
      <c r="G625" s="61" t="s">
        <v>86</v>
      </c>
      <c r="H625" s="61"/>
      <c r="I625" s="61"/>
      <c r="J625" s="62" t="s">
        <v>1326</v>
      </c>
    </row>
    <row r="626" spans="1:10" s="17" customFormat="1" hidden="1">
      <c r="A626" s="62" t="s">
        <v>1327</v>
      </c>
      <c r="B626" s="63" t="s">
        <v>11</v>
      </c>
      <c r="C626" s="61" t="s">
        <v>85</v>
      </c>
      <c r="D626" s="61" t="s">
        <v>1297</v>
      </c>
      <c r="E626" s="61"/>
      <c r="F626" s="61" t="s">
        <v>11</v>
      </c>
      <c r="G626" s="61" t="s">
        <v>86</v>
      </c>
      <c r="H626" s="61"/>
      <c r="I626" s="61"/>
      <c r="J626" s="62" t="s">
        <v>1328</v>
      </c>
    </row>
    <row r="627" spans="1:10" s="17" customFormat="1" hidden="1">
      <c r="A627" s="62" t="s">
        <v>1329</v>
      </c>
      <c r="B627" s="63" t="s">
        <v>11</v>
      </c>
      <c r="C627" s="61" t="s">
        <v>85</v>
      </c>
      <c r="D627" s="61" t="s">
        <v>1297</v>
      </c>
      <c r="E627" s="61"/>
      <c r="F627" s="61" t="s">
        <v>11</v>
      </c>
      <c r="G627" s="61" t="s">
        <v>86</v>
      </c>
      <c r="H627" s="61"/>
      <c r="I627" s="61"/>
      <c r="J627" s="62" t="s">
        <v>1330</v>
      </c>
    </row>
    <row r="628" spans="1:10" s="17" customFormat="1" hidden="1">
      <c r="A628" s="62" t="s">
        <v>1331</v>
      </c>
      <c r="B628" s="63" t="s">
        <v>11</v>
      </c>
      <c r="C628" s="61" t="s">
        <v>85</v>
      </c>
      <c r="D628" s="61" t="s">
        <v>1297</v>
      </c>
      <c r="E628" s="61"/>
      <c r="F628" s="61" t="s">
        <v>11</v>
      </c>
      <c r="G628" s="61" t="s">
        <v>86</v>
      </c>
      <c r="H628" s="61"/>
      <c r="I628" s="61"/>
      <c r="J628" s="62" t="s">
        <v>1332</v>
      </c>
    </row>
    <row r="629" spans="1:10" s="17" customFormat="1" hidden="1">
      <c r="A629" s="62" t="s">
        <v>1333</v>
      </c>
      <c r="B629" s="63" t="s">
        <v>11</v>
      </c>
      <c r="C629" s="61" t="s">
        <v>85</v>
      </c>
      <c r="D629" s="61" t="s">
        <v>1297</v>
      </c>
      <c r="E629" s="61"/>
      <c r="F629" s="61" t="s">
        <v>11</v>
      </c>
      <c r="G629" s="61" t="s">
        <v>86</v>
      </c>
      <c r="H629" s="61"/>
      <c r="I629" s="61"/>
      <c r="J629" s="62" t="s">
        <v>1334</v>
      </c>
    </row>
    <row r="630" spans="1:10" s="17" customFormat="1" hidden="1">
      <c r="A630" s="62" t="s">
        <v>1335</v>
      </c>
      <c r="B630" s="63" t="s">
        <v>11</v>
      </c>
      <c r="C630" s="61" t="s">
        <v>85</v>
      </c>
      <c r="D630" s="61" t="s">
        <v>1297</v>
      </c>
      <c r="E630" s="61"/>
      <c r="F630" s="61" t="s">
        <v>11</v>
      </c>
      <c r="G630" s="61" t="s">
        <v>86</v>
      </c>
      <c r="H630" s="61"/>
      <c r="I630" s="61"/>
      <c r="J630" s="62" t="s">
        <v>1336</v>
      </c>
    </row>
    <row r="631" spans="1:10" s="17" customFormat="1" hidden="1">
      <c r="A631" s="62" t="s">
        <v>1337</v>
      </c>
      <c r="B631" s="63" t="s">
        <v>11</v>
      </c>
      <c r="C631" s="61" t="s">
        <v>85</v>
      </c>
      <c r="D631" s="61" t="s">
        <v>1297</v>
      </c>
      <c r="E631" s="61"/>
      <c r="F631" s="61" t="s">
        <v>11</v>
      </c>
      <c r="G631" s="61" t="s">
        <v>86</v>
      </c>
      <c r="H631" s="61"/>
      <c r="I631" s="61"/>
      <c r="J631" s="62" t="s">
        <v>1338</v>
      </c>
    </row>
    <row r="632" spans="1:10" s="17" customFormat="1" hidden="1">
      <c r="A632" s="62" t="s">
        <v>1339</v>
      </c>
      <c r="B632" s="63" t="s">
        <v>11</v>
      </c>
      <c r="C632" s="61" t="s">
        <v>85</v>
      </c>
      <c r="D632" s="61" t="s">
        <v>1297</v>
      </c>
      <c r="E632" s="61"/>
      <c r="F632" s="61" t="s">
        <v>11</v>
      </c>
      <c r="G632" s="61" t="s">
        <v>86</v>
      </c>
      <c r="H632" s="61"/>
      <c r="I632" s="61"/>
      <c r="J632" s="62" t="s">
        <v>1340</v>
      </c>
    </row>
    <row r="633" spans="1:10" s="17" customFormat="1" hidden="1">
      <c r="A633" s="62" t="s">
        <v>1341</v>
      </c>
      <c r="B633" s="63" t="s">
        <v>11</v>
      </c>
      <c r="C633" s="61" t="s">
        <v>85</v>
      </c>
      <c r="D633" s="61" t="s">
        <v>1297</v>
      </c>
      <c r="E633" s="61"/>
      <c r="F633" s="61" t="s">
        <v>11</v>
      </c>
      <c r="G633" s="61" t="s">
        <v>86</v>
      </c>
      <c r="H633" s="61"/>
      <c r="I633" s="61"/>
      <c r="J633" s="62" t="s">
        <v>1342</v>
      </c>
    </row>
    <row r="634" spans="1:10" s="17" customFormat="1" hidden="1">
      <c r="A634" s="62" t="s">
        <v>1343</v>
      </c>
      <c r="B634" s="63" t="s">
        <v>11</v>
      </c>
      <c r="C634" s="61" t="s">
        <v>85</v>
      </c>
      <c r="D634" s="61" t="s">
        <v>1297</v>
      </c>
      <c r="E634" s="61"/>
      <c r="F634" s="61" t="s">
        <v>11</v>
      </c>
      <c r="G634" s="61" t="s">
        <v>86</v>
      </c>
      <c r="H634" s="61"/>
      <c r="I634" s="61"/>
      <c r="J634" s="62" t="s">
        <v>1344</v>
      </c>
    </row>
    <row r="635" spans="1:10" s="17" customFormat="1" hidden="1">
      <c r="A635" s="62" t="s">
        <v>1345</v>
      </c>
      <c r="B635" s="63" t="s">
        <v>11</v>
      </c>
      <c r="C635" s="61" t="s">
        <v>85</v>
      </c>
      <c r="D635" s="61" t="s">
        <v>1297</v>
      </c>
      <c r="E635" s="61"/>
      <c r="F635" s="61" t="s">
        <v>11</v>
      </c>
      <c r="G635" s="61" t="s">
        <v>86</v>
      </c>
      <c r="H635" s="61"/>
      <c r="I635" s="61"/>
      <c r="J635" s="62" t="s">
        <v>1346</v>
      </c>
    </row>
    <row r="636" spans="1:10" s="17" customFormat="1" hidden="1">
      <c r="A636" s="62" t="s">
        <v>1347</v>
      </c>
      <c r="B636" s="63" t="s">
        <v>11</v>
      </c>
      <c r="C636" s="61" t="s">
        <v>85</v>
      </c>
      <c r="D636" s="61" t="s">
        <v>1297</v>
      </c>
      <c r="E636" s="61"/>
      <c r="F636" s="61" t="s">
        <v>11</v>
      </c>
      <c r="G636" s="61" t="s">
        <v>86</v>
      </c>
      <c r="H636" s="61"/>
      <c r="I636" s="61"/>
      <c r="J636" s="62" t="s">
        <v>1348</v>
      </c>
    </row>
    <row r="637" spans="1:10" s="17" customFormat="1" hidden="1">
      <c r="A637" s="62" t="s">
        <v>1349</v>
      </c>
      <c r="B637" s="63" t="s">
        <v>11</v>
      </c>
      <c r="C637" s="61" t="s">
        <v>14</v>
      </c>
      <c r="D637" s="61"/>
      <c r="E637" s="61"/>
      <c r="F637" s="61" t="s">
        <v>11</v>
      </c>
      <c r="G637" s="61" t="s">
        <v>14</v>
      </c>
      <c r="H637" s="61"/>
      <c r="I637" s="61"/>
      <c r="J637" s="62" t="s">
        <v>1350</v>
      </c>
    </row>
    <row r="638" spans="1:10" s="17" customFormat="1" hidden="1">
      <c r="A638" s="62" t="s">
        <v>1351</v>
      </c>
      <c r="B638" s="63" t="s">
        <v>11</v>
      </c>
      <c r="C638" s="61" t="s">
        <v>14</v>
      </c>
      <c r="D638" s="61" t="s">
        <v>1352</v>
      </c>
      <c r="E638" s="61"/>
      <c r="F638" s="61"/>
      <c r="G638" s="61" t="s">
        <v>504</v>
      </c>
      <c r="H638" s="61"/>
      <c r="I638" s="61"/>
      <c r="J638" s="62" t="s">
        <v>1353</v>
      </c>
    </row>
    <row r="639" spans="1:10" s="17" customFormat="1" hidden="1">
      <c r="A639" s="62" t="s">
        <v>1354</v>
      </c>
      <c r="B639" s="63" t="s">
        <v>11</v>
      </c>
      <c r="C639" s="63" t="s">
        <v>11</v>
      </c>
      <c r="D639" s="61"/>
      <c r="E639" s="61"/>
      <c r="F639" s="61"/>
      <c r="G639" s="61"/>
      <c r="H639" s="61"/>
      <c r="I639" s="61"/>
      <c r="J639" s="62" t="s">
        <v>1355</v>
      </c>
    </row>
    <row r="640" spans="1:10" s="17" customFormat="1" hidden="1">
      <c r="A640" s="62" t="s">
        <v>1356</v>
      </c>
      <c r="B640" s="63" t="s">
        <v>11</v>
      </c>
      <c r="C640" s="61" t="s">
        <v>85</v>
      </c>
      <c r="D640" s="61" t="s">
        <v>1352</v>
      </c>
      <c r="E640" s="61"/>
      <c r="F640" s="61" t="s">
        <v>11</v>
      </c>
      <c r="G640" s="61" t="s">
        <v>86</v>
      </c>
      <c r="H640" s="61"/>
      <c r="I640" s="61"/>
      <c r="J640" s="62" t="s">
        <v>1357</v>
      </c>
    </row>
    <row r="641" spans="1:10" s="17" customFormat="1" hidden="1">
      <c r="A641" s="62" t="s">
        <v>1358</v>
      </c>
      <c r="B641" s="63" t="s">
        <v>11</v>
      </c>
      <c r="C641" s="61" t="s">
        <v>85</v>
      </c>
      <c r="D641" s="61" t="s">
        <v>1352</v>
      </c>
      <c r="E641" s="61"/>
      <c r="F641" s="61" t="s">
        <v>11</v>
      </c>
      <c r="G641" s="61" t="s">
        <v>86</v>
      </c>
      <c r="H641" s="61"/>
      <c r="I641" s="61"/>
      <c r="J641" s="62" t="s">
        <v>1359</v>
      </c>
    </row>
    <row r="642" spans="1:10" s="17" customFormat="1" hidden="1">
      <c r="A642" s="62" t="s">
        <v>1360</v>
      </c>
      <c r="B642" s="63" t="s">
        <v>11</v>
      </c>
      <c r="C642" s="63" t="s">
        <v>11</v>
      </c>
      <c r="D642" s="61" t="s">
        <v>1352</v>
      </c>
      <c r="E642" s="61"/>
      <c r="F642" s="61"/>
      <c r="G642" s="61"/>
      <c r="H642" s="61"/>
      <c r="I642" s="61"/>
      <c r="J642" s="62" t="s">
        <v>1361</v>
      </c>
    </row>
    <row r="643" spans="1:10" s="17" customFormat="1" hidden="1">
      <c r="A643" s="62" t="s">
        <v>1362</v>
      </c>
      <c r="B643" s="63" t="s">
        <v>11</v>
      </c>
      <c r="C643" s="61" t="s">
        <v>85</v>
      </c>
      <c r="D643" s="61"/>
      <c r="E643" s="61"/>
      <c r="F643" s="61" t="s">
        <v>11</v>
      </c>
      <c r="G643" s="61" t="s">
        <v>86</v>
      </c>
      <c r="I643" s="61"/>
      <c r="J643" s="17" t="s">
        <v>1363</v>
      </c>
    </row>
    <row r="644" spans="1:10" s="17" customFormat="1">
      <c r="A644" s="62" t="s">
        <v>1364</v>
      </c>
      <c r="B644" s="63" t="s">
        <v>14</v>
      </c>
      <c r="C644" s="63" t="s">
        <v>14</v>
      </c>
      <c r="D644" s="61" t="s">
        <v>1365</v>
      </c>
      <c r="E644" s="61" t="s">
        <v>14</v>
      </c>
      <c r="F644" s="61"/>
      <c r="G644" s="61"/>
      <c r="H644" s="61"/>
      <c r="I644" s="61"/>
      <c r="J644" s="62" t="s">
        <v>1366</v>
      </c>
    </row>
    <row r="645" spans="1:10" s="17" customFormat="1" hidden="1">
      <c r="A645" s="62" t="s">
        <v>1367</v>
      </c>
      <c r="B645" s="63" t="s">
        <v>11</v>
      </c>
      <c r="C645" s="63" t="s">
        <v>11</v>
      </c>
      <c r="D645" s="61"/>
      <c r="E645" s="61"/>
      <c r="F645" s="61"/>
      <c r="G645" s="61"/>
      <c r="H645" s="61"/>
      <c r="I645" s="61"/>
      <c r="J645" s="62" t="s">
        <v>1368</v>
      </c>
    </row>
    <row r="646" spans="1:10" s="17" customFormat="1" hidden="1">
      <c r="A646" s="62" t="s">
        <v>1369</v>
      </c>
      <c r="B646" s="63" t="s">
        <v>11</v>
      </c>
      <c r="C646" s="63" t="s">
        <v>11</v>
      </c>
      <c r="D646" s="61"/>
      <c r="E646" s="61"/>
      <c r="F646" s="61"/>
      <c r="G646" s="61"/>
      <c r="H646" s="61"/>
      <c r="I646" s="61"/>
      <c r="J646" s="62" t="s">
        <v>1370</v>
      </c>
    </row>
    <row r="647" spans="1:10" s="17" customFormat="1" hidden="1">
      <c r="A647" s="62" t="s">
        <v>1371</v>
      </c>
      <c r="B647" s="63" t="s">
        <v>11</v>
      </c>
      <c r="C647" s="63" t="s">
        <v>11</v>
      </c>
      <c r="D647" s="61"/>
      <c r="E647" s="61"/>
      <c r="F647" s="61"/>
      <c r="G647" s="61"/>
      <c r="H647" s="61"/>
      <c r="I647" s="61"/>
      <c r="J647" s="62" t="s">
        <v>1372</v>
      </c>
    </row>
    <row r="648" spans="1:10" s="17" customFormat="1" hidden="1">
      <c r="A648" s="62" t="s">
        <v>1373</v>
      </c>
      <c r="B648" s="63" t="s">
        <v>11</v>
      </c>
      <c r="C648" s="63" t="s">
        <v>11</v>
      </c>
      <c r="D648" s="61"/>
      <c r="E648" s="61"/>
      <c r="F648" s="61"/>
      <c r="G648" s="61"/>
      <c r="H648" s="61"/>
      <c r="I648" s="61"/>
      <c r="J648" s="62" t="s">
        <v>1374</v>
      </c>
    </row>
    <row r="649" spans="1:10" s="17" customFormat="1" hidden="1">
      <c r="A649" s="62" t="s">
        <v>1375</v>
      </c>
      <c r="B649" s="63" t="s">
        <v>11</v>
      </c>
      <c r="C649" s="63" t="s">
        <v>11</v>
      </c>
      <c r="D649" s="61"/>
      <c r="E649" s="61"/>
      <c r="F649" s="61"/>
      <c r="G649" s="61"/>
      <c r="H649" s="61"/>
      <c r="I649" s="61"/>
      <c r="J649" s="62" t="s">
        <v>1376</v>
      </c>
    </row>
    <row r="650" spans="1:10" s="17" customFormat="1" hidden="1">
      <c r="A650" s="62" t="s">
        <v>1377</v>
      </c>
      <c r="B650" s="63" t="s">
        <v>11</v>
      </c>
      <c r="C650" s="61" t="s">
        <v>85</v>
      </c>
      <c r="D650" s="61" t="s">
        <v>1378</v>
      </c>
      <c r="E650" s="61"/>
      <c r="F650" s="61" t="s">
        <v>86</v>
      </c>
      <c r="G650" s="61" t="s">
        <v>86</v>
      </c>
      <c r="I650" s="61" t="s">
        <v>745</v>
      </c>
      <c r="J650" s="17" t="s">
        <v>1379</v>
      </c>
    </row>
    <row r="651" spans="1:10" s="17" customFormat="1" hidden="1">
      <c r="A651" s="62" t="s">
        <v>1380</v>
      </c>
      <c r="B651" s="63" t="s">
        <v>11</v>
      </c>
      <c r="C651" s="63" t="s">
        <v>11</v>
      </c>
      <c r="D651" s="61"/>
      <c r="E651" s="61"/>
      <c r="F651" s="61"/>
      <c r="G651" s="61"/>
      <c r="H651" s="61"/>
      <c r="I651" s="61"/>
      <c r="J651" s="62" t="s">
        <v>1381</v>
      </c>
    </row>
    <row r="652" spans="1:10" s="17" customFormat="1">
      <c r="A652" s="62" t="s">
        <v>1382</v>
      </c>
      <c r="B652" s="63" t="s">
        <v>11</v>
      </c>
      <c r="C652" s="63" t="s">
        <v>14</v>
      </c>
      <c r="D652" s="61" t="s">
        <v>1383</v>
      </c>
      <c r="E652" s="61" t="s">
        <v>14</v>
      </c>
      <c r="F652" s="61"/>
      <c r="G652" s="61"/>
      <c r="H652" s="61"/>
      <c r="I652" s="61"/>
      <c r="J652" s="62" t="s">
        <v>1384</v>
      </c>
    </row>
    <row r="653" spans="1:10" s="17" customFormat="1" hidden="1">
      <c r="A653" s="62" t="s">
        <v>1385</v>
      </c>
      <c r="B653" s="63" t="s">
        <v>11</v>
      </c>
      <c r="C653" s="61" t="s">
        <v>14</v>
      </c>
      <c r="D653" s="61"/>
      <c r="E653" s="61"/>
      <c r="F653" s="61" t="s">
        <v>14</v>
      </c>
      <c r="G653" s="61"/>
      <c r="I653" s="61" t="s">
        <v>878</v>
      </c>
      <c r="J653" s="17" t="s">
        <v>1386</v>
      </c>
    </row>
    <row r="654" spans="1:10" s="17" customFormat="1" hidden="1">
      <c r="A654" s="62" t="s">
        <v>1387</v>
      </c>
      <c r="B654" s="63" t="s">
        <v>11</v>
      </c>
      <c r="C654" s="61" t="s">
        <v>14</v>
      </c>
      <c r="D654" s="61"/>
      <c r="E654" s="61"/>
      <c r="F654" s="61" t="s">
        <v>14</v>
      </c>
      <c r="G654" s="61"/>
      <c r="I654" s="61" t="s">
        <v>878</v>
      </c>
      <c r="J654" s="17" t="s">
        <v>1388</v>
      </c>
    </row>
    <row r="655" spans="1:10" s="17" customFormat="1" hidden="1">
      <c r="A655" s="62" t="s">
        <v>1389</v>
      </c>
      <c r="B655" s="63" t="s">
        <v>11</v>
      </c>
      <c r="C655" s="61" t="s">
        <v>85</v>
      </c>
      <c r="D655" s="61"/>
      <c r="E655" s="61"/>
      <c r="F655" s="61" t="s">
        <v>86</v>
      </c>
      <c r="G655" s="61" t="s">
        <v>86</v>
      </c>
      <c r="I655" s="61" t="s">
        <v>878</v>
      </c>
      <c r="J655" s="17" t="s">
        <v>1390</v>
      </c>
    </row>
    <row r="656" spans="1:10" s="17" customFormat="1" hidden="1">
      <c r="A656" s="62" t="s">
        <v>1391</v>
      </c>
      <c r="B656" s="63" t="s">
        <v>11</v>
      </c>
      <c r="C656" s="61" t="s">
        <v>85</v>
      </c>
      <c r="D656" s="61"/>
      <c r="E656" s="61"/>
      <c r="F656" s="61" t="s">
        <v>86</v>
      </c>
      <c r="G656" s="61" t="s">
        <v>86</v>
      </c>
      <c r="I656" s="61" t="s">
        <v>878</v>
      </c>
      <c r="J656" s="17" t="s">
        <v>1392</v>
      </c>
    </row>
    <row r="657" spans="1:10" s="17" customFormat="1" hidden="1">
      <c r="A657" s="62" t="s">
        <v>1393</v>
      </c>
      <c r="B657" s="63" t="s">
        <v>11</v>
      </c>
      <c r="C657" s="61" t="s">
        <v>14</v>
      </c>
      <c r="D657" s="61" t="s">
        <v>1394</v>
      </c>
      <c r="E657" s="61"/>
      <c r="F657" s="61" t="s">
        <v>14</v>
      </c>
      <c r="G657" s="61"/>
      <c r="I657" s="61" t="s">
        <v>878</v>
      </c>
      <c r="J657" s="17" t="s">
        <v>1395</v>
      </c>
    </row>
    <row r="658" spans="1:10" s="17" customFormat="1" ht="15.75" hidden="1" thickBot="1">
      <c r="A658" s="62" t="s">
        <v>1396</v>
      </c>
      <c r="B658" s="63" t="s">
        <v>11</v>
      </c>
      <c r="C658" s="61" t="s">
        <v>85</v>
      </c>
      <c r="D658" s="61"/>
      <c r="E658" s="61"/>
      <c r="F658" s="61" t="s">
        <v>86</v>
      </c>
      <c r="G658" s="61" t="s">
        <v>86</v>
      </c>
      <c r="H658" s="61"/>
      <c r="I658" s="61" t="s">
        <v>878</v>
      </c>
      <c r="J658" s="62" t="s">
        <v>1388</v>
      </c>
    </row>
    <row r="659" spans="1:10" s="17" customFormat="1" ht="15.75" thickBot="1">
      <c r="A659" s="62" t="s">
        <v>1397</v>
      </c>
      <c r="B659" s="63" t="s">
        <v>14</v>
      </c>
      <c r="C659" s="63" t="s">
        <v>14</v>
      </c>
      <c r="D659" s="61" t="s">
        <v>1398</v>
      </c>
      <c r="E659" s="61" t="s">
        <v>14</v>
      </c>
      <c r="F659" s="61"/>
      <c r="G659" s="61"/>
      <c r="H659" s="61"/>
      <c r="I659" s="61"/>
      <c r="J659" s="62" t="s">
        <v>1399</v>
      </c>
    </row>
    <row r="660" spans="1:10" s="17" customFormat="1" ht="15.75" thickBot="1">
      <c r="A660" s="62" t="s">
        <v>1400</v>
      </c>
      <c r="B660" s="63" t="s">
        <v>14</v>
      </c>
      <c r="C660" s="63" t="s">
        <v>14</v>
      </c>
      <c r="D660" s="61" t="s">
        <v>1398</v>
      </c>
      <c r="E660" s="61" t="s">
        <v>14</v>
      </c>
      <c r="F660" s="61"/>
      <c r="G660" s="61"/>
      <c r="H660" s="61"/>
      <c r="I660" s="61"/>
      <c r="J660" s="62" t="s">
        <v>1401</v>
      </c>
    </row>
    <row r="661" spans="1:10" s="17" customFormat="1" ht="15.75" thickBot="1">
      <c r="A661" s="62" t="s">
        <v>1402</v>
      </c>
      <c r="B661" s="63" t="s">
        <v>14</v>
      </c>
      <c r="C661" s="63" t="s">
        <v>14</v>
      </c>
      <c r="D661" s="61"/>
      <c r="E661" s="61" t="s">
        <v>14</v>
      </c>
      <c r="F661" s="61"/>
      <c r="G661" s="61"/>
      <c r="H661" s="61" t="s">
        <v>504</v>
      </c>
      <c r="I661" s="61"/>
      <c r="J661" s="62" t="s">
        <v>1100</v>
      </c>
    </row>
    <row r="662" spans="1:10" ht="15.75" thickTop="1">
      <c r="A662" s="43"/>
      <c r="B662" s="55"/>
    </row>
    <row r="663" spans="1:10">
      <c r="B663" s="56"/>
    </row>
    <row r="1048576" spans="5:5">
      <c r="E1048576" s="61"/>
    </row>
  </sheetData>
  <autoFilter ref="A1:J661" xr:uid="{FB5D8292-5EC0-4E6D-824E-40C1A8BACE1C}">
    <filterColumn colId="4">
      <filters>
        <filter val="Ja"/>
      </filters>
    </filterColumn>
    <sortState xmlns:xlrd2="http://schemas.microsoft.com/office/spreadsheetml/2017/richdata2" ref="A2:J661">
      <sortCondition ref="A1:A661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A47A-8D5A-4389-80C1-C395A7909872}">
  <dimension ref="A1"/>
  <sheetViews>
    <sheetView workbookViewId="0"/>
  </sheetViews>
  <sheetFormatPr defaultColWidth="9.140625"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26B0-76C4-4056-A4EE-A81A79BC11E3}">
  <sheetPr codeName="Tabelle2" filterMode="1"/>
  <dimension ref="A1:H217"/>
  <sheetViews>
    <sheetView zoomScaleNormal="100" workbookViewId="0">
      <selection activeCell="A2" sqref="A2"/>
    </sheetView>
  </sheetViews>
  <sheetFormatPr defaultColWidth="11.42578125" defaultRowHeight="15"/>
  <cols>
    <col min="1" max="1" width="34.28515625" style="17" customWidth="1"/>
    <col min="2" max="2" width="10.7109375" style="17" customWidth="1"/>
    <col min="3" max="3" width="12.42578125" style="17" bestFit="1" customWidth="1"/>
    <col min="4" max="4" width="15.28515625" style="14" bestFit="1" customWidth="1"/>
    <col min="5" max="5" width="10" style="14" customWidth="1"/>
    <col min="6" max="6" width="11.7109375" style="14" customWidth="1"/>
    <col min="7" max="7" width="30.5703125" style="17" bestFit="1" customWidth="1"/>
    <col min="8" max="8" width="22.7109375" style="17" customWidth="1"/>
    <col min="9" max="16" width="11.42578125" style="17"/>
    <col min="17" max="17" width="12.5703125" style="17" customWidth="1"/>
    <col min="18" max="16384" width="11.42578125" style="17"/>
  </cols>
  <sheetData>
    <row r="1" spans="1:7" s="14" customFormat="1" ht="47.25">
      <c r="A1" s="68" t="s">
        <v>1403</v>
      </c>
      <c r="B1" s="68" t="s">
        <v>1404</v>
      </c>
      <c r="C1" s="69" t="s">
        <v>1405</v>
      </c>
      <c r="D1" s="69" t="s">
        <v>1406</v>
      </c>
      <c r="E1" s="68" t="s">
        <v>1407</v>
      </c>
      <c r="F1" s="69" t="s">
        <v>1408</v>
      </c>
      <c r="G1" s="70" t="s">
        <v>1409</v>
      </c>
    </row>
    <row r="2" spans="1:7">
      <c r="A2" s="15" t="s">
        <v>1034</v>
      </c>
      <c r="B2" s="15" t="s">
        <v>1035</v>
      </c>
      <c r="C2" s="15"/>
      <c r="D2" s="16" t="s">
        <v>504</v>
      </c>
      <c r="E2" s="15"/>
      <c r="F2" s="15"/>
      <c r="G2" s="15" t="s">
        <v>1410</v>
      </c>
    </row>
    <row r="3" spans="1:7">
      <c r="A3" s="15" t="s">
        <v>1045</v>
      </c>
      <c r="B3" s="15" t="s">
        <v>1035</v>
      </c>
      <c r="C3" s="15"/>
      <c r="D3" s="16" t="s">
        <v>504</v>
      </c>
      <c r="E3" s="15"/>
      <c r="F3" s="15"/>
      <c r="G3" s="15" t="s">
        <v>1410</v>
      </c>
    </row>
    <row r="4" spans="1:7">
      <c r="A4" s="15" t="s">
        <v>1041</v>
      </c>
      <c r="B4" s="15" t="s">
        <v>1035</v>
      </c>
      <c r="C4" s="15"/>
      <c r="D4" s="16" t="s">
        <v>504</v>
      </c>
      <c r="E4" s="15"/>
      <c r="F4" s="15"/>
      <c r="G4" s="15" t="s">
        <v>1410</v>
      </c>
    </row>
    <row r="5" spans="1:7">
      <c r="A5" s="15" t="s">
        <v>1043</v>
      </c>
      <c r="B5" s="15" t="s">
        <v>1035</v>
      </c>
      <c r="C5" s="15"/>
      <c r="D5" s="16" t="s">
        <v>504</v>
      </c>
      <c r="E5" s="15"/>
      <c r="F5" s="15"/>
      <c r="G5" s="15" t="s">
        <v>1410</v>
      </c>
    </row>
    <row r="6" spans="1:7">
      <c r="A6" s="18" t="s">
        <v>1002</v>
      </c>
      <c r="B6" s="18" t="s">
        <v>1003</v>
      </c>
      <c r="C6" s="18"/>
      <c r="D6" s="19" t="s">
        <v>504</v>
      </c>
      <c r="E6" s="18"/>
      <c r="F6" s="18"/>
      <c r="G6" s="18" t="s">
        <v>1411</v>
      </c>
    </row>
    <row r="7" spans="1:7">
      <c r="A7" s="18" t="s">
        <v>1005</v>
      </c>
      <c r="B7" s="18" t="s">
        <v>1003</v>
      </c>
      <c r="C7" s="18"/>
      <c r="D7" s="19" t="s">
        <v>504</v>
      </c>
      <c r="E7" s="18"/>
      <c r="F7" s="18" t="s">
        <v>504</v>
      </c>
      <c r="G7" s="18" t="s">
        <v>1411</v>
      </c>
    </row>
    <row r="8" spans="1:7">
      <c r="A8" s="18" t="s">
        <v>1007</v>
      </c>
      <c r="B8" s="18" t="s">
        <v>1003</v>
      </c>
      <c r="C8" s="18"/>
      <c r="D8" s="19" t="s">
        <v>504</v>
      </c>
      <c r="E8" s="18"/>
      <c r="F8" s="18"/>
      <c r="G8" s="18" t="s">
        <v>1411</v>
      </c>
    </row>
    <row r="9" spans="1:7">
      <c r="A9" s="18" t="s">
        <v>1009</v>
      </c>
      <c r="B9" s="18" t="s">
        <v>1003</v>
      </c>
      <c r="C9" s="18"/>
      <c r="D9" s="19" t="s">
        <v>504</v>
      </c>
      <c r="E9" s="18"/>
      <c r="F9" s="18" t="s">
        <v>504</v>
      </c>
      <c r="G9" s="18" t="s">
        <v>1411</v>
      </c>
    </row>
    <row r="10" spans="1:7">
      <c r="A10" s="18" t="s">
        <v>1011</v>
      </c>
      <c r="B10" s="18" t="s">
        <v>1003</v>
      </c>
      <c r="C10" s="18"/>
      <c r="D10" s="19" t="s">
        <v>504</v>
      </c>
      <c r="E10" s="18"/>
      <c r="F10" s="18" t="s">
        <v>504</v>
      </c>
      <c r="G10" s="18" t="s">
        <v>1411</v>
      </c>
    </row>
    <row r="11" spans="1:7">
      <c r="A11" s="18" t="s">
        <v>1013</v>
      </c>
      <c r="B11" s="18" t="s">
        <v>1003</v>
      </c>
      <c r="C11" s="18"/>
      <c r="D11" s="19" t="s">
        <v>504</v>
      </c>
      <c r="E11" s="18"/>
      <c r="F11" s="18"/>
      <c r="G11" s="18" t="s">
        <v>1411</v>
      </c>
    </row>
    <row r="12" spans="1:7">
      <c r="A12" s="18" t="s">
        <v>1017</v>
      </c>
      <c r="B12" s="18" t="s">
        <v>1003</v>
      </c>
      <c r="C12" s="18"/>
      <c r="D12" s="19" t="s">
        <v>504</v>
      </c>
      <c r="E12" s="18"/>
      <c r="F12" s="18" t="s">
        <v>504</v>
      </c>
      <c r="G12" s="18" t="s">
        <v>1411</v>
      </c>
    </row>
    <row r="13" spans="1:7">
      <c r="A13" s="20" t="s">
        <v>1019</v>
      </c>
      <c r="B13" s="20" t="s">
        <v>1003</v>
      </c>
      <c r="C13" s="20"/>
      <c r="D13" s="19" t="s">
        <v>504</v>
      </c>
      <c r="E13" s="20"/>
      <c r="F13" s="20" t="s">
        <v>504</v>
      </c>
      <c r="G13" s="18" t="s">
        <v>1411</v>
      </c>
    </row>
    <row r="14" spans="1:7">
      <c r="A14" s="20" t="s">
        <v>1021</v>
      </c>
      <c r="B14" s="20" t="s">
        <v>1003</v>
      </c>
      <c r="C14" s="20"/>
      <c r="D14" s="19" t="s">
        <v>504</v>
      </c>
      <c r="E14" s="20"/>
      <c r="F14" s="20"/>
      <c r="G14" s="18" t="s">
        <v>1411</v>
      </c>
    </row>
    <row r="15" spans="1:7">
      <c r="A15" s="18" t="s">
        <v>1023</v>
      </c>
      <c r="B15" s="18" t="s">
        <v>1003</v>
      </c>
      <c r="C15" s="18"/>
      <c r="D15" s="19" t="s">
        <v>504</v>
      </c>
      <c r="E15" s="18"/>
      <c r="F15" s="18" t="s">
        <v>504</v>
      </c>
      <c r="G15" s="18" t="s">
        <v>1411</v>
      </c>
    </row>
    <row r="16" spans="1:7">
      <c r="A16" s="18" t="s">
        <v>1412</v>
      </c>
      <c r="B16" s="18" t="s">
        <v>1003</v>
      </c>
      <c r="C16" s="18"/>
      <c r="D16" s="19"/>
      <c r="E16" s="18"/>
      <c r="F16" s="18" t="s">
        <v>504</v>
      </c>
      <c r="G16" s="18" t="s">
        <v>1411</v>
      </c>
    </row>
    <row r="17" spans="1:7">
      <c r="A17" s="15" t="s">
        <v>1413</v>
      </c>
      <c r="B17" s="15" t="s">
        <v>995</v>
      </c>
      <c r="C17" s="15"/>
      <c r="D17" s="16" t="s">
        <v>504</v>
      </c>
      <c r="E17" s="15"/>
      <c r="F17" s="15"/>
      <c r="G17" s="15" t="s">
        <v>1414</v>
      </c>
    </row>
    <row r="18" spans="1:7">
      <c r="A18" s="15" t="s">
        <v>1037</v>
      </c>
      <c r="B18" s="15" t="s">
        <v>995</v>
      </c>
      <c r="C18" s="15"/>
      <c r="D18" s="16" t="s">
        <v>504</v>
      </c>
      <c r="E18" s="15"/>
      <c r="F18" s="15"/>
      <c r="G18" s="15" t="s">
        <v>1414</v>
      </c>
    </row>
    <row r="19" spans="1:7">
      <c r="A19" s="15" t="s">
        <v>994</v>
      </c>
      <c r="B19" s="15" t="s">
        <v>995</v>
      </c>
      <c r="C19" s="15"/>
      <c r="D19" s="16" t="s">
        <v>504</v>
      </c>
      <c r="E19" s="15"/>
      <c r="F19" s="15"/>
      <c r="G19" s="15" t="s">
        <v>1414</v>
      </c>
    </row>
    <row r="20" spans="1:7">
      <c r="A20" s="15" t="s">
        <v>1039</v>
      </c>
      <c r="B20" s="15" t="s">
        <v>995</v>
      </c>
      <c r="C20" s="15"/>
      <c r="D20" s="16" t="s">
        <v>504</v>
      </c>
      <c r="E20" s="15"/>
      <c r="F20" s="15"/>
      <c r="G20" s="15" t="s">
        <v>1414</v>
      </c>
    </row>
    <row r="21" spans="1:7">
      <c r="A21" s="15" t="s">
        <v>1415</v>
      </c>
      <c r="B21" s="15" t="s">
        <v>995</v>
      </c>
      <c r="C21" s="15"/>
      <c r="D21" s="16"/>
      <c r="E21" s="15"/>
      <c r="F21" s="15"/>
      <c r="G21" s="15" t="s">
        <v>1414</v>
      </c>
    </row>
    <row r="22" spans="1:7" hidden="1">
      <c r="A22" s="18" t="s">
        <v>683</v>
      </c>
      <c r="B22" s="18" t="s">
        <v>1416</v>
      </c>
      <c r="C22" s="18"/>
      <c r="D22" s="19"/>
      <c r="E22" s="19" t="s">
        <v>504</v>
      </c>
      <c r="F22" s="19"/>
      <c r="G22" s="18"/>
    </row>
    <row r="23" spans="1:7">
      <c r="A23" s="18" t="s">
        <v>1417</v>
      </c>
      <c r="B23" s="18" t="s">
        <v>1418</v>
      </c>
      <c r="C23" s="18"/>
      <c r="D23" s="19"/>
      <c r="E23" s="18"/>
      <c r="F23" s="18"/>
      <c r="G23" s="18"/>
    </row>
    <row r="24" spans="1:7">
      <c r="A24" s="15" t="s">
        <v>1419</v>
      </c>
      <c r="B24" s="15" t="s">
        <v>1198</v>
      </c>
      <c r="C24" s="15"/>
      <c r="D24" s="16" t="s">
        <v>504</v>
      </c>
      <c r="E24" s="15"/>
      <c r="F24" s="15"/>
      <c r="G24" s="15"/>
    </row>
    <row r="25" spans="1:7" s="25" customFormat="1" hidden="1">
      <c r="A25" s="21" t="s">
        <v>1420</v>
      </c>
      <c r="B25" s="21" t="s">
        <v>359</v>
      </c>
      <c r="C25" s="21"/>
      <c r="D25" s="22" t="s">
        <v>504</v>
      </c>
      <c r="E25" s="23" t="s">
        <v>504</v>
      </c>
      <c r="F25" s="23" t="s">
        <v>504</v>
      </c>
      <c r="G25" s="24" t="s">
        <v>1421</v>
      </c>
    </row>
    <row r="26" spans="1:7" hidden="1">
      <c r="A26" s="18" t="s">
        <v>1422</v>
      </c>
      <c r="B26" s="18" t="s">
        <v>359</v>
      </c>
      <c r="C26" s="18"/>
      <c r="D26" s="19" t="s">
        <v>504</v>
      </c>
      <c r="E26" s="19" t="s">
        <v>504</v>
      </c>
      <c r="F26" s="19"/>
      <c r="G26" s="18" t="s">
        <v>1421</v>
      </c>
    </row>
    <row r="27" spans="1:7" hidden="1">
      <c r="A27" s="18" t="s">
        <v>1423</v>
      </c>
      <c r="B27" s="18" t="s">
        <v>653</v>
      </c>
      <c r="C27" s="18"/>
      <c r="D27" s="19" t="s">
        <v>504</v>
      </c>
      <c r="E27" s="19" t="s">
        <v>504</v>
      </c>
      <c r="F27" s="19"/>
      <c r="G27" s="18" t="s">
        <v>1424</v>
      </c>
    </row>
    <row r="28" spans="1:7" hidden="1">
      <c r="A28" s="18" t="s">
        <v>1425</v>
      </c>
      <c r="B28" s="18" t="s">
        <v>653</v>
      </c>
      <c r="C28" s="18"/>
      <c r="D28" s="19" t="s">
        <v>504</v>
      </c>
      <c r="E28" s="19" t="s">
        <v>504</v>
      </c>
      <c r="F28" s="19"/>
      <c r="G28" s="18" t="s">
        <v>1424</v>
      </c>
    </row>
    <row r="29" spans="1:7" hidden="1">
      <c r="A29" s="18" t="s">
        <v>662</v>
      </c>
      <c r="B29" s="18" t="s">
        <v>653</v>
      </c>
      <c r="C29" s="18"/>
      <c r="D29" s="19" t="s">
        <v>504</v>
      </c>
      <c r="E29" s="19" t="s">
        <v>504</v>
      </c>
      <c r="F29" s="19"/>
      <c r="G29" s="18" t="s">
        <v>1424</v>
      </c>
    </row>
    <row r="30" spans="1:7" hidden="1">
      <c r="A30" s="18" t="s">
        <v>664</v>
      </c>
      <c r="B30" s="18" t="s">
        <v>653</v>
      </c>
      <c r="C30" s="18"/>
      <c r="D30" s="19" t="s">
        <v>504</v>
      </c>
      <c r="E30" s="19" t="s">
        <v>504</v>
      </c>
      <c r="F30" s="19"/>
      <c r="G30" s="18" t="s">
        <v>1424</v>
      </c>
    </row>
    <row r="31" spans="1:7" hidden="1">
      <c r="A31" s="18" t="s">
        <v>1426</v>
      </c>
      <c r="B31" s="18" t="s">
        <v>653</v>
      </c>
      <c r="C31" s="18"/>
      <c r="D31" s="19" t="s">
        <v>504</v>
      </c>
      <c r="E31" s="19" t="s">
        <v>504</v>
      </c>
      <c r="F31" s="19"/>
      <c r="G31" s="18" t="s">
        <v>1424</v>
      </c>
    </row>
    <row r="32" spans="1:7" hidden="1">
      <c r="A32" s="18" t="s">
        <v>1427</v>
      </c>
      <c r="B32" s="18" t="s">
        <v>653</v>
      </c>
      <c r="C32" s="18"/>
      <c r="D32" s="19" t="s">
        <v>504</v>
      </c>
      <c r="E32" s="19" t="s">
        <v>504</v>
      </c>
      <c r="F32" s="19"/>
      <c r="G32" s="18" t="s">
        <v>1424</v>
      </c>
    </row>
    <row r="33" spans="1:7" hidden="1">
      <c r="A33" s="18" t="s">
        <v>1428</v>
      </c>
      <c r="B33" s="18" t="s">
        <v>669</v>
      </c>
      <c r="C33" s="18"/>
      <c r="D33" s="19" t="s">
        <v>504</v>
      </c>
      <c r="E33" s="19" t="s">
        <v>504</v>
      </c>
      <c r="F33" s="19"/>
      <c r="G33" s="18" t="s">
        <v>1424</v>
      </c>
    </row>
    <row r="34" spans="1:7" hidden="1">
      <c r="A34" s="18" t="s">
        <v>1429</v>
      </c>
      <c r="B34" s="18" t="s">
        <v>421</v>
      </c>
      <c r="C34" s="18"/>
      <c r="D34" s="19" t="s">
        <v>504</v>
      </c>
      <c r="E34" s="19" t="s">
        <v>504</v>
      </c>
      <c r="F34" s="19"/>
      <c r="G34" s="18" t="s">
        <v>1424</v>
      </c>
    </row>
    <row r="35" spans="1:7" hidden="1">
      <c r="A35" s="18" t="s">
        <v>1430</v>
      </c>
      <c r="B35" s="18" t="s">
        <v>421</v>
      </c>
      <c r="C35" s="18"/>
      <c r="D35" s="19" t="s">
        <v>504</v>
      </c>
      <c r="E35" s="19" t="s">
        <v>504</v>
      </c>
      <c r="F35" s="19"/>
      <c r="G35" s="18" t="s">
        <v>1424</v>
      </c>
    </row>
    <row r="36" spans="1:7" hidden="1">
      <c r="A36" s="18" t="s">
        <v>1431</v>
      </c>
      <c r="B36" s="18" t="s">
        <v>421</v>
      </c>
      <c r="C36" s="18"/>
      <c r="D36" s="19" t="s">
        <v>504</v>
      </c>
      <c r="E36" s="19" t="s">
        <v>504</v>
      </c>
      <c r="F36" s="19"/>
      <c r="G36" s="18" t="s">
        <v>1424</v>
      </c>
    </row>
    <row r="37" spans="1:7" hidden="1">
      <c r="A37" s="18" t="s">
        <v>1432</v>
      </c>
      <c r="B37" s="18" t="s">
        <v>421</v>
      </c>
      <c r="C37" s="18"/>
      <c r="D37" s="19" t="s">
        <v>504</v>
      </c>
      <c r="E37" s="19" t="s">
        <v>504</v>
      </c>
      <c r="F37" s="19"/>
      <c r="G37" s="18" t="s">
        <v>1424</v>
      </c>
    </row>
    <row r="38" spans="1:7" hidden="1">
      <c r="A38" s="18" t="s">
        <v>1433</v>
      </c>
      <c r="B38" s="18" t="s">
        <v>557</v>
      </c>
      <c r="C38" s="18"/>
      <c r="D38" s="19" t="s">
        <v>504</v>
      </c>
      <c r="E38" s="19" t="s">
        <v>504</v>
      </c>
      <c r="F38" s="19" t="s">
        <v>504</v>
      </c>
      <c r="G38" s="18" t="s">
        <v>1424</v>
      </c>
    </row>
    <row r="39" spans="1:7" hidden="1">
      <c r="A39" s="18" t="s">
        <v>1434</v>
      </c>
      <c r="B39" s="18" t="s">
        <v>557</v>
      </c>
      <c r="C39" s="18"/>
      <c r="D39" s="19" t="s">
        <v>504</v>
      </c>
      <c r="E39" s="19" t="s">
        <v>504</v>
      </c>
      <c r="F39" s="19" t="s">
        <v>504</v>
      </c>
      <c r="G39" s="18" t="s">
        <v>1424</v>
      </c>
    </row>
    <row r="40" spans="1:7" hidden="1">
      <c r="A40" s="18" t="s">
        <v>1435</v>
      </c>
      <c r="B40" s="18" t="s">
        <v>557</v>
      </c>
      <c r="C40" s="18"/>
      <c r="D40" s="19" t="s">
        <v>504</v>
      </c>
      <c r="E40" s="19" t="s">
        <v>504</v>
      </c>
      <c r="F40" s="19" t="s">
        <v>504</v>
      </c>
      <c r="G40" s="18" t="s">
        <v>1424</v>
      </c>
    </row>
    <row r="41" spans="1:7" hidden="1">
      <c r="A41" s="18" t="s">
        <v>1436</v>
      </c>
      <c r="B41" s="18" t="s">
        <v>557</v>
      </c>
      <c r="C41" s="18"/>
      <c r="D41" s="19" t="s">
        <v>504</v>
      </c>
      <c r="E41" s="19" t="s">
        <v>504</v>
      </c>
      <c r="F41" s="19" t="s">
        <v>504</v>
      </c>
      <c r="G41" s="18" t="s">
        <v>1424</v>
      </c>
    </row>
    <row r="42" spans="1:7" hidden="1">
      <c r="A42" s="18" t="s">
        <v>1437</v>
      </c>
      <c r="B42" s="18" t="s">
        <v>557</v>
      </c>
      <c r="C42" s="18"/>
      <c r="D42" s="19" t="s">
        <v>504</v>
      </c>
      <c r="E42" s="19" t="s">
        <v>504</v>
      </c>
      <c r="F42" s="19" t="s">
        <v>504</v>
      </c>
      <c r="G42" s="18" t="s">
        <v>1424</v>
      </c>
    </row>
    <row r="43" spans="1:7" hidden="1">
      <c r="A43" s="18" t="s">
        <v>556</v>
      </c>
      <c r="B43" s="18" t="s">
        <v>557</v>
      </c>
      <c r="C43" s="18"/>
      <c r="D43" s="19" t="s">
        <v>504</v>
      </c>
      <c r="E43" s="19" t="s">
        <v>504</v>
      </c>
      <c r="F43" s="19" t="s">
        <v>504</v>
      </c>
      <c r="G43" s="18" t="s">
        <v>1424</v>
      </c>
    </row>
    <row r="44" spans="1:7" hidden="1">
      <c r="A44" s="18" t="s">
        <v>565</v>
      </c>
      <c r="B44" s="18" t="s">
        <v>557</v>
      </c>
      <c r="C44" s="18"/>
      <c r="D44" s="19" t="s">
        <v>504</v>
      </c>
      <c r="E44" s="19" t="s">
        <v>504</v>
      </c>
      <c r="F44" s="19" t="s">
        <v>504</v>
      </c>
      <c r="G44" s="18" t="s">
        <v>1424</v>
      </c>
    </row>
    <row r="45" spans="1:7" hidden="1">
      <c r="A45" s="18" t="s">
        <v>1438</v>
      </c>
      <c r="B45" s="18" t="s">
        <v>563</v>
      </c>
      <c r="C45" s="18"/>
      <c r="D45" s="19" t="s">
        <v>504</v>
      </c>
      <c r="E45" s="19" t="s">
        <v>504</v>
      </c>
      <c r="F45" s="19" t="s">
        <v>504</v>
      </c>
      <c r="G45" s="18" t="s">
        <v>1424</v>
      </c>
    </row>
    <row r="46" spans="1:7" hidden="1">
      <c r="A46" s="18" t="s">
        <v>1439</v>
      </c>
      <c r="B46" s="18" t="s">
        <v>554</v>
      </c>
      <c r="C46" s="18"/>
      <c r="D46" s="19" t="s">
        <v>504</v>
      </c>
      <c r="E46" s="19" t="s">
        <v>504</v>
      </c>
      <c r="F46" s="19" t="s">
        <v>504</v>
      </c>
      <c r="G46" s="18" t="s">
        <v>1424</v>
      </c>
    </row>
    <row r="47" spans="1:7" hidden="1">
      <c r="A47" s="18" t="s">
        <v>1440</v>
      </c>
      <c r="B47" s="18" t="s">
        <v>568</v>
      </c>
      <c r="C47" s="18"/>
      <c r="D47" s="19" t="s">
        <v>504</v>
      </c>
      <c r="E47" s="19" t="s">
        <v>504</v>
      </c>
      <c r="F47" s="19" t="s">
        <v>504</v>
      </c>
      <c r="G47" s="18" t="s">
        <v>1424</v>
      </c>
    </row>
    <row r="48" spans="1:7" hidden="1">
      <c r="A48" s="18" t="s">
        <v>1441</v>
      </c>
      <c r="B48" s="18" t="s">
        <v>568</v>
      </c>
      <c r="C48" s="18"/>
      <c r="D48" s="19" t="s">
        <v>504</v>
      </c>
      <c r="E48" s="19" t="s">
        <v>504</v>
      </c>
      <c r="F48" s="19" t="s">
        <v>504</v>
      </c>
      <c r="G48" s="18" t="s">
        <v>1424</v>
      </c>
    </row>
    <row r="49" spans="1:7" hidden="1">
      <c r="A49" s="18" t="s">
        <v>1442</v>
      </c>
      <c r="B49" s="18" t="s">
        <v>568</v>
      </c>
      <c r="C49" s="18"/>
      <c r="D49" s="19" t="s">
        <v>504</v>
      </c>
      <c r="E49" s="19" t="s">
        <v>504</v>
      </c>
      <c r="F49" s="19" t="s">
        <v>504</v>
      </c>
      <c r="G49" s="18" t="s">
        <v>1424</v>
      </c>
    </row>
    <row r="50" spans="1:7" hidden="1">
      <c r="A50" s="18" t="s">
        <v>1443</v>
      </c>
      <c r="B50" s="18" t="s">
        <v>568</v>
      </c>
      <c r="C50" s="18"/>
      <c r="D50" s="19" t="s">
        <v>504</v>
      </c>
      <c r="E50" s="19" t="s">
        <v>504</v>
      </c>
      <c r="F50" s="19" t="s">
        <v>504</v>
      </c>
      <c r="G50" s="18" t="s">
        <v>1424</v>
      </c>
    </row>
    <row r="51" spans="1:7" hidden="1">
      <c r="A51" s="18" t="s">
        <v>570</v>
      </c>
      <c r="B51" s="18" t="s">
        <v>568</v>
      </c>
      <c r="C51" s="18"/>
      <c r="D51" s="19" t="s">
        <v>504</v>
      </c>
      <c r="E51" s="19" t="s">
        <v>504</v>
      </c>
      <c r="F51" s="19" t="s">
        <v>504</v>
      </c>
      <c r="G51" s="18" t="s">
        <v>1424</v>
      </c>
    </row>
    <row r="52" spans="1:7" hidden="1">
      <c r="A52" s="18" t="s">
        <v>574</v>
      </c>
      <c r="B52" s="18" t="s">
        <v>568</v>
      </c>
      <c r="C52" s="18"/>
      <c r="D52" s="19" t="s">
        <v>504</v>
      </c>
      <c r="E52" s="19" t="s">
        <v>504</v>
      </c>
      <c r="F52" s="19" t="s">
        <v>504</v>
      </c>
      <c r="G52" s="18" t="s">
        <v>1424</v>
      </c>
    </row>
    <row r="53" spans="1:7" hidden="1">
      <c r="A53" s="18" t="s">
        <v>578</v>
      </c>
      <c r="B53" s="18" t="s">
        <v>568</v>
      </c>
      <c r="C53" s="18"/>
      <c r="D53" s="19" t="s">
        <v>504</v>
      </c>
      <c r="E53" s="19" t="s">
        <v>504</v>
      </c>
      <c r="F53" s="19" t="s">
        <v>504</v>
      </c>
      <c r="G53" s="18" t="s">
        <v>1424</v>
      </c>
    </row>
    <row r="54" spans="1:7" hidden="1">
      <c r="A54" s="18" t="s">
        <v>581</v>
      </c>
      <c r="B54" s="18" t="s">
        <v>568</v>
      </c>
      <c r="C54" s="18"/>
      <c r="D54" s="19" t="s">
        <v>504</v>
      </c>
      <c r="E54" s="19" t="s">
        <v>504</v>
      </c>
      <c r="F54" s="19" t="s">
        <v>504</v>
      </c>
      <c r="G54" s="18" t="s">
        <v>1424</v>
      </c>
    </row>
    <row r="55" spans="1:7" hidden="1">
      <c r="A55" s="18" t="s">
        <v>857</v>
      </c>
      <c r="B55" s="18" t="s">
        <v>568</v>
      </c>
      <c r="C55" s="18"/>
      <c r="D55" s="19" t="s">
        <v>504</v>
      </c>
      <c r="E55" s="19" t="s">
        <v>504</v>
      </c>
      <c r="F55" s="19" t="s">
        <v>504</v>
      </c>
      <c r="G55" s="18" t="s">
        <v>1424</v>
      </c>
    </row>
    <row r="56" spans="1:7" hidden="1">
      <c r="A56" s="18" t="s">
        <v>558</v>
      </c>
      <c r="B56" s="18" t="s">
        <v>568</v>
      </c>
      <c r="C56" s="18"/>
      <c r="D56" s="19" t="s">
        <v>504</v>
      </c>
      <c r="E56" s="19" t="s">
        <v>504</v>
      </c>
      <c r="F56" s="19" t="s">
        <v>504</v>
      </c>
      <c r="G56" s="18" t="s">
        <v>1424</v>
      </c>
    </row>
    <row r="57" spans="1:7" hidden="1">
      <c r="A57" s="18" t="s">
        <v>1444</v>
      </c>
      <c r="B57" s="17" t="s">
        <v>568</v>
      </c>
      <c r="D57" s="26" t="s">
        <v>504</v>
      </c>
      <c r="E57" s="19" t="s">
        <v>504</v>
      </c>
      <c r="F57" s="19" t="s">
        <v>504</v>
      </c>
      <c r="G57" s="18" t="s">
        <v>1424</v>
      </c>
    </row>
    <row r="58" spans="1:7">
      <c r="A58" s="18" t="s">
        <v>1027</v>
      </c>
      <c r="B58" s="18" t="s">
        <v>1028</v>
      </c>
      <c r="C58" s="18"/>
      <c r="D58" s="19" t="s">
        <v>504</v>
      </c>
      <c r="E58" s="18"/>
      <c r="F58" s="18"/>
      <c r="G58" s="18" t="s">
        <v>1445</v>
      </c>
    </row>
    <row r="59" spans="1:7">
      <c r="A59" s="18" t="s">
        <v>1030</v>
      </c>
      <c r="B59" s="18" t="s">
        <v>1028</v>
      </c>
      <c r="C59" s="18"/>
      <c r="D59" s="19" t="s">
        <v>504</v>
      </c>
      <c r="E59" s="18"/>
      <c r="F59" s="18"/>
      <c r="G59" s="18" t="s">
        <v>1445</v>
      </c>
    </row>
    <row r="60" spans="1:7">
      <c r="A60" s="18" t="s">
        <v>1446</v>
      </c>
      <c r="B60" s="18" t="s">
        <v>1028</v>
      </c>
      <c r="C60" s="18"/>
      <c r="D60" s="19"/>
      <c r="E60" s="18"/>
      <c r="F60" s="18"/>
      <c r="G60" s="18" t="s">
        <v>1445</v>
      </c>
    </row>
    <row r="61" spans="1:7">
      <c r="A61" s="18" t="s">
        <v>1447</v>
      </c>
      <c r="B61" s="18" t="s">
        <v>1028</v>
      </c>
      <c r="C61" s="18"/>
      <c r="D61" s="19"/>
      <c r="E61" s="18"/>
      <c r="F61" s="18"/>
      <c r="G61" s="18" t="s">
        <v>1445</v>
      </c>
    </row>
    <row r="62" spans="1:7">
      <c r="A62" s="27" t="s">
        <v>1448</v>
      </c>
      <c r="B62" s="27" t="s">
        <v>1028</v>
      </c>
      <c r="C62" s="27"/>
      <c r="D62" s="19"/>
      <c r="E62" s="27"/>
      <c r="F62" s="27"/>
      <c r="G62" s="18" t="s">
        <v>1445</v>
      </c>
    </row>
    <row r="63" spans="1:7">
      <c r="A63" s="18" t="s">
        <v>1449</v>
      </c>
      <c r="B63" s="18" t="s">
        <v>1028</v>
      </c>
      <c r="C63" s="18"/>
      <c r="D63" s="19"/>
      <c r="E63" s="18"/>
      <c r="F63" s="18"/>
      <c r="G63" s="18" t="s">
        <v>1445</v>
      </c>
    </row>
    <row r="64" spans="1:7">
      <c r="A64" s="27" t="s">
        <v>1450</v>
      </c>
      <c r="B64" s="27" t="s">
        <v>1028</v>
      </c>
      <c r="C64" s="27"/>
      <c r="D64" s="19"/>
      <c r="E64" s="27"/>
      <c r="F64" s="27"/>
      <c r="G64" s="18" t="s">
        <v>1445</v>
      </c>
    </row>
    <row r="65" spans="1:8">
      <c r="A65" s="18" t="s">
        <v>1170</v>
      </c>
      <c r="B65" s="18" t="s">
        <v>1028</v>
      </c>
      <c r="C65" s="18"/>
      <c r="D65" s="19" t="s">
        <v>504</v>
      </c>
      <c r="E65" s="18"/>
      <c r="F65" s="18"/>
      <c r="G65" s="18" t="s">
        <v>1445</v>
      </c>
    </row>
    <row r="66" spans="1:8">
      <c r="A66" s="18" t="s">
        <v>1172</v>
      </c>
      <c r="B66" s="18" t="s">
        <v>1028</v>
      </c>
      <c r="C66" s="18"/>
      <c r="D66" s="19" t="s">
        <v>504</v>
      </c>
      <c r="E66" s="18"/>
      <c r="F66" s="18"/>
      <c r="G66" s="18" t="s">
        <v>1445</v>
      </c>
    </row>
    <row r="67" spans="1:8">
      <c r="A67" s="18" t="s">
        <v>1174</v>
      </c>
      <c r="B67" s="18" t="s">
        <v>1028</v>
      </c>
      <c r="C67" s="18"/>
      <c r="D67" s="19" t="s">
        <v>504</v>
      </c>
      <c r="E67" s="18"/>
      <c r="F67" s="18"/>
      <c r="G67" s="18" t="s">
        <v>1445</v>
      </c>
    </row>
    <row r="68" spans="1:8">
      <c r="A68" s="18" t="s">
        <v>1176</v>
      </c>
      <c r="B68" s="18" t="s">
        <v>1028</v>
      </c>
      <c r="C68" s="18"/>
      <c r="D68" s="19" t="s">
        <v>504</v>
      </c>
      <c r="E68" s="18"/>
      <c r="F68" s="18"/>
      <c r="G68" s="18" t="s">
        <v>1445</v>
      </c>
    </row>
    <row r="69" spans="1:8">
      <c r="A69" s="18" t="s">
        <v>1178</v>
      </c>
      <c r="B69" s="18" t="s">
        <v>1028</v>
      </c>
      <c r="C69" s="18"/>
      <c r="D69" s="19" t="s">
        <v>504</v>
      </c>
      <c r="E69" s="18"/>
      <c r="F69" s="18"/>
      <c r="G69" s="18" t="s">
        <v>1445</v>
      </c>
    </row>
    <row r="70" spans="1:8">
      <c r="A70" s="18" t="s">
        <v>1180</v>
      </c>
      <c r="B70" s="18" t="s">
        <v>1028</v>
      </c>
      <c r="C70" s="18"/>
      <c r="D70" s="19" t="s">
        <v>504</v>
      </c>
      <c r="E70" s="18"/>
      <c r="F70" s="18"/>
      <c r="G70" s="18" t="s">
        <v>1445</v>
      </c>
    </row>
    <row r="71" spans="1:8">
      <c r="A71" s="18" t="s">
        <v>1182</v>
      </c>
      <c r="B71" s="18" t="s">
        <v>1028</v>
      </c>
      <c r="C71" s="18"/>
      <c r="D71" s="19" t="s">
        <v>504</v>
      </c>
      <c r="E71" s="18"/>
      <c r="F71" s="18"/>
      <c r="G71" s="18" t="s">
        <v>1445</v>
      </c>
    </row>
    <row r="72" spans="1:8">
      <c r="A72" s="18" t="s">
        <v>1183</v>
      </c>
      <c r="B72" s="18" t="s">
        <v>1028</v>
      </c>
      <c r="C72" s="18"/>
      <c r="D72" s="19" t="s">
        <v>504</v>
      </c>
      <c r="E72" s="18"/>
      <c r="F72" s="18"/>
      <c r="G72" s="18" t="s">
        <v>1445</v>
      </c>
      <c r="H72" s="28"/>
    </row>
    <row r="73" spans="1:8">
      <c r="A73" s="18" t="s">
        <v>1187</v>
      </c>
      <c r="B73" s="18" t="s">
        <v>1028</v>
      </c>
      <c r="C73" s="18"/>
      <c r="D73" s="19" t="s">
        <v>504</v>
      </c>
      <c r="E73" s="18"/>
      <c r="F73" s="18"/>
      <c r="G73" s="18" t="s">
        <v>1445</v>
      </c>
    </row>
    <row r="74" spans="1:8">
      <c r="A74" s="18" t="s">
        <v>1191</v>
      </c>
      <c r="B74" s="18" t="s">
        <v>1028</v>
      </c>
      <c r="C74" s="18"/>
      <c r="D74" s="19" t="s">
        <v>504</v>
      </c>
      <c r="E74" s="18"/>
      <c r="F74" s="18"/>
      <c r="G74" s="18" t="s">
        <v>1445</v>
      </c>
    </row>
    <row r="75" spans="1:8">
      <c r="A75" s="18" t="s">
        <v>1200</v>
      </c>
      <c r="B75" s="18" t="s">
        <v>1028</v>
      </c>
      <c r="C75" s="18"/>
      <c r="D75" s="19" t="s">
        <v>504</v>
      </c>
      <c r="E75" s="18"/>
      <c r="F75" s="18"/>
      <c r="G75" s="18" t="s">
        <v>1445</v>
      </c>
    </row>
    <row r="76" spans="1:8">
      <c r="A76" s="29" t="s">
        <v>373</v>
      </c>
      <c r="B76" s="29" t="s">
        <v>374</v>
      </c>
      <c r="C76" s="29"/>
      <c r="D76" s="16" t="s">
        <v>504</v>
      </c>
      <c r="E76" s="29"/>
      <c r="F76" s="29"/>
      <c r="G76" s="15" t="s">
        <v>1451</v>
      </c>
    </row>
    <row r="77" spans="1:8">
      <c r="A77" s="29" t="s">
        <v>376</v>
      </c>
      <c r="B77" s="29" t="s">
        <v>374</v>
      </c>
      <c r="C77" s="29"/>
      <c r="D77" s="16" t="s">
        <v>504</v>
      </c>
      <c r="E77" s="29"/>
      <c r="F77" s="29"/>
      <c r="G77" s="15" t="s">
        <v>1451</v>
      </c>
    </row>
    <row r="78" spans="1:8">
      <c r="A78" s="29" t="s">
        <v>378</v>
      </c>
      <c r="B78" s="29" t="s">
        <v>374</v>
      </c>
      <c r="C78" s="29"/>
      <c r="D78" s="16" t="s">
        <v>504</v>
      </c>
      <c r="E78" s="29"/>
      <c r="F78" s="29"/>
      <c r="G78" s="15" t="s">
        <v>1451</v>
      </c>
    </row>
    <row r="79" spans="1:8">
      <c r="A79" s="29" t="s">
        <v>380</v>
      </c>
      <c r="B79" s="29" t="s">
        <v>374</v>
      </c>
      <c r="C79" s="29"/>
      <c r="D79" s="16" t="s">
        <v>504</v>
      </c>
      <c r="E79" s="29"/>
      <c r="F79" s="29"/>
      <c r="G79" s="15" t="s">
        <v>1451</v>
      </c>
    </row>
    <row r="80" spans="1:8">
      <c r="A80" s="29" t="s">
        <v>381</v>
      </c>
      <c r="B80" s="29" t="s">
        <v>374</v>
      </c>
      <c r="C80" s="29"/>
      <c r="D80" s="16" t="s">
        <v>504</v>
      </c>
      <c r="E80" s="29"/>
      <c r="F80" s="29"/>
      <c r="G80" s="15" t="s">
        <v>1451</v>
      </c>
    </row>
    <row r="81" spans="1:7">
      <c r="A81" s="29" t="s">
        <v>383</v>
      </c>
      <c r="B81" s="29" t="s">
        <v>374</v>
      </c>
      <c r="C81" s="29"/>
      <c r="D81" s="16" t="s">
        <v>504</v>
      </c>
      <c r="E81" s="29"/>
      <c r="F81" s="29"/>
      <c r="G81" s="15" t="s">
        <v>1451</v>
      </c>
    </row>
    <row r="82" spans="1:7">
      <c r="A82" s="29" t="s">
        <v>385</v>
      </c>
      <c r="B82" s="29" t="s">
        <v>374</v>
      </c>
      <c r="C82" s="29"/>
      <c r="D82" s="16" t="s">
        <v>504</v>
      </c>
      <c r="E82" s="29"/>
      <c r="F82" s="29"/>
      <c r="G82" s="15" t="s">
        <v>1451</v>
      </c>
    </row>
    <row r="83" spans="1:7">
      <c r="A83" s="18" t="s">
        <v>485</v>
      </c>
      <c r="B83" s="18" t="s">
        <v>486</v>
      </c>
      <c r="C83" s="18"/>
      <c r="D83" s="19" t="s">
        <v>504</v>
      </c>
      <c r="E83" s="18"/>
      <c r="F83" s="18" t="s">
        <v>504</v>
      </c>
      <c r="G83" s="18" t="s">
        <v>1452</v>
      </c>
    </row>
    <row r="84" spans="1:7">
      <c r="A84" s="18" t="s">
        <v>1453</v>
      </c>
      <c r="B84" s="18" t="s">
        <v>486</v>
      </c>
      <c r="C84" s="18"/>
      <c r="D84" s="19" t="s">
        <v>504</v>
      </c>
      <c r="E84" s="18"/>
      <c r="F84" s="18" t="s">
        <v>504</v>
      </c>
      <c r="G84" s="18" t="s">
        <v>1452</v>
      </c>
    </row>
    <row r="85" spans="1:7">
      <c r="A85" s="18" t="s">
        <v>492</v>
      </c>
      <c r="B85" s="18" t="s">
        <v>486</v>
      </c>
      <c r="C85" s="18"/>
      <c r="D85" s="19" t="s">
        <v>504</v>
      </c>
      <c r="E85" s="18"/>
      <c r="F85" s="18" t="s">
        <v>504</v>
      </c>
      <c r="G85" s="18" t="s">
        <v>1452</v>
      </c>
    </row>
    <row r="86" spans="1:7">
      <c r="A86" s="18" t="s">
        <v>1103</v>
      </c>
      <c r="B86" s="18" t="s">
        <v>1104</v>
      </c>
      <c r="C86" s="18"/>
      <c r="D86" s="19" t="s">
        <v>504</v>
      </c>
      <c r="E86" s="18"/>
      <c r="F86" s="18"/>
      <c r="G86" s="18"/>
    </row>
    <row r="87" spans="1:7">
      <c r="A87" s="15" t="s">
        <v>999</v>
      </c>
      <c r="B87" s="15" t="s">
        <v>1000</v>
      </c>
      <c r="C87" s="15"/>
      <c r="D87" s="16" t="s">
        <v>504</v>
      </c>
      <c r="E87" s="15"/>
      <c r="F87" s="15"/>
      <c r="G87" s="15"/>
    </row>
    <row r="88" spans="1:7">
      <c r="A88" s="15" t="s">
        <v>1032</v>
      </c>
      <c r="B88" s="15" t="s">
        <v>1000</v>
      </c>
      <c r="C88" s="15"/>
      <c r="D88" s="16" t="s">
        <v>504</v>
      </c>
      <c r="E88" s="15"/>
      <c r="F88" s="15"/>
      <c r="G88" s="15"/>
    </row>
    <row r="89" spans="1:7">
      <c r="A89" s="18" t="s">
        <v>643</v>
      </c>
      <c r="B89" s="18" t="s">
        <v>644</v>
      </c>
      <c r="C89" s="18"/>
      <c r="D89" s="19" t="s">
        <v>504</v>
      </c>
      <c r="E89" s="18"/>
      <c r="F89" s="18"/>
      <c r="G89" s="18" t="s">
        <v>1454</v>
      </c>
    </row>
    <row r="90" spans="1:7">
      <c r="A90" s="18" t="s">
        <v>1455</v>
      </c>
      <c r="B90" s="18" t="s">
        <v>644</v>
      </c>
      <c r="C90" s="18"/>
      <c r="D90" s="19"/>
      <c r="E90" s="18"/>
      <c r="F90" s="18"/>
      <c r="G90" s="18" t="s">
        <v>1454</v>
      </c>
    </row>
    <row r="91" spans="1:7">
      <c r="A91" s="18" t="s">
        <v>1456</v>
      </c>
      <c r="B91" s="18" t="s">
        <v>644</v>
      </c>
      <c r="C91" s="18"/>
      <c r="D91" s="19"/>
      <c r="E91" s="18"/>
      <c r="F91" s="18"/>
      <c r="G91" s="18" t="s">
        <v>1454</v>
      </c>
    </row>
    <row r="92" spans="1:7">
      <c r="A92" s="18" t="s">
        <v>1457</v>
      </c>
      <c r="B92" s="18" t="s">
        <v>644</v>
      </c>
      <c r="C92" s="18"/>
      <c r="D92" s="19"/>
      <c r="E92" s="18"/>
      <c r="F92" s="18"/>
      <c r="G92" s="18" t="s">
        <v>1454</v>
      </c>
    </row>
    <row r="93" spans="1:7">
      <c r="A93" s="18" t="s">
        <v>1458</v>
      </c>
      <c r="B93" s="18" t="s">
        <v>644</v>
      </c>
      <c r="C93" s="18"/>
      <c r="D93" s="19"/>
      <c r="E93" s="18"/>
      <c r="F93" s="18"/>
      <c r="G93" s="18" t="s">
        <v>1454</v>
      </c>
    </row>
    <row r="94" spans="1:7">
      <c r="A94" s="18" t="s">
        <v>1459</v>
      </c>
      <c r="B94" s="18" t="s">
        <v>644</v>
      </c>
      <c r="C94" s="18"/>
      <c r="D94" s="19"/>
      <c r="E94" s="18"/>
      <c r="F94" s="18"/>
      <c r="G94" s="18" t="s">
        <v>1454</v>
      </c>
    </row>
    <row r="95" spans="1:7">
      <c r="A95" s="18" t="s">
        <v>1460</v>
      </c>
      <c r="B95" s="18" t="s">
        <v>644</v>
      </c>
      <c r="C95" s="18"/>
      <c r="D95" s="19"/>
      <c r="E95" s="18"/>
      <c r="F95" s="18"/>
      <c r="G95" s="18" t="s">
        <v>1454</v>
      </c>
    </row>
    <row r="96" spans="1:7">
      <c r="A96" s="18" t="s">
        <v>1461</v>
      </c>
      <c r="B96" s="18" t="s">
        <v>644</v>
      </c>
      <c r="C96" s="18"/>
      <c r="D96" s="19"/>
      <c r="E96" s="18"/>
      <c r="F96" s="18"/>
      <c r="G96" s="18" t="s">
        <v>1454</v>
      </c>
    </row>
    <row r="97" spans="1:7">
      <c r="A97" s="18" t="s">
        <v>528</v>
      </c>
      <c r="B97" s="18" t="s">
        <v>356</v>
      </c>
      <c r="C97" s="18"/>
      <c r="D97" s="19" t="s">
        <v>504</v>
      </c>
      <c r="E97" s="18"/>
      <c r="F97" s="18" t="s">
        <v>504</v>
      </c>
      <c r="G97" s="18" t="s">
        <v>1462</v>
      </c>
    </row>
    <row r="98" spans="1:7">
      <c r="A98" s="18" t="s">
        <v>369</v>
      </c>
      <c r="B98" s="18" t="s">
        <v>356</v>
      </c>
      <c r="C98" s="18"/>
      <c r="D98" s="19" t="s">
        <v>504</v>
      </c>
      <c r="E98" s="18"/>
      <c r="F98" s="18" t="s">
        <v>504</v>
      </c>
      <c r="G98" s="18" t="s">
        <v>1462</v>
      </c>
    </row>
    <row r="99" spans="1:7">
      <c r="A99" s="18" t="s">
        <v>365</v>
      </c>
      <c r="B99" s="18" t="s">
        <v>356</v>
      </c>
      <c r="C99" s="18"/>
      <c r="D99" s="19" t="s">
        <v>504</v>
      </c>
      <c r="E99" s="18"/>
      <c r="F99" s="18" t="s">
        <v>504</v>
      </c>
      <c r="G99" s="18" t="s">
        <v>1462</v>
      </c>
    </row>
    <row r="100" spans="1:7">
      <c r="A100" s="18" t="s">
        <v>367</v>
      </c>
      <c r="B100" s="18" t="s">
        <v>356</v>
      </c>
      <c r="C100" s="18"/>
      <c r="D100" s="19" t="s">
        <v>504</v>
      </c>
      <c r="E100" s="18"/>
      <c r="F100" s="18" t="s">
        <v>504</v>
      </c>
      <c r="G100" s="18" t="s">
        <v>1462</v>
      </c>
    </row>
    <row r="101" spans="1:7">
      <c r="A101" s="18" t="s">
        <v>355</v>
      </c>
      <c r="B101" s="18" t="s">
        <v>356</v>
      </c>
      <c r="C101" s="18"/>
      <c r="D101" s="19" t="s">
        <v>504</v>
      </c>
      <c r="E101" s="18"/>
      <c r="F101" s="18" t="s">
        <v>504</v>
      </c>
      <c r="G101" s="18" t="s">
        <v>1462</v>
      </c>
    </row>
    <row r="102" spans="1:7">
      <c r="A102" s="18" t="s">
        <v>363</v>
      </c>
      <c r="B102" s="18" t="s">
        <v>356</v>
      </c>
      <c r="C102" s="18"/>
      <c r="D102" s="19" t="s">
        <v>504</v>
      </c>
      <c r="E102" s="18"/>
      <c r="F102" s="18" t="s">
        <v>504</v>
      </c>
      <c r="G102" s="18" t="s">
        <v>1462</v>
      </c>
    </row>
    <row r="103" spans="1:7">
      <c r="A103" s="18" t="s">
        <v>312</v>
      </c>
      <c r="B103" s="18" t="s">
        <v>313</v>
      </c>
      <c r="C103" s="18"/>
      <c r="D103" s="19" t="s">
        <v>504</v>
      </c>
      <c r="E103" s="18"/>
      <c r="F103" s="18" t="s">
        <v>504</v>
      </c>
      <c r="G103" s="18" t="s">
        <v>1463</v>
      </c>
    </row>
    <row r="104" spans="1:7">
      <c r="A104" s="18" t="s">
        <v>1214</v>
      </c>
      <c r="B104" s="18" t="s">
        <v>1215</v>
      </c>
      <c r="C104" s="18"/>
      <c r="D104" s="19" t="s">
        <v>504</v>
      </c>
      <c r="E104" s="18"/>
      <c r="F104" s="18" t="s">
        <v>504</v>
      </c>
      <c r="G104" s="18" t="s">
        <v>1464</v>
      </c>
    </row>
    <row r="105" spans="1:7">
      <c r="A105" s="18" t="s">
        <v>1217</v>
      </c>
      <c r="B105" s="18" t="s">
        <v>1215</v>
      </c>
      <c r="C105" s="18"/>
      <c r="D105" s="19" t="s">
        <v>504</v>
      </c>
      <c r="E105" s="18"/>
      <c r="F105" s="18" t="s">
        <v>504</v>
      </c>
      <c r="G105" s="18" t="s">
        <v>1464</v>
      </c>
    </row>
    <row r="106" spans="1:7">
      <c r="A106" s="18" t="s">
        <v>1465</v>
      </c>
      <c r="B106" s="18" t="s">
        <v>1215</v>
      </c>
      <c r="C106" s="18"/>
      <c r="D106" s="19" t="s">
        <v>504</v>
      </c>
      <c r="E106" s="18"/>
      <c r="F106" s="18" t="s">
        <v>504</v>
      </c>
      <c r="G106" s="18" t="s">
        <v>1464</v>
      </c>
    </row>
    <row r="107" spans="1:7">
      <c r="A107" s="18" t="s">
        <v>1221</v>
      </c>
      <c r="B107" s="18" t="s">
        <v>1215</v>
      </c>
      <c r="C107" s="18"/>
      <c r="D107" s="19" t="s">
        <v>504</v>
      </c>
      <c r="E107" s="18"/>
      <c r="F107" s="18" t="s">
        <v>504</v>
      </c>
      <c r="G107" s="18" t="s">
        <v>1464</v>
      </c>
    </row>
    <row r="108" spans="1:7">
      <c r="A108" s="18" t="s">
        <v>1223</v>
      </c>
      <c r="B108" s="18" t="s">
        <v>1215</v>
      </c>
      <c r="C108" s="18"/>
      <c r="D108" s="19" t="s">
        <v>504</v>
      </c>
      <c r="E108" s="18"/>
      <c r="F108" s="18" t="s">
        <v>504</v>
      </c>
      <c r="G108" s="18" t="s">
        <v>1464</v>
      </c>
    </row>
    <row r="109" spans="1:7">
      <c r="A109" s="18" t="s">
        <v>1466</v>
      </c>
      <c r="B109" s="18" t="s">
        <v>1215</v>
      </c>
      <c r="C109" s="18"/>
      <c r="D109" s="19" t="s">
        <v>504</v>
      </c>
      <c r="E109" s="18"/>
      <c r="F109" s="18" t="s">
        <v>504</v>
      </c>
      <c r="G109" s="18" t="s">
        <v>1464</v>
      </c>
    </row>
    <row r="110" spans="1:7">
      <c r="A110" s="15" t="s">
        <v>348</v>
      </c>
      <c r="B110" s="15" t="s">
        <v>349</v>
      </c>
      <c r="C110" s="15"/>
      <c r="D110" s="16" t="s">
        <v>504</v>
      </c>
      <c r="E110" s="15"/>
      <c r="F110" s="15"/>
      <c r="G110" s="15" t="s">
        <v>1451</v>
      </c>
    </row>
    <row r="111" spans="1:7">
      <c r="A111" s="30" t="s">
        <v>348</v>
      </c>
      <c r="B111" s="30" t="s">
        <v>349</v>
      </c>
      <c r="C111" s="30"/>
      <c r="D111" s="16" t="s">
        <v>504</v>
      </c>
      <c r="E111" s="15"/>
      <c r="F111" s="15"/>
      <c r="G111" s="15" t="s">
        <v>1451</v>
      </c>
    </row>
    <row r="112" spans="1:7">
      <c r="A112" s="15" t="s">
        <v>351</v>
      </c>
      <c r="B112" s="15" t="s">
        <v>349</v>
      </c>
      <c r="C112" s="15"/>
      <c r="D112" s="16" t="s">
        <v>504</v>
      </c>
      <c r="E112" s="15"/>
      <c r="F112" s="15"/>
      <c r="G112" s="15" t="s">
        <v>1451</v>
      </c>
    </row>
    <row r="113" spans="1:7">
      <c r="A113" s="30" t="s">
        <v>351</v>
      </c>
      <c r="B113" s="30" t="s">
        <v>349</v>
      </c>
      <c r="C113" s="30"/>
      <c r="D113" s="16" t="s">
        <v>504</v>
      </c>
      <c r="E113" s="15"/>
      <c r="F113" s="15"/>
      <c r="G113" s="15" t="s">
        <v>1451</v>
      </c>
    </row>
    <row r="114" spans="1:7">
      <c r="A114" s="15" t="s">
        <v>353</v>
      </c>
      <c r="B114" s="15" t="s">
        <v>349</v>
      </c>
      <c r="C114" s="15"/>
      <c r="D114" s="16" t="s">
        <v>504</v>
      </c>
      <c r="E114" s="15"/>
      <c r="F114" s="15"/>
      <c r="G114" s="15" t="s">
        <v>1451</v>
      </c>
    </row>
    <row r="115" spans="1:7">
      <c r="A115" s="15" t="s">
        <v>353</v>
      </c>
      <c r="B115" s="15" t="s">
        <v>349</v>
      </c>
      <c r="C115" s="15"/>
      <c r="D115" s="16" t="s">
        <v>504</v>
      </c>
      <c r="E115" s="15"/>
      <c r="F115" s="15"/>
      <c r="G115" s="15" t="s">
        <v>1451</v>
      </c>
    </row>
    <row r="116" spans="1:7">
      <c r="A116" s="18" t="s">
        <v>409</v>
      </c>
      <c r="B116" s="18" t="s">
        <v>410</v>
      </c>
      <c r="C116" s="18"/>
      <c r="D116" s="19" t="s">
        <v>504</v>
      </c>
      <c r="E116" s="18"/>
      <c r="F116" s="18" t="s">
        <v>504</v>
      </c>
      <c r="G116" s="18" t="s">
        <v>1467</v>
      </c>
    </row>
    <row r="117" spans="1:7">
      <c r="A117" s="18" t="s">
        <v>412</v>
      </c>
      <c r="B117" s="18" t="s">
        <v>410</v>
      </c>
      <c r="C117" s="18"/>
      <c r="D117" s="19" t="s">
        <v>504</v>
      </c>
      <c r="E117" s="18"/>
      <c r="F117" s="18" t="s">
        <v>504</v>
      </c>
      <c r="G117" s="18" t="s">
        <v>1467</v>
      </c>
    </row>
    <row r="118" spans="1:7">
      <c r="A118" s="18" t="s">
        <v>413</v>
      </c>
      <c r="B118" s="18" t="s">
        <v>410</v>
      </c>
      <c r="C118" s="18"/>
      <c r="D118" s="19" t="s">
        <v>504</v>
      </c>
      <c r="E118" s="18"/>
      <c r="F118" s="18" t="s">
        <v>504</v>
      </c>
      <c r="G118" s="18" t="s">
        <v>1467</v>
      </c>
    </row>
    <row r="119" spans="1:7">
      <c r="A119" s="18" t="s">
        <v>415</v>
      </c>
      <c r="B119" s="18" t="s">
        <v>410</v>
      </c>
      <c r="C119" s="18"/>
      <c r="D119" s="19" t="s">
        <v>504</v>
      </c>
      <c r="E119" s="18"/>
      <c r="F119" s="18" t="s">
        <v>504</v>
      </c>
      <c r="G119" s="18" t="s">
        <v>1467</v>
      </c>
    </row>
    <row r="120" spans="1:7">
      <c r="A120" s="18" t="s">
        <v>482</v>
      </c>
      <c r="B120" s="18" t="s">
        <v>483</v>
      </c>
      <c r="C120" s="18"/>
      <c r="D120" s="19" t="s">
        <v>504</v>
      </c>
      <c r="E120" s="18"/>
      <c r="F120" s="18"/>
      <c r="G120" s="18"/>
    </row>
    <row r="121" spans="1:7">
      <c r="A121" s="15" t="s">
        <v>315</v>
      </c>
      <c r="B121" s="15" t="s">
        <v>316</v>
      </c>
      <c r="C121" s="15"/>
      <c r="D121" s="16" t="s">
        <v>504</v>
      </c>
      <c r="E121" s="15"/>
      <c r="F121" s="15"/>
      <c r="G121" s="15" t="s">
        <v>1451</v>
      </c>
    </row>
    <row r="122" spans="1:7">
      <c r="A122" s="15" t="s">
        <v>318</v>
      </c>
      <c r="B122" s="15" t="s">
        <v>316</v>
      </c>
      <c r="C122" s="15"/>
      <c r="D122" s="16" t="s">
        <v>504</v>
      </c>
      <c r="E122" s="15"/>
      <c r="F122" s="15"/>
      <c r="G122" s="15" t="s">
        <v>1451</v>
      </c>
    </row>
    <row r="123" spans="1:7">
      <c r="A123" s="15" t="s">
        <v>320</v>
      </c>
      <c r="B123" s="15" t="s">
        <v>316</v>
      </c>
      <c r="C123" s="15"/>
      <c r="D123" s="16" t="s">
        <v>504</v>
      </c>
      <c r="E123" s="15"/>
      <c r="F123" s="15"/>
      <c r="G123" s="15" t="s">
        <v>1451</v>
      </c>
    </row>
    <row r="124" spans="1:7">
      <c r="A124" s="15" t="s">
        <v>431</v>
      </c>
      <c r="B124" s="15" t="s">
        <v>316</v>
      </c>
      <c r="C124" s="15"/>
      <c r="D124" s="16" t="s">
        <v>504</v>
      </c>
      <c r="E124" s="15"/>
      <c r="F124" s="15"/>
      <c r="G124" s="15" t="s">
        <v>1451</v>
      </c>
    </row>
    <row r="125" spans="1:7">
      <c r="A125" s="15" t="s">
        <v>681</v>
      </c>
      <c r="B125" s="15" t="s">
        <v>316</v>
      </c>
      <c r="C125" s="15"/>
      <c r="D125" s="16" t="s">
        <v>504</v>
      </c>
      <c r="E125" s="15"/>
      <c r="F125" s="15"/>
      <c r="G125" s="15" t="s">
        <v>1451</v>
      </c>
    </row>
    <row r="126" spans="1:7">
      <c r="A126" s="18" t="s">
        <v>1468</v>
      </c>
      <c r="B126" s="18" t="s">
        <v>142</v>
      </c>
      <c r="C126" s="18"/>
      <c r="D126" s="19" t="s">
        <v>504</v>
      </c>
      <c r="E126" s="18"/>
      <c r="F126" s="18" t="s">
        <v>504</v>
      </c>
      <c r="G126" s="18" t="s">
        <v>1469</v>
      </c>
    </row>
    <row r="127" spans="1:7">
      <c r="A127" s="18" t="s">
        <v>1470</v>
      </c>
      <c r="B127" s="18" t="s">
        <v>142</v>
      </c>
      <c r="C127" s="18"/>
      <c r="D127" s="19" t="s">
        <v>504</v>
      </c>
      <c r="E127" s="18"/>
      <c r="F127" s="18" t="s">
        <v>504</v>
      </c>
      <c r="G127" s="18" t="s">
        <v>1469</v>
      </c>
    </row>
    <row r="128" spans="1:7">
      <c r="A128" s="18" t="s">
        <v>1471</v>
      </c>
      <c r="B128" s="18" t="s">
        <v>142</v>
      </c>
      <c r="C128" s="18"/>
      <c r="D128" s="19" t="s">
        <v>504</v>
      </c>
      <c r="E128" s="18"/>
      <c r="F128" s="18" t="s">
        <v>504</v>
      </c>
      <c r="G128" s="18" t="s">
        <v>1469</v>
      </c>
    </row>
    <row r="129" spans="1:7">
      <c r="A129" s="18" t="s">
        <v>1472</v>
      </c>
      <c r="B129" s="18" t="s">
        <v>142</v>
      </c>
      <c r="C129" s="18"/>
      <c r="D129" s="19" t="s">
        <v>504</v>
      </c>
      <c r="E129" s="18"/>
      <c r="F129" s="18" t="s">
        <v>504</v>
      </c>
      <c r="G129" s="18" t="s">
        <v>1469</v>
      </c>
    </row>
    <row r="130" spans="1:7">
      <c r="A130" s="18" t="s">
        <v>1473</v>
      </c>
      <c r="B130" s="18" t="s">
        <v>142</v>
      </c>
      <c r="C130" s="18"/>
      <c r="D130" s="19" t="s">
        <v>504</v>
      </c>
      <c r="E130" s="18"/>
      <c r="F130" s="18" t="s">
        <v>504</v>
      </c>
      <c r="G130" s="18" t="s">
        <v>1469</v>
      </c>
    </row>
    <row r="131" spans="1:7">
      <c r="A131" s="27" t="s">
        <v>1474</v>
      </c>
      <c r="B131" s="27" t="s">
        <v>142</v>
      </c>
      <c r="C131" s="27"/>
      <c r="D131" s="19" t="s">
        <v>504</v>
      </c>
      <c r="E131" s="27"/>
      <c r="F131" s="27" t="s">
        <v>504</v>
      </c>
      <c r="G131" s="18" t="s">
        <v>1469</v>
      </c>
    </row>
    <row r="132" spans="1:7">
      <c r="A132" s="18" t="s">
        <v>496</v>
      </c>
      <c r="B132" s="18" t="s">
        <v>497</v>
      </c>
      <c r="C132" s="18"/>
      <c r="D132" s="19" t="s">
        <v>504</v>
      </c>
      <c r="E132" s="18"/>
      <c r="F132" s="18" t="s">
        <v>504</v>
      </c>
      <c r="G132" s="18" t="s">
        <v>1475</v>
      </c>
    </row>
    <row r="133" spans="1:7">
      <c r="A133" s="18" t="s">
        <v>1476</v>
      </c>
      <c r="B133" s="18" t="s">
        <v>497</v>
      </c>
      <c r="C133" s="18"/>
      <c r="D133" s="19"/>
      <c r="E133" s="18"/>
      <c r="F133" s="18" t="s">
        <v>504</v>
      </c>
      <c r="G133" s="18" t="s">
        <v>1475</v>
      </c>
    </row>
    <row r="134" spans="1:7">
      <c r="A134" s="18" t="s">
        <v>1477</v>
      </c>
      <c r="B134" s="18" t="s">
        <v>497</v>
      </c>
      <c r="C134" s="18"/>
      <c r="D134" s="19"/>
      <c r="E134" s="18"/>
      <c r="F134" s="18" t="s">
        <v>504</v>
      </c>
      <c r="G134" s="18" t="s">
        <v>1475</v>
      </c>
    </row>
    <row r="135" spans="1:7">
      <c r="A135" s="18" t="s">
        <v>1478</v>
      </c>
      <c r="B135" s="18" t="s">
        <v>497</v>
      </c>
      <c r="C135" s="18"/>
      <c r="D135" s="19"/>
      <c r="E135" s="18"/>
      <c r="F135" s="18" t="s">
        <v>504</v>
      </c>
      <c r="G135" s="18" t="s">
        <v>1475</v>
      </c>
    </row>
    <row r="136" spans="1:7">
      <c r="A136" s="18" t="s">
        <v>1479</v>
      </c>
      <c r="B136" s="18" t="s">
        <v>497</v>
      </c>
      <c r="C136" s="18"/>
      <c r="D136" s="19"/>
      <c r="E136" s="18"/>
      <c r="F136" s="18" t="s">
        <v>504</v>
      </c>
      <c r="G136" s="18" t="s">
        <v>1475</v>
      </c>
    </row>
    <row r="137" spans="1:7">
      <c r="A137" s="18" t="s">
        <v>541</v>
      </c>
      <c r="B137" s="18" t="s">
        <v>497</v>
      </c>
      <c r="C137" s="18"/>
      <c r="D137" s="19" t="s">
        <v>504</v>
      </c>
      <c r="E137" s="18"/>
      <c r="F137" s="18" t="s">
        <v>504</v>
      </c>
      <c r="G137" s="18" t="s">
        <v>1475</v>
      </c>
    </row>
    <row r="138" spans="1:7">
      <c r="A138" s="18" t="s">
        <v>541</v>
      </c>
      <c r="B138" s="18" t="s">
        <v>497</v>
      </c>
      <c r="C138" s="18"/>
      <c r="D138" s="19" t="s">
        <v>504</v>
      </c>
      <c r="E138" s="18"/>
      <c r="F138" s="18" t="s">
        <v>504</v>
      </c>
      <c r="G138" s="18" t="s">
        <v>1475</v>
      </c>
    </row>
    <row r="139" spans="1:7">
      <c r="A139" s="18" t="s">
        <v>1480</v>
      </c>
      <c r="B139" s="18" t="s">
        <v>497</v>
      </c>
      <c r="C139" s="18"/>
      <c r="D139" s="19"/>
      <c r="E139" s="18"/>
      <c r="F139" s="18" t="s">
        <v>504</v>
      </c>
      <c r="G139" s="18" t="s">
        <v>1475</v>
      </c>
    </row>
    <row r="140" spans="1:7">
      <c r="A140" s="18" t="s">
        <v>754</v>
      </c>
      <c r="B140" s="18" t="s">
        <v>497</v>
      </c>
      <c r="C140" s="18"/>
      <c r="D140" s="19" t="s">
        <v>504</v>
      </c>
      <c r="E140" s="18"/>
      <c r="F140" s="18" t="s">
        <v>504</v>
      </c>
      <c r="G140" s="18" t="s">
        <v>1475</v>
      </c>
    </row>
    <row r="141" spans="1:7">
      <c r="A141" s="18" t="s">
        <v>417</v>
      </c>
      <c r="B141" s="18" t="s">
        <v>418</v>
      </c>
      <c r="C141" s="18"/>
      <c r="D141" s="19" t="s">
        <v>504</v>
      </c>
      <c r="E141" s="18"/>
      <c r="F141" s="18"/>
      <c r="G141" s="18"/>
    </row>
    <row r="142" spans="1:7">
      <c r="A142" s="15" t="s">
        <v>536</v>
      </c>
      <c r="B142" s="15" t="s">
        <v>537</v>
      </c>
      <c r="C142" s="15"/>
      <c r="D142" s="16" t="s">
        <v>504</v>
      </c>
      <c r="E142" s="15"/>
      <c r="F142" s="15"/>
      <c r="G142" s="15"/>
    </row>
    <row r="143" spans="1:7">
      <c r="A143" s="18" t="s">
        <v>345</v>
      </c>
      <c r="B143" s="18" t="s">
        <v>346</v>
      </c>
      <c r="C143" s="18" t="s">
        <v>504</v>
      </c>
      <c r="D143" s="19" t="s">
        <v>504</v>
      </c>
      <c r="E143" s="18"/>
      <c r="F143" s="18" t="s">
        <v>504</v>
      </c>
      <c r="G143" s="18" t="s">
        <v>1481</v>
      </c>
    </row>
    <row r="144" spans="1:7">
      <c r="A144" s="18" t="s">
        <v>1482</v>
      </c>
      <c r="B144" s="18" t="s">
        <v>114</v>
      </c>
      <c r="C144" s="18"/>
      <c r="D144" s="19" t="s">
        <v>504</v>
      </c>
      <c r="E144" s="18"/>
      <c r="F144" s="18" t="s">
        <v>504</v>
      </c>
      <c r="G144" s="18" t="s">
        <v>1483</v>
      </c>
    </row>
    <row r="145" spans="1:7">
      <c r="A145" s="18" t="s">
        <v>123</v>
      </c>
      <c r="B145" s="18" t="s">
        <v>114</v>
      </c>
      <c r="C145" s="18"/>
      <c r="D145" s="19" t="s">
        <v>504</v>
      </c>
      <c r="E145" s="18"/>
      <c r="F145" s="18" t="s">
        <v>504</v>
      </c>
      <c r="G145" s="18" t="s">
        <v>1483</v>
      </c>
    </row>
    <row r="146" spans="1:7">
      <c r="A146" s="18" t="s">
        <v>1118</v>
      </c>
      <c r="B146" s="18" t="s">
        <v>1119</v>
      </c>
      <c r="C146" s="18" t="s">
        <v>504</v>
      </c>
      <c r="D146" s="19" t="s">
        <v>504</v>
      </c>
      <c r="E146" s="18"/>
      <c r="F146" s="18"/>
      <c r="G146" s="18"/>
    </row>
    <row r="147" spans="1:7">
      <c r="A147" s="18" t="s">
        <v>1364</v>
      </c>
      <c r="B147" s="18" t="s">
        <v>1365</v>
      </c>
      <c r="C147" s="18"/>
      <c r="D147" s="19" t="s">
        <v>504</v>
      </c>
      <c r="E147" s="18"/>
      <c r="F147" s="18" t="s">
        <v>504</v>
      </c>
      <c r="G147" s="18" t="s">
        <v>1484</v>
      </c>
    </row>
    <row r="148" spans="1:7">
      <c r="A148" s="18" t="s">
        <v>237</v>
      </c>
      <c r="B148" s="18" t="s">
        <v>238</v>
      </c>
      <c r="C148" s="18"/>
      <c r="D148" s="19" t="s">
        <v>504</v>
      </c>
      <c r="E148" s="18"/>
      <c r="F148" s="18" t="s">
        <v>504</v>
      </c>
      <c r="G148" s="18" t="s">
        <v>1485</v>
      </c>
    </row>
    <row r="149" spans="1:7">
      <c r="A149" s="18" t="s">
        <v>242</v>
      </c>
      <c r="B149" s="18" t="s">
        <v>243</v>
      </c>
      <c r="C149" s="18"/>
      <c r="D149" s="19" t="s">
        <v>504</v>
      </c>
      <c r="E149" s="18"/>
      <c r="F149" s="18"/>
      <c r="G149" s="18"/>
    </row>
    <row r="150" spans="1:7">
      <c r="A150" s="18" t="s">
        <v>272</v>
      </c>
      <c r="B150" s="18" t="s">
        <v>273</v>
      </c>
      <c r="C150" s="18"/>
      <c r="D150" s="19" t="s">
        <v>504</v>
      </c>
      <c r="E150" s="18"/>
      <c r="F150" s="18" t="s">
        <v>504</v>
      </c>
      <c r="G150" s="18" t="s">
        <v>1486</v>
      </c>
    </row>
    <row r="151" spans="1:7">
      <c r="A151" s="15" t="s">
        <v>302</v>
      </c>
      <c r="B151" s="15" t="s">
        <v>303</v>
      </c>
      <c r="C151" s="15"/>
      <c r="D151" s="16" t="s">
        <v>504</v>
      </c>
      <c r="E151" s="15"/>
      <c r="F151" s="15"/>
      <c r="G151" s="15"/>
    </row>
    <row r="152" spans="1:7">
      <c r="A152" s="18" t="s">
        <v>332</v>
      </c>
      <c r="B152" s="18" t="s">
        <v>333</v>
      </c>
      <c r="C152" s="18" t="s">
        <v>504</v>
      </c>
      <c r="D152" s="19" t="s">
        <v>504</v>
      </c>
      <c r="E152" s="18"/>
      <c r="F152" s="18" t="s">
        <v>504</v>
      </c>
      <c r="G152" s="18" t="s">
        <v>1487</v>
      </c>
    </row>
    <row r="153" spans="1:7">
      <c r="A153" s="18" t="s">
        <v>428</v>
      </c>
      <c r="B153" s="18" t="s">
        <v>429</v>
      </c>
      <c r="C153" s="18"/>
      <c r="D153" s="19" t="s">
        <v>504</v>
      </c>
      <c r="E153" s="18"/>
      <c r="F153" s="18" t="s">
        <v>504</v>
      </c>
      <c r="G153" s="18" t="s">
        <v>1488</v>
      </c>
    </row>
    <row r="154" spans="1:7">
      <c r="A154" s="18" t="s">
        <v>686</v>
      </c>
      <c r="B154" s="18" t="s">
        <v>687</v>
      </c>
      <c r="C154" s="18"/>
      <c r="D154" s="19" t="s">
        <v>504</v>
      </c>
      <c r="E154" s="18"/>
      <c r="F154" s="18" t="s">
        <v>504</v>
      </c>
      <c r="G154" s="18" t="s">
        <v>1489</v>
      </c>
    </row>
    <row r="155" spans="1:7">
      <c r="A155" s="18" t="s">
        <v>769</v>
      </c>
      <c r="B155" s="18" t="s">
        <v>770</v>
      </c>
      <c r="C155" s="18" t="s">
        <v>504</v>
      </c>
      <c r="D155" s="19" t="s">
        <v>504</v>
      </c>
      <c r="E155" s="18"/>
      <c r="F155" s="18"/>
      <c r="G155" s="18"/>
    </row>
    <row r="156" spans="1:7">
      <c r="A156" s="18" t="s">
        <v>795</v>
      </c>
      <c r="B156" s="18" t="s">
        <v>796</v>
      </c>
      <c r="C156" s="18" t="s">
        <v>504</v>
      </c>
      <c r="D156" s="19" t="s">
        <v>504</v>
      </c>
      <c r="E156" s="18"/>
      <c r="F156" s="18" t="s">
        <v>504</v>
      </c>
      <c r="G156" s="18" t="s">
        <v>1490</v>
      </c>
    </row>
    <row r="157" spans="1:7">
      <c r="A157" s="18" t="s">
        <v>798</v>
      </c>
      <c r="B157" s="18" t="s">
        <v>796</v>
      </c>
      <c r="C157" s="18" t="s">
        <v>504</v>
      </c>
      <c r="D157" s="19" t="s">
        <v>504</v>
      </c>
      <c r="E157" s="18"/>
      <c r="F157" s="18" t="s">
        <v>504</v>
      </c>
      <c r="G157" s="18" t="s">
        <v>1490</v>
      </c>
    </row>
    <row r="158" spans="1:7">
      <c r="A158" s="18" t="s">
        <v>802</v>
      </c>
      <c r="B158" s="18" t="s">
        <v>803</v>
      </c>
      <c r="C158" s="18"/>
      <c r="D158" s="19" t="s">
        <v>504</v>
      </c>
      <c r="E158" s="18"/>
      <c r="F158" s="18" t="s">
        <v>504</v>
      </c>
      <c r="G158" s="18" t="s">
        <v>1486</v>
      </c>
    </row>
    <row r="159" spans="1:7">
      <c r="A159" s="18" t="s">
        <v>805</v>
      </c>
      <c r="B159" s="18" t="s">
        <v>803</v>
      </c>
      <c r="C159" s="18"/>
      <c r="D159" s="19" t="s">
        <v>504</v>
      </c>
      <c r="E159" s="18"/>
      <c r="F159" s="18" t="s">
        <v>504</v>
      </c>
      <c r="G159" s="18" t="s">
        <v>1486</v>
      </c>
    </row>
    <row r="160" spans="1:7">
      <c r="A160" s="18" t="s">
        <v>852</v>
      </c>
      <c r="B160" s="18" t="s">
        <v>853</v>
      </c>
      <c r="C160" s="18" t="s">
        <v>504</v>
      </c>
      <c r="D160" s="19" t="s">
        <v>504</v>
      </c>
      <c r="E160" s="18"/>
      <c r="F160" s="18"/>
      <c r="G160" s="18"/>
    </row>
    <row r="161" spans="1:7">
      <c r="A161" s="18" t="s">
        <v>865</v>
      </c>
      <c r="B161" s="18" t="s">
        <v>866</v>
      </c>
      <c r="C161" s="18" t="s">
        <v>504</v>
      </c>
      <c r="D161" s="19" t="s">
        <v>504</v>
      </c>
      <c r="E161" s="18"/>
      <c r="F161" s="18"/>
      <c r="G161" s="18"/>
    </row>
    <row r="162" spans="1:7">
      <c r="A162" s="18" t="s">
        <v>876</v>
      </c>
      <c r="B162" s="18" t="s">
        <v>877</v>
      </c>
      <c r="C162" s="18" t="s">
        <v>504</v>
      </c>
      <c r="D162" s="19" t="s">
        <v>504</v>
      </c>
      <c r="E162" s="18"/>
      <c r="F162" s="18"/>
      <c r="G162" s="18"/>
    </row>
    <row r="163" spans="1:7" hidden="1">
      <c r="A163" s="18" t="s">
        <v>937</v>
      </c>
      <c r="B163" s="18" t="s">
        <v>938</v>
      </c>
      <c r="C163" s="18"/>
      <c r="D163" s="19" t="s">
        <v>504</v>
      </c>
      <c r="E163" s="19" t="s">
        <v>504</v>
      </c>
      <c r="F163" s="19"/>
      <c r="G163" s="18" t="s">
        <v>1424</v>
      </c>
    </row>
    <row r="164" spans="1:7">
      <c r="A164" s="18" t="s">
        <v>1081</v>
      </c>
      <c r="B164" s="18" t="s">
        <v>1082</v>
      </c>
      <c r="C164" s="18" t="s">
        <v>504</v>
      </c>
      <c r="D164" s="19" t="s">
        <v>504</v>
      </c>
      <c r="E164" s="18"/>
      <c r="F164" s="18"/>
      <c r="G164" s="18"/>
    </row>
    <row r="165" spans="1:7">
      <c r="A165" s="18" t="s">
        <v>1084</v>
      </c>
      <c r="B165" s="18" t="s">
        <v>1082</v>
      </c>
      <c r="C165" s="18" t="s">
        <v>504</v>
      </c>
      <c r="D165" s="19" t="s">
        <v>504</v>
      </c>
      <c r="E165" s="18"/>
      <c r="F165" s="18"/>
      <c r="G165" s="18"/>
    </row>
    <row r="166" spans="1:7">
      <c r="A166" s="18" t="s">
        <v>1086</v>
      </c>
      <c r="B166" s="18" t="s">
        <v>1082</v>
      </c>
      <c r="C166" s="18" t="s">
        <v>504</v>
      </c>
      <c r="D166" s="19" t="s">
        <v>504</v>
      </c>
      <c r="E166" s="18"/>
      <c r="F166" s="18"/>
      <c r="G166" s="18"/>
    </row>
    <row r="167" spans="1:7">
      <c r="A167" s="18" t="s">
        <v>1397</v>
      </c>
      <c r="B167" s="18" t="s">
        <v>1398</v>
      </c>
      <c r="C167" s="18"/>
      <c r="D167" s="19" t="s">
        <v>504</v>
      </c>
      <c r="E167" s="18"/>
      <c r="F167" s="18" t="s">
        <v>504</v>
      </c>
      <c r="G167" s="18" t="s">
        <v>1483</v>
      </c>
    </row>
    <row r="168" spans="1:7">
      <c r="A168" s="18" t="s">
        <v>1400</v>
      </c>
      <c r="B168" s="18" t="s">
        <v>1398</v>
      </c>
      <c r="C168" s="18"/>
      <c r="D168" s="19" t="s">
        <v>504</v>
      </c>
      <c r="E168" s="18"/>
      <c r="F168" s="18" t="s">
        <v>504</v>
      </c>
      <c r="G168" s="18" t="s">
        <v>1483</v>
      </c>
    </row>
    <row r="169" spans="1:7">
      <c r="A169" s="18" t="s">
        <v>784</v>
      </c>
      <c r="B169" s="18" t="s">
        <v>785</v>
      </c>
      <c r="C169" s="18" t="s">
        <v>504</v>
      </c>
      <c r="D169" s="19" t="s">
        <v>504</v>
      </c>
      <c r="E169" s="18"/>
      <c r="F169" s="18"/>
      <c r="G169" s="18"/>
    </row>
    <row r="170" spans="1:7">
      <c r="A170" s="18" t="s">
        <v>1491</v>
      </c>
      <c r="B170" s="18" t="s">
        <v>785</v>
      </c>
      <c r="C170" s="18" t="s">
        <v>504</v>
      </c>
      <c r="D170" s="19"/>
      <c r="E170" s="18"/>
      <c r="F170" s="18"/>
      <c r="G170" s="18"/>
    </row>
    <row r="171" spans="1:7" hidden="1">
      <c r="A171" s="18" t="s">
        <v>1492</v>
      </c>
      <c r="B171" s="18" t="s">
        <v>1394</v>
      </c>
      <c r="C171" s="18"/>
      <c r="D171" s="19"/>
      <c r="E171" s="19" t="s">
        <v>504</v>
      </c>
      <c r="F171" s="19"/>
      <c r="G171" s="18" t="s">
        <v>1493</v>
      </c>
    </row>
    <row r="172" spans="1:7" hidden="1">
      <c r="A172" s="18" t="s">
        <v>1494</v>
      </c>
      <c r="B172" s="18" t="s">
        <v>1394</v>
      </c>
      <c r="C172" s="18"/>
      <c r="D172" s="19"/>
      <c r="E172" s="19" t="s">
        <v>504</v>
      </c>
      <c r="F172" s="19"/>
      <c r="G172" s="18" t="s">
        <v>1493</v>
      </c>
    </row>
    <row r="173" spans="1:7" hidden="1">
      <c r="A173" s="18" t="s">
        <v>1495</v>
      </c>
      <c r="B173" s="18" t="s">
        <v>1394</v>
      </c>
      <c r="C173" s="18"/>
      <c r="D173" s="19"/>
      <c r="E173" s="19" t="s">
        <v>504</v>
      </c>
      <c r="F173" s="19"/>
      <c r="G173" s="18" t="s">
        <v>1493</v>
      </c>
    </row>
    <row r="174" spans="1:7" hidden="1">
      <c r="A174" s="18" t="s">
        <v>1496</v>
      </c>
      <c r="B174" s="18" t="s">
        <v>1394</v>
      </c>
      <c r="C174" s="18"/>
      <c r="D174" s="19"/>
      <c r="E174" s="19" t="s">
        <v>504</v>
      </c>
      <c r="F174" s="19"/>
      <c r="G174" s="18" t="s">
        <v>1493</v>
      </c>
    </row>
    <row r="175" spans="1:7" hidden="1">
      <c r="A175" s="18" t="s">
        <v>1497</v>
      </c>
      <c r="B175" s="18" t="s">
        <v>1394</v>
      </c>
      <c r="C175" s="18"/>
      <c r="D175" s="19"/>
      <c r="E175" s="19" t="s">
        <v>504</v>
      </c>
      <c r="F175" s="19"/>
      <c r="G175" s="18" t="s">
        <v>1493</v>
      </c>
    </row>
    <row r="176" spans="1:7" hidden="1">
      <c r="A176" s="18" t="s">
        <v>1498</v>
      </c>
      <c r="B176" s="18" t="s">
        <v>1394</v>
      </c>
      <c r="C176" s="18"/>
      <c r="D176" s="19"/>
      <c r="E176" s="19" t="s">
        <v>504</v>
      </c>
      <c r="F176" s="19"/>
      <c r="G176" s="18" t="s">
        <v>1493</v>
      </c>
    </row>
    <row r="177" spans="1:7" hidden="1">
      <c r="A177" s="18" t="s">
        <v>1393</v>
      </c>
      <c r="B177" s="18" t="s">
        <v>1394</v>
      </c>
      <c r="C177" s="18"/>
      <c r="D177" s="19" t="s">
        <v>504</v>
      </c>
      <c r="E177" s="19" t="s">
        <v>504</v>
      </c>
      <c r="F177" s="19"/>
      <c r="G177" s="18" t="s">
        <v>1493</v>
      </c>
    </row>
    <row r="178" spans="1:7" hidden="1">
      <c r="A178" s="18" t="s">
        <v>1499</v>
      </c>
      <c r="B178" s="18" t="s">
        <v>1500</v>
      </c>
      <c r="C178" s="18"/>
      <c r="D178" s="19"/>
      <c r="E178" s="19" t="s">
        <v>504</v>
      </c>
      <c r="F178" s="19"/>
      <c r="G178" s="18" t="s">
        <v>1493</v>
      </c>
    </row>
    <row r="179" spans="1:7" hidden="1">
      <c r="A179" s="18" t="s">
        <v>1501</v>
      </c>
      <c r="B179" s="18" t="s">
        <v>1383</v>
      </c>
      <c r="C179" s="18"/>
      <c r="D179" s="19"/>
      <c r="E179" s="19" t="s">
        <v>504</v>
      </c>
      <c r="F179" s="19" t="s">
        <v>504</v>
      </c>
      <c r="G179" s="18" t="s">
        <v>1421</v>
      </c>
    </row>
    <row r="180" spans="1:7" hidden="1">
      <c r="A180" s="18" t="s">
        <v>1502</v>
      </c>
      <c r="B180" s="18" t="s">
        <v>1383</v>
      </c>
      <c r="C180" s="18"/>
      <c r="D180" s="19"/>
      <c r="E180" s="19" t="s">
        <v>504</v>
      </c>
      <c r="F180" s="19" t="s">
        <v>504</v>
      </c>
      <c r="G180" s="18" t="s">
        <v>1421</v>
      </c>
    </row>
    <row r="181" spans="1:7" hidden="1">
      <c r="A181" s="18" t="s">
        <v>1382</v>
      </c>
      <c r="B181" s="18" t="s">
        <v>1383</v>
      </c>
      <c r="C181" s="18"/>
      <c r="D181" s="19" t="s">
        <v>504</v>
      </c>
      <c r="E181" s="19" t="s">
        <v>504</v>
      </c>
      <c r="F181" s="19" t="s">
        <v>504</v>
      </c>
      <c r="G181" s="18" t="s">
        <v>1421</v>
      </c>
    </row>
    <row r="182" spans="1:7" hidden="1">
      <c r="A182" s="18" t="s">
        <v>1503</v>
      </c>
      <c r="B182" s="18" t="s">
        <v>1383</v>
      </c>
      <c r="C182" s="18"/>
      <c r="D182" s="19"/>
      <c r="E182" s="19" t="s">
        <v>504</v>
      </c>
      <c r="F182" s="19" t="s">
        <v>504</v>
      </c>
      <c r="G182" s="18" t="s">
        <v>1421</v>
      </c>
    </row>
    <row r="183" spans="1:7" hidden="1">
      <c r="A183" s="18" t="s">
        <v>1501</v>
      </c>
      <c r="B183" s="18" t="s">
        <v>1504</v>
      </c>
      <c r="C183" s="18"/>
      <c r="D183" s="19"/>
      <c r="E183" s="19" t="s">
        <v>504</v>
      </c>
      <c r="F183" s="19" t="s">
        <v>504</v>
      </c>
      <c r="G183" s="18" t="s">
        <v>1421</v>
      </c>
    </row>
    <row r="184" spans="1:7" hidden="1">
      <c r="A184" s="18" t="s">
        <v>1502</v>
      </c>
      <c r="B184" s="18" t="s">
        <v>1504</v>
      </c>
      <c r="C184" s="18"/>
      <c r="D184" s="19"/>
      <c r="E184" s="19" t="s">
        <v>504</v>
      </c>
      <c r="F184" s="19" t="s">
        <v>504</v>
      </c>
      <c r="G184" s="18" t="s">
        <v>1421</v>
      </c>
    </row>
    <row r="185" spans="1:7" hidden="1">
      <c r="A185" s="18" t="s">
        <v>1382</v>
      </c>
      <c r="B185" s="18" t="s">
        <v>1504</v>
      </c>
      <c r="C185" s="18"/>
      <c r="D185" s="19" t="s">
        <v>504</v>
      </c>
      <c r="E185" s="19" t="s">
        <v>504</v>
      </c>
      <c r="F185" s="19" t="s">
        <v>504</v>
      </c>
      <c r="G185" s="18" t="s">
        <v>1421</v>
      </c>
    </row>
    <row r="186" spans="1:7" hidden="1">
      <c r="A186" s="18" t="s">
        <v>1503</v>
      </c>
      <c r="B186" s="18" t="s">
        <v>1504</v>
      </c>
      <c r="C186" s="18"/>
      <c r="D186" s="19"/>
      <c r="E186" s="19" t="s">
        <v>504</v>
      </c>
      <c r="F186" s="19" t="s">
        <v>504</v>
      </c>
      <c r="G186" s="18" t="s">
        <v>1421</v>
      </c>
    </row>
    <row r="187" spans="1:7">
      <c r="A187" s="18" t="s">
        <v>811</v>
      </c>
      <c r="B187" s="18" t="s">
        <v>812</v>
      </c>
      <c r="C187" s="18"/>
      <c r="D187" s="19" t="s">
        <v>504</v>
      </c>
      <c r="E187" s="18"/>
      <c r="F187" s="18" t="s">
        <v>504</v>
      </c>
      <c r="G187" s="18" t="s">
        <v>1505</v>
      </c>
    </row>
    <row r="188" spans="1:7">
      <c r="A188" s="18" t="s">
        <v>814</v>
      </c>
      <c r="B188" s="18" t="s">
        <v>812</v>
      </c>
      <c r="C188" s="18"/>
      <c r="D188" s="19" t="s">
        <v>504</v>
      </c>
      <c r="E188" s="18"/>
      <c r="F188" s="18" t="s">
        <v>504</v>
      </c>
      <c r="G188" s="18" t="s">
        <v>1505</v>
      </c>
    </row>
    <row r="189" spans="1:7">
      <c r="A189" s="18" t="s">
        <v>1506</v>
      </c>
      <c r="B189" s="18" t="s">
        <v>812</v>
      </c>
      <c r="C189" s="18"/>
      <c r="D189" s="19"/>
      <c r="E189" s="18"/>
      <c r="F189" s="18" t="s">
        <v>504</v>
      </c>
      <c r="G189" s="18" t="s">
        <v>1505</v>
      </c>
    </row>
    <row r="190" spans="1:7">
      <c r="A190" s="18" t="s">
        <v>816</v>
      </c>
      <c r="B190" s="18" t="s">
        <v>812</v>
      </c>
      <c r="C190" s="18"/>
      <c r="D190" s="19" t="s">
        <v>504</v>
      </c>
      <c r="E190" s="18"/>
      <c r="F190" s="18" t="s">
        <v>504</v>
      </c>
      <c r="G190" s="18" t="s">
        <v>1505</v>
      </c>
    </row>
    <row r="191" spans="1:7">
      <c r="A191" s="18" t="s">
        <v>818</v>
      </c>
      <c r="B191" s="18" t="s">
        <v>812</v>
      </c>
      <c r="C191" s="18"/>
      <c r="D191" s="19" t="s">
        <v>504</v>
      </c>
      <c r="E191" s="18"/>
      <c r="F191" s="18" t="s">
        <v>504</v>
      </c>
      <c r="G191" s="18" t="s">
        <v>1505</v>
      </c>
    </row>
    <row r="192" spans="1:7">
      <c r="A192" s="18" t="s">
        <v>819</v>
      </c>
      <c r="B192" s="18" t="s">
        <v>812</v>
      </c>
      <c r="C192" s="18"/>
      <c r="D192" s="19" t="s">
        <v>504</v>
      </c>
      <c r="E192" s="18"/>
      <c r="F192" s="18" t="s">
        <v>504</v>
      </c>
      <c r="G192" s="18" t="s">
        <v>1505</v>
      </c>
    </row>
    <row r="193" spans="1:7">
      <c r="A193" s="18" t="s">
        <v>821</v>
      </c>
      <c r="B193" s="18" t="s">
        <v>812</v>
      </c>
      <c r="C193" s="18"/>
      <c r="D193" s="19" t="s">
        <v>504</v>
      </c>
      <c r="E193" s="18"/>
      <c r="F193" s="18" t="s">
        <v>504</v>
      </c>
      <c r="G193" s="18" t="s">
        <v>1505</v>
      </c>
    </row>
    <row r="194" spans="1:7">
      <c r="A194" s="18" t="s">
        <v>823</v>
      </c>
      <c r="B194" s="18" t="s">
        <v>812</v>
      </c>
      <c r="C194" s="18"/>
      <c r="D194" s="19" t="s">
        <v>504</v>
      </c>
      <c r="E194" s="18"/>
      <c r="F194" s="18" t="s">
        <v>504</v>
      </c>
      <c r="G194" s="18" t="s">
        <v>1505</v>
      </c>
    </row>
    <row r="195" spans="1:7">
      <c r="A195" s="18" t="s">
        <v>825</v>
      </c>
      <c r="B195" s="18" t="s">
        <v>812</v>
      </c>
      <c r="C195" s="18"/>
      <c r="D195" s="19" t="s">
        <v>504</v>
      </c>
      <c r="E195" s="18"/>
      <c r="F195" s="18" t="s">
        <v>504</v>
      </c>
      <c r="G195" s="18" t="s">
        <v>1505</v>
      </c>
    </row>
    <row r="196" spans="1:7">
      <c r="A196" s="18" t="s">
        <v>827</v>
      </c>
      <c r="B196" s="18" t="s">
        <v>812</v>
      </c>
      <c r="C196" s="18"/>
      <c r="D196" s="19" t="s">
        <v>504</v>
      </c>
      <c r="E196" s="18"/>
      <c r="F196" s="18" t="s">
        <v>504</v>
      </c>
      <c r="G196" s="18" t="s">
        <v>1505</v>
      </c>
    </row>
    <row r="197" spans="1:7">
      <c r="A197" s="18" t="s">
        <v>1507</v>
      </c>
      <c r="B197" s="18" t="s">
        <v>812</v>
      </c>
      <c r="C197" s="18"/>
      <c r="D197" s="19"/>
      <c r="E197" s="18"/>
      <c r="F197" s="18" t="s">
        <v>504</v>
      </c>
      <c r="G197" s="18" t="s">
        <v>1505</v>
      </c>
    </row>
    <row r="198" spans="1:7">
      <c r="A198" s="18" t="s">
        <v>829</v>
      </c>
      <c r="B198" s="18" t="s">
        <v>812</v>
      </c>
      <c r="C198" s="18"/>
      <c r="D198" s="19" t="s">
        <v>504</v>
      </c>
      <c r="E198" s="18"/>
      <c r="F198" s="18" t="s">
        <v>504</v>
      </c>
      <c r="G198" s="18" t="s">
        <v>1505</v>
      </c>
    </row>
    <row r="199" spans="1:7">
      <c r="A199" s="18" t="s">
        <v>831</v>
      </c>
      <c r="B199" s="18" t="s">
        <v>812</v>
      </c>
      <c r="C199" s="18"/>
      <c r="D199" s="19" t="s">
        <v>504</v>
      </c>
      <c r="E199" s="18"/>
      <c r="F199" s="18" t="s">
        <v>504</v>
      </c>
      <c r="G199" s="18" t="s">
        <v>1505</v>
      </c>
    </row>
    <row r="200" spans="1:7">
      <c r="A200" s="18" t="s">
        <v>833</v>
      </c>
      <c r="B200" s="18" t="s">
        <v>812</v>
      </c>
      <c r="C200" s="18"/>
      <c r="D200" s="19" t="s">
        <v>504</v>
      </c>
      <c r="E200" s="18"/>
      <c r="F200" s="18" t="s">
        <v>504</v>
      </c>
      <c r="G200" s="18" t="s">
        <v>1505</v>
      </c>
    </row>
    <row r="201" spans="1:7">
      <c r="A201" s="18" t="s">
        <v>835</v>
      </c>
      <c r="B201" s="18" t="s">
        <v>812</v>
      </c>
      <c r="C201" s="18"/>
      <c r="D201" s="19" t="s">
        <v>504</v>
      </c>
      <c r="E201" s="18"/>
      <c r="F201" s="18" t="s">
        <v>504</v>
      </c>
      <c r="G201" s="18" t="s">
        <v>1505</v>
      </c>
    </row>
    <row r="202" spans="1:7">
      <c r="A202" s="18" t="s">
        <v>1508</v>
      </c>
      <c r="B202" s="18" t="s">
        <v>233</v>
      </c>
      <c r="C202" s="18"/>
      <c r="D202" s="19"/>
      <c r="E202" s="18"/>
      <c r="F202" s="18" t="s">
        <v>504</v>
      </c>
      <c r="G202" s="18" t="s">
        <v>1485</v>
      </c>
    </row>
    <row r="203" spans="1:7">
      <c r="A203" s="18" t="s">
        <v>232</v>
      </c>
      <c r="B203" s="18" t="s">
        <v>233</v>
      </c>
      <c r="C203" s="18"/>
      <c r="D203" s="19" t="s">
        <v>504</v>
      </c>
      <c r="E203" s="18"/>
      <c r="F203" s="18" t="s">
        <v>504</v>
      </c>
      <c r="G203" s="18" t="s">
        <v>1485</v>
      </c>
    </row>
    <row r="204" spans="1:7">
      <c r="A204" s="18" t="s">
        <v>237</v>
      </c>
      <c r="B204" s="18" t="s">
        <v>233</v>
      </c>
      <c r="C204" s="18"/>
      <c r="D204" s="19" t="s">
        <v>504</v>
      </c>
      <c r="E204" s="18"/>
      <c r="F204" s="18" t="s">
        <v>504</v>
      </c>
      <c r="G204" s="18" t="s">
        <v>1485</v>
      </c>
    </row>
    <row r="205" spans="1:7">
      <c r="A205" s="18" t="s">
        <v>612</v>
      </c>
      <c r="B205" s="18" t="s">
        <v>607</v>
      </c>
      <c r="C205" s="18"/>
      <c r="D205" s="19" t="s">
        <v>504</v>
      </c>
      <c r="E205" s="18"/>
      <c r="F205" s="18" t="s">
        <v>504</v>
      </c>
      <c r="G205" s="18" t="s">
        <v>1509</v>
      </c>
    </row>
    <row r="206" spans="1:7">
      <c r="A206" s="18" t="s">
        <v>606</v>
      </c>
      <c r="B206" s="18" t="s">
        <v>607</v>
      </c>
      <c r="C206" s="18"/>
      <c r="D206" s="19" t="s">
        <v>504</v>
      </c>
      <c r="E206" s="18"/>
      <c r="F206" s="18" t="s">
        <v>504</v>
      </c>
      <c r="G206" s="18" t="s">
        <v>1509</v>
      </c>
    </row>
    <row r="207" spans="1:7">
      <c r="A207" s="18" t="s">
        <v>609</v>
      </c>
      <c r="B207" s="18" t="s">
        <v>607</v>
      </c>
      <c r="C207" s="18"/>
      <c r="D207" s="19" t="s">
        <v>504</v>
      </c>
      <c r="E207" s="18"/>
      <c r="F207" s="18" t="s">
        <v>504</v>
      </c>
      <c r="G207" s="18" t="s">
        <v>1509</v>
      </c>
    </row>
    <row r="208" spans="1:7">
      <c r="A208" s="18" t="s">
        <v>51</v>
      </c>
      <c r="B208" s="18" t="s">
        <v>52</v>
      </c>
      <c r="C208" s="18"/>
      <c r="D208" s="19" t="s">
        <v>504</v>
      </c>
      <c r="E208" s="18"/>
      <c r="F208" s="18"/>
      <c r="G208" s="18"/>
    </row>
    <row r="209" spans="1:7">
      <c r="A209" s="18" t="s">
        <v>533</v>
      </c>
      <c r="B209" s="18" t="s">
        <v>534</v>
      </c>
      <c r="C209" s="18"/>
      <c r="D209" s="19" t="s">
        <v>504</v>
      </c>
      <c r="E209" s="18"/>
      <c r="F209" s="18" t="s">
        <v>504</v>
      </c>
      <c r="G209" s="18" t="s">
        <v>1510</v>
      </c>
    </row>
    <row r="210" spans="1:7" hidden="1">
      <c r="A210" s="18" t="s">
        <v>957</v>
      </c>
      <c r="B210" s="18" t="s">
        <v>958</v>
      </c>
      <c r="C210" s="18"/>
      <c r="D210" s="19" t="s">
        <v>504</v>
      </c>
      <c r="E210" s="19" t="s">
        <v>504</v>
      </c>
      <c r="F210" s="19"/>
      <c r="G210" s="18" t="s">
        <v>1511</v>
      </c>
    </row>
    <row r="211" spans="1:7" hidden="1">
      <c r="A211" s="18" t="s">
        <v>970</v>
      </c>
      <c r="B211" s="18" t="s">
        <v>958</v>
      </c>
      <c r="C211" s="18"/>
      <c r="D211" s="19" t="s">
        <v>504</v>
      </c>
      <c r="E211" s="19" t="s">
        <v>504</v>
      </c>
      <c r="F211" s="19"/>
      <c r="G211" s="18" t="s">
        <v>1511</v>
      </c>
    </row>
    <row r="212" spans="1:7">
      <c r="A212" s="15" t="s">
        <v>215</v>
      </c>
      <c r="B212" s="15" t="s">
        <v>216</v>
      </c>
      <c r="C212" s="15"/>
      <c r="D212" s="16" t="s">
        <v>504</v>
      </c>
      <c r="E212" s="15"/>
      <c r="F212" s="15"/>
      <c r="G212" s="15"/>
    </row>
    <row r="213" spans="1:7">
      <c r="A213" s="15" t="s">
        <v>218</v>
      </c>
      <c r="B213" s="15" t="s">
        <v>216</v>
      </c>
      <c r="C213" s="15"/>
      <c r="D213" s="16" t="s">
        <v>504</v>
      </c>
      <c r="E213" s="15"/>
      <c r="F213" s="15"/>
      <c r="G213" s="15"/>
    </row>
    <row r="214" spans="1:7">
      <c r="A214" s="18" t="s">
        <v>259</v>
      </c>
      <c r="B214" s="18" t="s">
        <v>1512</v>
      </c>
      <c r="C214" s="18"/>
      <c r="D214" s="19" t="s">
        <v>504</v>
      </c>
      <c r="E214" s="18"/>
      <c r="F214" s="18"/>
      <c r="G214" s="18"/>
    </row>
    <row r="215" spans="1:7">
      <c r="A215" s="15" t="s">
        <v>269</v>
      </c>
      <c r="B215" s="15" t="s">
        <v>270</v>
      </c>
      <c r="C215" s="15"/>
      <c r="D215" s="16" t="s">
        <v>504</v>
      </c>
      <c r="E215" s="15"/>
      <c r="F215" s="15"/>
      <c r="G215" s="15"/>
    </row>
    <row r="216" spans="1:7">
      <c r="A216" s="31" t="s">
        <v>1513</v>
      </c>
      <c r="B216" s="31" t="s">
        <v>270</v>
      </c>
      <c r="C216" s="31"/>
      <c r="D216" s="32"/>
      <c r="E216" s="31"/>
      <c r="F216" s="31"/>
      <c r="G216" s="31"/>
    </row>
    <row r="217" spans="1:7">
      <c r="A217" s="33" t="s">
        <v>1514</v>
      </c>
      <c r="B217" s="34" t="s">
        <v>1515</v>
      </c>
      <c r="C217" s="34"/>
      <c r="D217" s="35"/>
      <c r="E217" s="33"/>
      <c r="F217" s="33" t="s">
        <v>504</v>
      </c>
      <c r="G217" s="33" t="s">
        <v>1516</v>
      </c>
    </row>
  </sheetData>
  <autoFilter ref="A1:H217" xr:uid="{15195E50-57E8-419B-BC0C-C24F4154B880}">
    <filterColumn colId="4">
      <filters blank="1"/>
    </filterColumn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588A-39AF-455F-81B0-48636A44496D}">
  <sheetPr codeName="Tabelle3" filterMode="1"/>
  <dimension ref="A1:Q657"/>
  <sheetViews>
    <sheetView zoomScale="90" zoomScaleNormal="90" workbookViewId="0">
      <pane xSplit="1" ySplit="1" topLeftCell="B137" activePane="bottomRight" state="frozen"/>
      <selection pane="bottomRight" activeCell="A219" sqref="A219"/>
      <selection pane="bottomLeft" activeCell="A2" sqref="A2"/>
      <selection pane="topRight" activeCell="B1" sqref="B1"/>
    </sheetView>
  </sheetViews>
  <sheetFormatPr defaultColWidth="11.42578125" defaultRowHeight="12.75"/>
  <cols>
    <col min="1" max="2" width="50.42578125" style="1" customWidth="1"/>
    <col min="3" max="3" width="57.28515625" style="1" customWidth="1"/>
    <col min="4" max="4" width="29.28515625" style="1" customWidth="1"/>
    <col min="5" max="5" width="94" style="1" bestFit="1" customWidth="1"/>
    <col min="6" max="6" width="45.5703125" style="1" customWidth="1"/>
    <col min="7" max="7" width="60.5703125" style="1" customWidth="1"/>
    <col min="8" max="8" width="33.42578125" style="1" customWidth="1"/>
    <col min="9" max="9" width="42.28515625" style="1" customWidth="1"/>
    <col min="10" max="10" width="37.7109375" style="1" bestFit="1" customWidth="1"/>
    <col min="11" max="11" width="51.28515625" style="1" customWidth="1"/>
    <col min="12" max="12" width="54.28515625" style="1" customWidth="1"/>
    <col min="13" max="13" width="48.7109375" style="1" bestFit="1" customWidth="1"/>
    <col min="14" max="14" width="48.28515625" style="1" bestFit="1" customWidth="1"/>
    <col min="15" max="15" width="36.5703125" style="1" bestFit="1" customWidth="1"/>
    <col min="16" max="16" width="79.7109375" style="1" bestFit="1" customWidth="1"/>
    <col min="17" max="17" width="20" style="1" bestFit="1" customWidth="1"/>
    <col min="18" max="16384" width="11.42578125" style="1"/>
  </cols>
  <sheetData>
    <row r="1" spans="1:17" ht="59.25" customHeight="1">
      <c r="A1" s="71" t="s">
        <v>1517</v>
      </c>
      <c r="B1" s="71" t="s">
        <v>1518</v>
      </c>
      <c r="C1" s="71" t="s">
        <v>9</v>
      </c>
      <c r="D1" s="71" t="s">
        <v>1519</v>
      </c>
      <c r="E1" s="72" t="s">
        <v>1520</v>
      </c>
      <c r="F1" s="72" t="s">
        <v>1521</v>
      </c>
      <c r="G1" s="73" t="s">
        <v>1522</v>
      </c>
      <c r="H1" s="73" t="s">
        <v>1523</v>
      </c>
      <c r="I1" s="73" t="s">
        <v>1524</v>
      </c>
      <c r="J1" s="74" t="s">
        <v>1525</v>
      </c>
      <c r="K1" s="74" t="s">
        <v>1526</v>
      </c>
      <c r="L1" s="74" t="s">
        <v>1527</v>
      </c>
      <c r="M1" s="75" t="s">
        <v>1528</v>
      </c>
      <c r="N1" s="71" t="s">
        <v>1529</v>
      </c>
      <c r="O1" s="76" t="s">
        <v>1530</v>
      </c>
      <c r="P1" s="76" t="s">
        <v>1531</v>
      </c>
      <c r="Q1" s="76" t="s">
        <v>1532</v>
      </c>
    </row>
    <row r="2" spans="1:17" ht="12.6" hidden="1">
      <c r="A2" s="1" t="s">
        <v>10</v>
      </c>
      <c r="B2" s="1" t="str">
        <f>VLOOKUP(A2,'Z-Programme'!$A$2:$A$650,1,FALSE)</f>
        <v>Z_CLEAN_EVTTAB</v>
      </c>
      <c r="C2" s="1" t="s">
        <v>12</v>
      </c>
      <c r="D2" s="1" t="s">
        <v>1533</v>
      </c>
      <c r="E2" s="1" t="s">
        <v>1534</v>
      </c>
      <c r="F2" s="1" t="s">
        <v>1535</v>
      </c>
      <c r="J2" s="5" t="s">
        <v>1536</v>
      </c>
      <c r="K2" s="1" t="s">
        <v>1537</v>
      </c>
      <c r="L2" s="1" t="s">
        <v>1538</v>
      </c>
      <c r="N2" s="1" t="e">
        <f>IF(#REF!="Ja",VLOOKUP(A2,'[1]ZArtefakte aus Listen'!A:B,2,0),"")</f>
        <v>#REF!</v>
      </c>
      <c r="Q2" s="1" t="e">
        <f>IF(#REF!="Ja",VLOOKUP(A2,'[1]ZArtefakte aus Listen'!A:D,4,0),"")</f>
        <v>#REF!</v>
      </c>
    </row>
    <row r="3" spans="1:17" ht="12.6" hidden="1">
      <c r="A3" s="1" t="s">
        <v>13</v>
      </c>
      <c r="B3" s="1" t="str">
        <f>VLOOKUP(A3,'Z-Programme'!$A$2:$A$650,1,FALSE)</f>
        <v>Z_IDOC_STATUS_SET</v>
      </c>
      <c r="C3" s="1" t="s">
        <v>1539</v>
      </c>
      <c r="D3" s="1" t="s">
        <v>1533</v>
      </c>
      <c r="E3" s="1" t="s">
        <v>1540</v>
      </c>
      <c r="F3" s="1" t="s">
        <v>1541</v>
      </c>
      <c r="J3" s="5" t="s">
        <v>1536</v>
      </c>
      <c r="K3" s="1" t="s">
        <v>1542</v>
      </c>
      <c r="L3" s="1" t="s">
        <v>1543</v>
      </c>
      <c r="N3" s="1" t="e">
        <f>IF(#REF!="Ja",VLOOKUP(A3,'[1]ZArtefakte aus Listen'!A:B,2,0),"")</f>
        <v>#REF!</v>
      </c>
      <c r="Q3" s="1" t="e">
        <f>IF(#REF!="Ja",VLOOKUP(A3,'[1]ZArtefakte aus Listen'!A:D,4,0),"")</f>
        <v>#REF!</v>
      </c>
    </row>
    <row r="4" spans="1:17" ht="12.6" hidden="1">
      <c r="A4" s="1" t="s">
        <v>16</v>
      </c>
      <c r="B4" s="1" t="str">
        <f>VLOOKUP(A4,'Z-Programme'!$A$2:$A$650,1,FALSE)</f>
        <v>Z_INFO_PRICING_SERVICES_USER</v>
      </c>
      <c r="C4" s="1" t="s">
        <v>17</v>
      </c>
      <c r="D4" s="1" t="s">
        <v>1533</v>
      </c>
      <c r="E4" s="1" t="s">
        <v>1534</v>
      </c>
      <c r="F4" s="1" t="s">
        <v>1544</v>
      </c>
      <c r="J4" s="5" t="s">
        <v>1536</v>
      </c>
      <c r="K4" s="1" t="s">
        <v>1537</v>
      </c>
      <c r="L4" s="1" t="s">
        <v>1545</v>
      </c>
      <c r="N4" s="1" t="e">
        <f>IF(#REF!="Ja",VLOOKUP(A4,'[1]ZArtefakte aus Listen'!A:B,2,0),"")</f>
        <v>#REF!</v>
      </c>
      <c r="Q4" s="1" t="e">
        <f>IF(#REF!="Ja",VLOOKUP(A4,'[1]ZArtefakte aus Listen'!A:D,4,0),"")</f>
        <v>#REF!</v>
      </c>
    </row>
    <row r="5" spans="1:17" ht="12.6" hidden="1">
      <c r="A5" s="1" t="s">
        <v>18</v>
      </c>
      <c r="B5" s="1" t="str">
        <f>VLOOKUP(A5,'Z-Programme'!$A$2:$A$650,1,FALSE)</f>
        <v>Z_REPAIR_ADRNR_1</v>
      </c>
      <c r="C5" s="1" t="s">
        <v>19</v>
      </c>
      <c r="D5" s="1" t="s">
        <v>1533</v>
      </c>
      <c r="E5" s="1" t="s">
        <v>1534</v>
      </c>
      <c r="F5" s="1" t="s">
        <v>1544</v>
      </c>
      <c r="J5" s="5" t="s">
        <v>1536</v>
      </c>
      <c r="K5" s="1" t="s">
        <v>1537</v>
      </c>
      <c r="L5" s="1" t="s">
        <v>1546</v>
      </c>
      <c r="N5" s="1" t="e">
        <f>IF(#REF!="Ja",VLOOKUP(A5,'[1]ZArtefakte aus Listen'!A:B,2,0),"")</f>
        <v>#REF!</v>
      </c>
      <c r="Q5" s="1" t="e">
        <f>IF(#REF!="Ja",VLOOKUP(A5,'[1]ZArtefakte aus Listen'!A:D,4,0),"")</f>
        <v>#REF!</v>
      </c>
    </row>
    <row r="6" spans="1:17" ht="12.6" hidden="1">
      <c r="A6" s="1" t="s">
        <v>20</v>
      </c>
      <c r="B6" s="1" t="str">
        <f>VLOOKUP(A6,'Z-Programme'!$A$2:$A$650,1,FALSE)</f>
        <v>Z_SAPMZSWA</v>
      </c>
      <c r="C6" s="1" t="s">
        <v>1547</v>
      </c>
      <c r="D6" s="1" t="s">
        <v>1548</v>
      </c>
      <c r="E6" s="1" t="s">
        <v>1540</v>
      </c>
      <c r="F6" s="1" t="s">
        <v>1549</v>
      </c>
      <c r="J6" s="5" t="s">
        <v>1536</v>
      </c>
      <c r="K6" s="1" t="s">
        <v>1542</v>
      </c>
      <c r="L6" s="1" t="s">
        <v>1543</v>
      </c>
      <c r="N6" s="1" t="e">
        <f>IF(#REF!="Ja",VLOOKUP(A6,'[1]ZArtefakte aus Listen'!A:B,2,0),"")</f>
        <v>#REF!</v>
      </c>
      <c r="Q6" s="1" t="e">
        <f>IF(#REF!="Ja",VLOOKUP(A6,'[1]ZArtefakte aus Listen'!A:D,4,0),"")</f>
        <v>#REF!</v>
      </c>
    </row>
    <row r="7" spans="1:17" ht="12.6" hidden="1">
      <c r="A7" s="1" t="s">
        <v>23</v>
      </c>
      <c r="B7" s="1" t="str">
        <f>VLOOKUP(A7,'Z-Programme'!$A$2:$A$650,1,FALSE)</f>
        <v>Z_SAPMZSWA_MENUE</v>
      </c>
      <c r="C7" s="1" t="s">
        <v>24</v>
      </c>
      <c r="D7" s="1" t="s">
        <v>1548</v>
      </c>
      <c r="E7" s="1" t="s">
        <v>1540</v>
      </c>
      <c r="F7" s="1" t="s">
        <v>1549</v>
      </c>
      <c r="J7" s="5" t="s">
        <v>1536</v>
      </c>
      <c r="K7" s="1" t="s">
        <v>1542</v>
      </c>
      <c r="L7" s="1" t="s">
        <v>1543</v>
      </c>
      <c r="N7" s="1" t="e">
        <f>IF(#REF!="Ja",VLOOKUP(A7,'[1]ZArtefakte aus Listen'!A:B,2,0),"")</f>
        <v>#REF!</v>
      </c>
      <c r="Q7" s="1" t="e">
        <f>IF(#REF!="Ja",VLOOKUP(A7,'[1]ZArtefakte aus Listen'!A:D,4,0),"")</f>
        <v>#REF!</v>
      </c>
    </row>
    <row r="8" spans="1:17" ht="12.6" hidden="1">
      <c r="A8" s="1" t="s">
        <v>25</v>
      </c>
      <c r="B8" s="1" t="str">
        <f>VLOOKUP(A8,'Z-Programme'!$A$2:$A$650,1,FALSE)</f>
        <v>Z_SAPMZSWAT</v>
      </c>
      <c r="C8" s="1" t="s">
        <v>1550</v>
      </c>
      <c r="D8" s="1" t="s">
        <v>1548</v>
      </c>
      <c r="E8" s="1" t="s">
        <v>1540</v>
      </c>
      <c r="F8" s="1" t="s">
        <v>1549</v>
      </c>
      <c r="J8" s="5" t="s">
        <v>1536</v>
      </c>
      <c r="K8" s="1" t="s">
        <v>1542</v>
      </c>
      <c r="L8" s="1" t="s">
        <v>1543</v>
      </c>
      <c r="N8" s="1" t="e">
        <f>IF(#REF!="Ja",VLOOKUP(A8,'[1]ZArtefakte aus Listen'!A:B,2,0),"")</f>
        <v>#REF!</v>
      </c>
      <c r="Q8" s="1" t="e">
        <f>IF(#REF!="Ja",VLOOKUP(A8,'[1]ZArtefakte aus Listen'!A:D,4,0),"")</f>
        <v>#REF!</v>
      </c>
    </row>
    <row r="9" spans="1:17" ht="12.6" hidden="1">
      <c r="A9" s="1" t="s">
        <v>27</v>
      </c>
      <c r="B9" s="1" t="str">
        <f>VLOOKUP(A9,'Z-Programme'!$A$2:$A$650,1,FALSE)</f>
        <v>Z0SAP_12</v>
      </c>
      <c r="C9" s="1" t="s">
        <v>28</v>
      </c>
      <c r="D9" s="1" t="s">
        <v>1533</v>
      </c>
      <c r="E9" s="1" t="s">
        <v>1534</v>
      </c>
      <c r="F9" s="1" t="s">
        <v>1551</v>
      </c>
      <c r="J9" s="5"/>
      <c r="K9" s="1" t="s">
        <v>1537</v>
      </c>
      <c r="L9" s="1" t="s">
        <v>1552</v>
      </c>
      <c r="M9" s="5" t="s">
        <v>1536</v>
      </c>
      <c r="N9" s="1" t="e">
        <f>IF(#REF!="Ja",VLOOKUP(A9,'[1]ZArtefakte aus Listen'!A:B,2,0),"")</f>
        <v>#REF!</v>
      </c>
      <c r="Q9" s="1" t="e">
        <f>IF(#REF!="Ja",VLOOKUP(A9,'[1]ZArtefakte aus Listen'!A:D,4,0),"")</f>
        <v>#REF!</v>
      </c>
    </row>
    <row r="10" spans="1:17" ht="12.6" hidden="1">
      <c r="A10" s="1" t="s">
        <v>29</v>
      </c>
      <c r="B10" s="1" t="str">
        <f>VLOOKUP(A10,'Z-Programme'!$A$2:$A$650,1,FALSE)</f>
        <v>ZAA_ANLAGENTR_COPY_LANGTEXT</v>
      </c>
      <c r="C10" s="1" t="s">
        <v>30</v>
      </c>
      <c r="D10" s="1" t="s">
        <v>1533</v>
      </c>
      <c r="E10" s="1" t="s">
        <v>1534</v>
      </c>
      <c r="F10" s="1" t="s">
        <v>1544</v>
      </c>
      <c r="J10" s="5" t="s">
        <v>1536</v>
      </c>
      <c r="K10" s="1" t="s">
        <v>1537</v>
      </c>
      <c r="L10" s="1" t="s">
        <v>1553</v>
      </c>
      <c r="N10" s="1" t="e">
        <f>IF(#REF!="Ja",VLOOKUP(A10,'[1]ZArtefakte aus Listen'!A:B,2,0),"")</f>
        <v>#REF!</v>
      </c>
      <c r="Q10" s="1" t="e">
        <f>IF(#REF!="Ja",VLOOKUP(A10,'[1]ZArtefakte aus Listen'!A:D,4,0),"")</f>
        <v>#REF!</v>
      </c>
    </row>
    <row r="11" spans="1:17" ht="12.6" hidden="1">
      <c r="A11" s="1" t="s">
        <v>31</v>
      </c>
      <c r="B11" s="1" t="str">
        <f>VLOOKUP(A11,'Z-Programme'!$A$2:$A$650,1,FALSE)</f>
        <v>ZAA_ANLAGENTRANSFER</v>
      </c>
      <c r="C11" s="1" t="s">
        <v>32</v>
      </c>
      <c r="D11" s="1" t="s">
        <v>1533</v>
      </c>
      <c r="E11" s="1" t="s">
        <v>1534</v>
      </c>
      <c r="F11" s="1" t="s">
        <v>1544</v>
      </c>
      <c r="J11" s="5" t="s">
        <v>1536</v>
      </c>
      <c r="K11" s="1" t="s">
        <v>1537</v>
      </c>
      <c r="L11" s="1" t="s">
        <v>1553</v>
      </c>
      <c r="N11" s="1" t="e">
        <f>IF(#REF!="Ja",VLOOKUP(A11,'[1]ZArtefakte aus Listen'!A:B,2,0),"")</f>
        <v>#REF!</v>
      </c>
      <c r="Q11" s="1" t="e">
        <f>IF(#REF!="Ja",VLOOKUP(A11,'[1]ZArtefakte aus Listen'!A:D,4,0),"")</f>
        <v>#REF!</v>
      </c>
    </row>
    <row r="12" spans="1:17" ht="12.6" hidden="1">
      <c r="A12" s="1" t="s">
        <v>33</v>
      </c>
      <c r="B12" s="1" t="str">
        <f>VLOOKUP(A12,'Z-Programme'!$A$2:$A$650,1,FALSE)</f>
        <v>ZAA_CO_KONTIERUNG</v>
      </c>
      <c r="C12" s="1" t="s">
        <v>34</v>
      </c>
      <c r="D12" s="1" t="s">
        <v>1533</v>
      </c>
      <c r="E12" s="1" t="s">
        <v>1534</v>
      </c>
      <c r="F12" s="1" t="s">
        <v>1544</v>
      </c>
      <c r="J12" s="5" t="s">
        <v>1536</v>
      </c>
      <c r="K12" s="1" t="s">
        <v>1537</v>
      </c>
      <c r="L12" s="1" t="s">
        <v>1553</v>
      </c>
      <c r="N12" s="1" t="e">
        <f>IF(#REF!="Ja",VLOOKUP(A12,'[1]ZArtefakte aus Listen'!A:B,2,0),"")</f>
        <v>#REF!</v>
      </c>
      <c r="Q12" s="1" t="e">
        <f>IF(#REF!="Ja",VLOOKUP(A12,'[1]ZArtefakte aus Listen'!A:D,4,0),"")</f>
        <v>#REF!</v>
      </c>
    </row>
    <row r="13" spans="1:17" ht="12.6" hidden="1">
      <c r="A13" s="1" t="s">
        <v>35</v>
      </c>
      <c r="B13" s="1" t="str">
        <f>VLOOKUP(A13,'Z-Programme'!$A$2:$A$650,1,FALSE)</f>
        <v>ZAA_INVE01</v>
      </c>
      <c r="C13" s="1" t="s">
        <v>36</v>
      </c>
      <c r="D13" s="1" t="s">
        <v>1533</v>
      </c>
      <c r="E13" s="1" t="s">
        <v>1534</v>
      </c>
      <c r="F13" s="1" t="s">
        <v>1544</v>
      </c>
      <c r="J13" s="5" t="s">
        <v>1536</v>
      </c>
      <c r="K13" s="1" t="s">
        <v>1537</v>
      </c>
      <c r="L13" s="1" t="s">
        <v>1553</v>
      </c>
      <c r="N13" s="1" t="e">
        <f>IF(#REF!="Ja",VLOOKUP(A13,'[1]ZArtefakte aus Listen'!A:B,2,0),"")</f>
        <v>#REF!</v>
      </c>
      <c r="Q13" s="1" t="e">
        <f>IF(#REF!="Ja",VLOOKUP(A13,'[1]ZArtefakte aus Listen'!A:D,4,0),"")</f>
        <v>#REF!</v>
      </c>
    </row>
    <row r="14" spans="1:17" ht="12.6" hidden="1">
      <c r="A14" s="1" t="s">
        <v>37</v>
      </c>
      <c r="B14" s="1" t="str">
        <f>VLOOKUP(A14,'Z-Programme'!$A$2:$A$650,1,FALSE)</f>
        <v>ZAA_INVE06</v>
      </c>
      <c r="C14" s="1" t="s">
        <v>36</v>
      </c>
      <c r="D14" s="1" t="s">
        <v>1533</v>
      </c>
      <c r="E14" s="1" t="s">
        <v>1534</v>
      </c>
      <c r="F14" s="1" t="s">
        <v>1544</v>
      </c>
      <c r="J14" s="5" t="s">
        <v>1536</v>
      </c>
      <c r="K14" s="1" t="s">
        <v>1537</v>
      </c>
      <c r="L14" s="1" t="s">
        <v>1553</v>
      </c>
      <c r="N14" s="1" t="e">
        <f>IF(#REF!="Ja",VLOOKUP(A14,'[1]ZArtefakte aus Listen'!A:B,2,0),"")</f>
        <v>#REF!</v>
      </c>
      <c r="Q14" s="1" t="e">
        <f>IF(#REF!="Ja",VLOOKUP(A14,'[1]ZArtefakte aus Listen'!A:D,4,0),"")</f>
        <v>#REF!</v>
      </c>
    </row>
    <row r="15" spans="1:17" ht="12.6" hidden="1">
      <c r="A15" s="1" t="s">
        <v>38</v>
      </c>
      <c r="B15" s="1" t="str">
        <f>VLOOKUP(A15,'Z-Programme'!$A$2:$A$650,1,FALSE)</f>
        <v>ZAA_INVE07</v>
      </c>
      <c r="C15" s="1" t="s">
        <v>39</v>
      </c>
      <c r="D15" s="1" t="s">
        <v>1533</v>
      </c>
      <c r="E15" s="1" t="s">
        <v>1534</v>
      </c>
      <c r="F15" s="1" t="s">
        <v>1544</v>
      </c>
      <c r="J15" s="5" t="s">
        <v>1536</v>
      </c>
      <c r="K15" s="1" t="s">
        <v>1537</v>
      </c>
      <c r="L15" s="1" t="s">
        <v>1553</v>
      </c>
      <c r="N15" s="1" t="e">
        <f>IF(#REF!="Ja",VLOOKUP(A15,'[1]ZArtefakte aus Listen'!A:B,2,0),"")</f>
        <v>#REF!</v>
      </c>
      <c r="Q15" s="1" t="e">
        <f>IF(#REF!="Ja",VLOOKUP(A15,'[1]ZArtefakte aus Listen'!A:D,4,0),"")</f>
        <v>#REF!</v>
      </c>
    </row>
    <row r="16" spans="1:17" ht="12.6" hidden="1">
      <c r="A16" s="1" t="s">
        <v>40</v>
      </c>
      <c r="B16" s="1" t="str">
        <f>VLOOKUP(A16,'Z-Programme'!$A$2:$A$650,1,FALSE)</f>
        <v>ZAA_MASS_DOWN</v>
      </c>
      <c r="C16" s="1" t="s">
        <v>42</v>
      </c>
      <c r="D16" s="1" t="s">
        <v>1533</v>
      </c>
      <c r="E16" s="1" t="s">
        <v>1534</v>
      </c>
      <c r="F16" s="1" t="s">
        <v>1544</v>
      </c>
      <c r="G16" s="1" t="s">
        <v>1554</v>
      </c>
      <c r="H16" s="58" t="s">
        <v>1555</v>
      </c>
      <c r="I16" s="58" t="s">
        <v>1556</v>
      </c>
      <c r="K16" s="58" t="s">
        <v>1537</v>
      </c>
      <c r="L16" s="1" t="s">
        <v>1557</v>
      </c>
      <c r="N16" s="1" t="e">
        <f>IF(#REF!="Ja",VLOOKUP(A16,'[1]ZArtefakte aus Listen'!A:B,2,0),"")</f>
        <v>#REF!</v>
      </c>
      <c r="P16" s="58"/>
      <c r="Q16" s="1" t="e">
        <f>IF(#REF!="Ja",VLOOKUP(A16,'[1]ZArtefakte aus Listen'!A:D,4,0),"")</f>
        <v>#REF!</v>
      </c>
    </row>
    <row r="17" spans="1:17" ht="12.6" hidden="1">
      <c r="A17" s="1" t="s">
        <v>43</v>
      </c>
      <c r="B17" s="1" t="str">
        <f>VLOOKUP(A17,'Z-Programme'!$A$2:$A$650,1,FALSE)</f>
        <v>ZAA_MASS_UP</v>
      </c>
      <c r="C17" s="1" t="s">
        <v>44</v>
      </c>
      <c r="D17" s="1" t="s">
        <v>1533</v>
      </c>
      <c r="E17" s="1" t="s">
        <v>1534</v>
      </c>
      <c r="F17" s="1" t="s">
        <v>1544</v>
      </c>
      <c r="G17" s="1" t="s">
        <v>1554</v>
      </c>
      <c r="H17" s="58" t="s">
        <v>1555</v>
      </c>
      <c r="I17" s="58" t="s">
        <v>1556</v>
      </c>
      <c r="K17" s="58" t="s">
        <v>1537</v>
      </c>
      <c r="L17" s="1" t="s">
        <v>1557</v>
      </c>
      <c r="N17" s="1" t="e">
        <f>IF(#REF!="Ja",VLOOKUP(A17,'[1]ZArtefakte aus Listen'!A:B,2,0),"")</f>
        <v>#REF!</v>
      </c>
      <c r="P17" s="58"/>
      <c r="Q17" s="1" t="e">
        <f>IF(#REF!="Ja",VLOOKUP(A17,'[1]ZArtefakte aus Listen'!A:D,4,0),"")</f>
        <v>#REF!</v>
      </c>
    </row>
    <row r="18" spans="1:17" ht="12.6" hidden="1">
      <c r="A18" s="1" t="s">
        <v>45</v>
      </c>
      <c r="B18" s="1" t="str">
        <f>VLOOKUP(A18,'Z-Programme'!$A$2:$A$650,1,FALSE)</f>
        <v>ZAA_RAHIST01</v>
      </c>
      <c r="C18" s="1" t="s">
        <v>46</v>
      </c>
      <c r="D18" s="1" t="s">
        <v>1533</v>
      </c>
      <c r="E18" s="1" t="s">
        <v>1534</v>
      </c>
      <c r="F18" s="1" t="s">
        <v>1544</v>
      </c>
      <c r="J18" s="5" t="s">
        <v>1536</v>
      </c>
      <c r="K18" s="1" t="s">
        <v>1537</v>
      </c>
      <c r="L18" s="1" t="s">
        <v>1553</v>
      </c>
      <c r="N18" s="1" t="e">
        <f>IF(#REF!="Ja",VLOOKUP(A18,'[1]ZArtefakte aus Listen'!A:B,2,0),"")</f>
        <v>#REF!</v>
      </c>
      <c r="Q18" s="1" t="e">
        <f>IF(#REF!="Ja",VLOOKUP(A18,'[1]ZArtefakte aus Listen'!A:D,4,0),"")</f>
        <v>#REF!</v>
      </c>
    </row>
    <row r="19" spans="1:17" ht="12.6" hidden="1">
      <c r="A19" s="1" t="s">
        <v>47</v>
      </c>
      <c r="B19" s="1" t="str">
        <f>VLOOKUP(A19,'Z-Programme'!$A$2:$A$650,1,FALSE)</f>
        <v>ZAA_RAPOST2010</v>
      </c>
      <c r="C19" s="1" t="s">
        <v>48</v>
      </c>
      <c r="D19" s="1" t="s">
        <v>1533</v>
      </c>
      <c r="E19" s="1" t="s">
        <v>1534</v>
      </c>
      <c r="F19" s="1" t="s">
        <v>1544</v>
      </c>
      <c r="J19" s="5" t="s">
        <v>1536</v>
      </c>
      <c r="K19" s="1" t="s">
        <v>1537</v>
      </c>
      <c r="L19" s="1" t="s">
        <v>1553</v>
      </c>
      <c r="N19" s="1" t="e">
        <f>IF(#REF!="Ja",VLOOKUP(A19,'[1]ZArtefakte aus Listen'!A:B,2,0),"")</f>
        <v>#REF!</v>
      </c>
      <c r="Q19" s="1" t="e">
        <f>IF(#REF!="Ja",VLOOKUP(A19,'[1]ZArtefakte aus Listen'!A:D,4,0),"")</f>
        <v>#REF!</v>
      </c>
    </row>
    <row r="20" spans="1:17" ht="12.6" hidden="1">
      <c r="A20" s="1" t="s">
        <v>49</v>
      </c>
      <c r="B20" s="1" t="str">
        <f>VLOOKUP(A20,'Z-Programme'!$A$2:$A$650,1,FALSE)</f>
        <v>ZAA_STAMMDAT_ALV</v>
      </c>
      <c r="C20" s="1" t="s">
        <v>50</v>
      </c>
      <c r="D20" s="1" t="s">
        <v>1533</v>
      </c>
      <c r="E20" s="1" t="s">
        <v>1534</v>
      </c>
      <c r="F20" s="1" t="s">
        <v>1544</v>
      </c>
      <c r="G20" s="1" t="s">
        <v>1554</v>
      </c>
      <c r="H20" s="58" t="s">
        <v>1555</v>
      </c>
      <c r="I20" s="58" t="s">
        <v>1556</v>
      </c>
      <c r="K20" s="58" t="s">
        <v>1537</v>
      </c>
      <c r="L20" s="1" t="s">
        <v>1557</v>
      </c>
      <c r="N20" s="1" t="e">
        <f>IF(#REF!="Ja",VLOOKUP(A20,'[1]ZArtefakte aus Listen'!A:B,2,0),"")</f>
        <v>#REF!</v>
      </c>
      <c r="Q20" s="1" t="e">
        <f>IF(#REF!="Ja",VLOOKUP(A20,'[1]ZArtefakte aus Listen'!A:D,4,0),"")</f>
        <v>#REF!</v>
      </c>
    </row>
    <row r="21" spans="1:17" ht="12.6" hidden="1">
      <c r="A21" s="1" t="s">
        <v>51</v>
      </c>
      <c r="B21" s="1" t="str">
        <f>VLOOKUP(A21,'Z-Programme'!$A$2:$A$650,1,FALSE)</f>
        <v>ZACAC_DATA_TRANSFER</v>
      </c>
      <c r="C21" s="1" t="s">
        <v>53</v>
      </c>
      <c r="D21" s="1" t="s">
        <v>1533</v>
      </c>
      <c r="E21" s="1" t="s">
        <v>1558</v>
      </c>
      <c r="F21" s="1" t="s">
        <v>1559</v>
      </c>
      <c r="J21" s="5" t="s">
        <v>1536</v>
      </c>
      <c r="K21" s="1" t="s">
        <v>1542</v>
      </c>
      <c r="L21" s="1" t="s">
        <v>1560</v>
      </c>
      <c r="M21" s="5" t="s">
        <v>1536</v>
      </c>
      <c r="N21" s="1" t="e">
        <f>IF(#REF!="Ja",VLOOKUP(A21,'[1]ZArtefakte aus Listen'!A:B,2,0),"")</f>
        <v>#REF!</v>
      </c>
      <c r="Q21" s="1" t="e">
        <f>IF(#REF!="Ja",VLOOKUP(A21,'[1]ZArtefakte aus Listen'!A:D,4,0),"")</f>
        <v>#REF!</v>
      </c>
    </row>
    <row r="22" spans="1:17" ht="12.6" hidden="1">
      <c r="A22" s="1" t="s">
        <v>54</v>
      </c>
      <c r="B22" s="1" t="str">
        <f>VLOOKUP(A22,'Z-Programme'!$A$2:$A$650,1,FALSE)</f>
        <v>ZACAC_DSITEMS</v>
      </c>
      <c r="C22" s="1" t="s">
        <v>55</v>
      </c>
      <c r="D22" s="1" t="s">
        <v>1533</v>
      </c>
      <c r="E22" s="1" t="s">
        <v>1558</v>
      </c>
      <c r="F22" s="1" t="s">
        <v>1559</v>
      </c>
      <c r="J22" s="5" t="s">
        <v>1536</v>
      </c>
      <c r="K22" s="1" t="s">
        <v>1542</v>
      </c>
      <c r="L22" s="1" t="s">
        <v>1560</v>
      </c>
      <c r="M22" s="5" t="s">
        <v>1536</v>
      </c>
      <c r="N22" s="1" t="e">
        <f>IF(#REF!="Ja",VLOOKUP(A22,'[1]ZArtefakte aus Listen'!A:B,2,0),"")</f>
        <v>#REF!</v>
      </c>
      <c r="Q22" s="1" t="e">
        <f>IF(#REF!="Ja",VLOOKUP(A22,'[1]ZArtefakte aus Listen'!A:D,4,0),"")</f>
        <v>#REF!</v>
      </c>
    </row>
    <row r="23" spans="1:17" ht="12.6" hidden="1">
      <c r="A23" s="1" t="s">
        <v>56</v>
      </c>
      <c r="B23" s="1" t="str">
        <f>VLOOKUP(A23,'Z-Programme'!$A$2:$A$650,1,FALSE)</f>
        <v>ZBC_ADDR_CHECK</v>
      </c>
      <c r="C23" s="1" t="s">
        <v>1561</v>
      </c>
      <c r="D23" s="1" t="s">
        <v>1533</v>
      </c>
      <c r="E23" s="1" t="s">
        <v>1558</v>
      </c>
      <c r="F23" s="1" t="s">
        <v>1562</v>
      </c>
      <c r="J23" s="5" t="s">
        <v>1536</v>
      </c>
      <c r="K23" s="1" t="s">
        <v>1542</v>
      </c>
      <c r="L23" s="1" t="s">
        <v>1563</v>
      </c>
      <c r="N23" s="1" t="e">
        <f>IF(#REF!="Ja",VLOOKUP(A23,'[1]ZArtefakte aus Listen'!A:B,2,0),"")</f>
        <v>#REF!</v>
      </c>
      <c r="Q23" s="1" t="e">
        <f>IF(#REF!="Ja",VLOOKUP(A23,'[1]ZArtefakte aus Listen'!A:D,4,0),"")</f>
        <v>#REF!</v>
      </c>
    </row>
    <row r="24" spans="1:17" ht="12.6" hidden="1">
      <c r="A24" s="1" t="s">
        <v>58</v>
      </c>
      <c r="B24" s="1" t="str">
        <f>VLOOKUP(A24,'Z-Programme'!$A$2:$A$650,1,FALSE)</f>
        <v>ZBC_AL_REORG_OUT</v>
      </c>
      <c r="C24" s="1" t="s">
        <v>304</v>
      </c>
      <c r="D24" s="1" t="s">
        <v>1533</v>
      </c>
      <c r="E24" s="1" t="s">
        <v>1558</v>
      </c>
      <c r="F24" s="1" t="s">
        <v>1562</v>
      </c>
      <c r="J24" s="5" t="s">
        <v>1536</v>
      </c>
      <c r="K24" s="1" t="s">
        <v>1542</v>
      </c>
      <c r="L24" s="1" t="s">
        <v>1563</v>
      </c>
      <c r="N24" s="1" t="e">
        <f>IF(#REF!="Ja",VLOOKUP(A24,'[1]ZArtefakte aus Listen'!A:B,2,0),"")</f>
        <v>#REF!</v>
      </c>
      <c r="Q24" s="1" t="e">
        <f>IF(#REF!="Ja",VLOOKUP(A24,'[1]ZArtefakte aus Listen'!A:D,4,0),"")</f>
        <v>#REF!</v>
      </c>
    </row>
    <row r="25" spans="1:17" ht="12.6" hidden="1">
      <c r="A25" s="1" t="s">
        <v>60</v>
      </c>
      <c r="B25" s="1" t="str">
        <f>VLOOKUP(A25,'Z-Programme'!$A$2:$A$650,1,FALSE)</f>
        <v>ZBC_AL_REORG_RETURN</v>
      </c>
      <c r="C25" s="1" t="s">
        <v>61</v>
      </c>
      <c r="D25" s="1" t="s">
        <v>1533</v>
      </c>
      <c r="E25" s="1" t="s">
        <v>1558</v>
      </c>
      <c r="F25" s="1" t="s">
        <v>1562</v>
      </c>
      <c r="J25" s="5" t="s">
        <v>1536</v>
      </c>
      <c r="K25" s="1" t="s">
        <v>1542</v>
      </c>
      <c r="L25" s="1" t="s">
        <v>1563</v>
      </c>
      <c r="N25" s="1" t="e">
        <f>IF(#REF!="Ja",VLOOKUP(A25,'[1]ZArtefakte aus Listen'!A:B,2,0),"")</f>
        <v>#REF!</v>
      </c>
      <c r="Q25" s="1" t="e">
        <f>IF(#REF!="Ja",VLOOKUP(A25,'[1]ZArtefakte aus Listen'!A:D,4,0),"")</f>
        <v>#REF!</v>
      </c>
    </row>
    <row r="26" spans="1:17" ht="12.6" hidden="1">
      <c r="A26" s="1" t="s">
        <v>62</v>
      </c>
      <c r="B26" s="1" t="str">
        <f>VLOOKUP(A26,'Z-Programme'!$A$2:$A$650,1,FALSE)</f>
        <v>ZBC_AL_REORG_VTABS</v>
      </c>
      <c r="C26" s="1" t="s">
        <v>1564</v>
      </c>
      <c r="D26" s="1" t="s">
        <v>1533</v>
      </c>
      <c r="E26" s="1" t="s">
        <v>1558</v>
      </c>
      <c r="F26" s="1" t="s">
        <v>1562</v>
      </c>
      <c r="J26" s="5" t="s">
        <v>1536</v>
      </c>
      <c r="K26" s="1" t="s">
        <v>1542</v>
      </c>
      <c r="L26" s="1" t="s">
        <v>1563</v>
      </c>
      <c r="N26" s="1" t="e">
        <f>IF(#REF!="Ja",VLOOKUP(A26,'[1]ZArtefakte aus Listen'!A:B,2,0),"")</f>
        <v>#REF!</v>
      </c>
      <c r="Q26" s="1" t="e">
        <f>IF(#REF!="Ja",VLOOKUP(A26,'[1]ZArtefakte aus Listen'!A:D,4,0),"")</f>
        <v>#REF!</v>
      </c>
    </row>
    <row r="27" spans="1:17" ht="12.6" hidden="1">
      <c r="A27" s="1" t="s">
        <v>64</v>
      </c>
      <c r="B27" s="1" t="str">
        <f>VLOOKUP(A27,'Z-Programme'!$A$2:$A$650,1,FALSE)</f>
        <v>ZBC_ANONYM_ZQ1</v>
      </c>
      <c r="C27" s="1" t="s">
        <v>1565</v>
      </c>
      <c r="D27" s="1" t="s">
        <v>1533</v>
      </c>
      <c r="E27" s="1" t="s">
        <v>1558</v>
      </c>
      <c r="F27" s="1" t="s">
        <v>1562</v>
      </c>
      <c r="J27" s="5" t="s">
        <v>1536</v>
      </c>
      <c r="K27" s="1" t="s">
        <v>1542</v>
      </c>
      <c r="L27" s="1" t="s">
        <v>1563</v>
      </c>
      <c r="N27" s="1" t="e">
        <f>IF(#REF!="Ja",VLOOKUP(A27,'[1]ZArtefakte aus Listen'!A:B,2,0),"")</f>
        <v>#REF!</v>
      </c>
      <c r="Q27" s="1" t="e">
        <f>IF(#REF!="Ja",VLOOKUP(A27,'[1]ZArtefakte aus Listen'!A:D,4,0),"")</f>
        <v>#REF!</v>
      </c>
    </row>
    <row r="28" spans="1:17" ht="12.6" hidden="1">
      <c r="A28" s="1" t="s">
        <v>66</v>
      </c>
      <c r="B28" s="1" t="str">
        <f>VLOOKUP(A28,'Z-Programme'!$A$2:$A$650,1,FALSE)</f>
        <v>ZBC_BDCLOG_ALV</v>
      </c>
      <c r="C28" s="1" t="s">
        <v>67</v>
      </c>
      <c r="D28" s="1" t="s">
        <v>1533</v>
      </c>
      <c r="E28" s="1" t="s">
        <v>1558</v>
      </c>
      <c r="F28" s="1" t="s">
        <v>1562</v>
      </c>
      <c r="J28" s="5" t="s">
        <v>1536</v>
      </c>
      <c r="K28" s="1" t="s">
        <v>1542</v>
      </c>
      <c r="L28" s="1" t="s">
        <v>1563</v>
      </c>
      <c r="N28" s="1" t="e">
        <f>IF(#REF!="Ja",VLOOKUP(A28,'[1]ZArtefakte aus Listen'!A:B,2,0),"")</f>
        <v>#REF!</v>
      </c>
      <c r="Q28" s="1" t="e">
        <f>IF(#REF!="Ja",VLOOKUP(A28,'[1]ZArtefakte aus Listen'!A:D,4,0),"")</f>
        <v>#REF!</v>
      </c>
    </row>
    <row r="29" spans="1:17" ht="12.6" hidden="1">
      <c r="A29" s="1" t="s">
        <v>68</v>
      </c>
      <c r="B29" s="1" t="str">
        <f>VLOOKUP(A29,'Z-Programme'!$A$2:$A$650,1,FALSE)</f>
        <v>ZBC_BDCLOG_ARCHIVE</v>
      </c>
      <c r="C29" s="1" t="s">
        <v>69</v>
      </c>
      <c r="D29" s="1" t="s">
        <v>1533</v>
      </c>
      <c r="E29" s="1" t="s">
        <v>1558</v>
      </c>
      <c r="F29" s="1" t="s">
        <v>1562</v>
      </c>
      <c r="J29" s="5" t="s">
        <v>1536</v>
      </c>
      <c r="K29" s="1" t="s">
        <v>1542</v>
      </c>
      <c r="L29" s="1" t="s">
        <v>1563</v>
      </c>
      <c r="N29" s="1" t="e">
        <f>IF(#REF!="Ja",VLOOKUP(A29,'[1]ZArtefakte aus Listen'!A:B,2,0),"")</f>
        <v>#REF!</v>
      </c>
      <c r="Q29" s="1" t="e">
        <f>IF(#REF!="Ja",VLOOKUP(A29,'[1]ZArtefakte aus Listen'!A:D,4,0),"")</f>
        <v>#REF!</v>
      </c>
    </row>
    <row r="30" spans="1:17" ht="12.6" hidden="1">
      <c r="A30" s="1" t="s">
        <v>70</v>
      </c>
      <c r="B30" s="1" t="str">
        <f>VLOOKUP(A30,'Z-Programme'!$A$2:$A$650,1,FALSE)</f>
        <v>ZBC_BDCLOG_ARCHIVE_FIX</v>
      </c>
      <c r="C30" s="1" t="s">
        <v>71</v>
      </c>
      <c r="D30" s="1" t="s">
        <v>1533</v>
      </c>
      <c r="E30" s="1" t="s">
        <v>1558</v>
      </c>
      <c r="F30" s="1" t="s">
        <v>1562</v>
      </c>
      <c r="J30" s="5" t="s">
        <v>1536</v>
      </c>
      <c r="K30" s="1" t="s">
        <v>1542</v>
      </c>
      <c r="L30" s="1" t="s">
        <v>1563</v>
      </c>
      <c r="N30" s="1" t="e">
        <f>IF(#REF!="Ja",VLOOKUP(A30,'[1]ZArtefakte aus Listen'!A:B,2,0),"")</f>
        <v>#REF!</v>
      </c>
      <c r="Q30" s="1" t="e">
        <f>IF(#REF!="Ja",VLOOKUP(A30,'[1]ZArtefakte aus Listen'!A:D,4,0),"")</f>
        <v>#REF!</v>
      </c>
    </row>
    <row r="31" spans="1:17" ht="12.6" hidden="1">
      <c r="A31" s="1" t="s">
        <v>72</v>
      </c>
      <c r="B31" s="1" t="str">
        <f>VLOOKUP(A31,'Z-Programme'!$A$2:$A$650,1,FALSE)</f>
        <v>ZBC_BELEG_VOLUME</v>
      </c>
      <c r="C31" s="1" t="s">
        <v>1566</v>
      </c>
      <c r="D31" s="1" t="s">
        <v>1533</v>
      </c>
      <c r="E31" s="1" t="s">
        <v>1558</v>
      </c>
      <c r="F31" s="1" t="s">
        <v>1562</v>
      </c>
      <c r="J31" s="5" t="s">
        <v>1536</v>
      </c>
      <c r="K31" s="1" t="s">
        <v>1542</v>
      </c>
      <c r="L31" s="1" t="s">
        <v>1563</v>
      </c>
      <c r="N31" s="1" t="e">
        <f>IF(#REF!="Ja",VLOOKUP(A31,'[1]ZArtefakte aus Listen'!A:B,2,0),"")</f>
        <v>#REF!</v>
      </c>
      <c r="Q31" s="1" t="e">
        <f>IF(#REF!="Ja",VLOOKUP(A31,'[1]ZArtefakte aus Listen'!A:D,4,0),"")</f>
        <v>#REF!</v>
      </c>
    </row>
    <row r="32" spans="1:17" ht="12.6" hidden="1">
      <c r="A32" s="1" t="s">
        <v>74</v>
      </c>
      <c r="B32" s="1" t="str">
        <f>VLOOKUP(A32,'Z-Programme'!$A$2:$A$650,1,FALSE)</f>
        <v>ZBC_CALL_PROCEDURE</v>
      </c>
      <c r="C32" s="1" t="s">
        <v>75</v>
      </c>
      <c r="D32" s="1" t="s">
        <v>1533</v>
      </c>
      <c r="E32" s="1" t="s">
        <v>1534</v>
      </c>
      <c r="F32" s="1" t="s">
        <v>1544</v>
      </c>
      <c r="J32" s="5" t="s">
        <v>1536</v>
      </c>
      <c r="K32" s="1" t="s">
        <v>1537</v>
      </c>
      <c r="L32" s="1" t="s">
        <v>1567</v>
      </c>
      <c r="N32" s="1" t="e">
        <f>IF(#REF!="Ja",VLOOKUP(A32,'[1]ZArtefakte aus Listen'!A:B,2,0),"")</f>
        <v>#REF!</v>
      </c>
      <c r="Q32" s="1" t="e">
        <f>IF(#REF!="Ja",VLOOKUP(A32,'[1]ZArtefakte aus Listen'!A:D,4,0),"")</f>
        <v>#REF!</v>
      </c>
    </row>
    <row r="33" spans="1:17" ht="12.6" hidden="1">
      <c r="A33" s="1" t="s">
        <v>76</v>
      </c>
      <c r="B33" s="1" t="str">
        <f>VLOOKUP(A33,'Z-Programme'!$A$2:$A$650,1,FALSE)</f>
        <v>ZBC_CHECK_NRIV</v>
      </c>
      <c r="C33" s="1" t="s">
        <v>1568</v>
      </c>
      <c r="D33" s="1" t="s">
        <v>1533</v>
      </c>
      <c r="E33" s="1" t="s">
        <v>1558</v>
      </c>
      <c r="F33" s="1" t="s">
        <v>1562</v>
      </c>
      <c r="J33" s="5" t="s">
        <v>1536</v>
      </c>
      <c r="K33" s="1" t="s">
        <v>1542</v>
      </c>
      <c r="L33" s="1" t="s">
        <v>1563</v>
      </c>
      <c r="N33" s="1" t="e">
        <f>IF(#REF!="Ja",VLOOKUP(A33,'[1]ZArtefakte aus Listen'!A:B,2,0),"")</f>
        <v>#REF!</v>
      </c>
      <c r="Q33" s="1" t="e">
        <f>IF(#REF!="Ja",VLOOKUP(A33,'[1]ZArtefakte aus Listen'!A:D,4,0),"")</f>
        <v>#REF!</v>
      </c>
    </row>
    <row r="34" spans="1:17" ht="12.6" hidden="1">
      <c r="A34" s="1" t="s">
        <v>78</v>
      </c>
      <c r="B34" s="1" t="str">
        <f>VLOOKUP(A34,'Z-Programme'!$A$2:$A$650,1,FALSE)</f>
        <v>ZBC_COPY_DATASET</v>
      </c>
      <c r="C34" s="1" t="s">
        <v>1569</v>
      </c>
      <c r="D34" s="1" t="s">
        <v>1533</v>
      </c>
      <c r="E34" s="1" t="s">
        <v>1558</v>
      </c>
      <c r="F34" s="1" t="s">
        <v>1562</v>
      </c>
      <c r="J34" s="5" t="s">
        <v>1536</v>
      </c>
      <c r="K34" s="1" t="s">
        <v>1542</v>
      </c>
      <c r="L34" s="1" t="s">
        <v>1563</v>
      </c>
      <c r="N34" s="1" t="e">
        <f>IF(#REF!="Ja",VLOOKUP(A34,'[1]ZArtefakte aus Listen'!A:B,2,0),"")</f>
        <v>#REF!</v>
      </c>
      <c r="Q34" s="1" t="e">
        <f>IF(#REF!="Ja",VLOOKUP(A34,'[1]ZArtefakte aus Listen'!A:D,4,0),"")</f>
        <v>#REF!</v>
      </c>
    </row>
    <row r="35" spans="1:17" ht="12.6" hidden="1">
      <c r="A35" s="1" t="s">
        <v>80</v>
      </c>
      <c r="B35" s="1" t="str">
        <f>VLOOKUP(A35,'Z-Programme'!$A$2:$A$650,1,FALSE)</f>
        <v>ZBC_EVENT_RAISE</v>
      </c>
      <c r="C35" s="1" t="s">
        <v>81</v>
      </c>
      <c r="D35" s="1" t="s">
        <v>1533</v>
      </c>
      <c r="E35" s="1" t="s">
        <v>1534</v>
      </c>
      <c r="F35" s="1" t="s">
        <v>1544</v>
      </c>
      <c r="J35" s="5" t="s">
        <v>1536</v>
      </c>
      <c r="K35" s="1" t="s">
        <v>1537</v>
      </c>
      <c r="L35" s="1" t="s">
        <v>1567</v>
      </c>
      <c r="N35" s="1" t="e">
        <f>IF(#REF!="Ja",VLOOKUP(A35,'[1]ZArtefakte aus Listen'!A:B,2,0),"")</f>
        <v>#REF!</v>
      </c>
      <c r="Q35" s="1" t="e">
        <f>IF(#REF!="Ja",VLOOKUP(A35,'[1]ZArtefakte aus Listen'!A:D,4,0),"")</f>
        <v>#REF!</v>
      </c>
    </row>
    <row r="36" spans="1:17" ht="12.6" hidden="1">
      <c r="A36" s="1" t="s">
        <v>82</v>
      </c>
      <c r="B36" s="1" t="str">
        <f>VLOOKUP(A36,'Z-Programme'!$A$2:$A$650,1,FALSE)</f>
        <v>ZBC_EXCELTABUPLOAD</v>
      </c>
      <c r="C36" s="1" t="s">
        <v>82</v>
      </c>
      <c r="D36" s="1" t="s">
        <v>1533</v>
      </c>
      <c r="E36" s="1" t="s">
        <v>1558</v>
      </c>
      <c r="F36" s="1" t="s">
        <v>1562</v>
      </c>
      <c r="J36" s="5" t="s">
        <v>1536</v>
      </c>
      <c r="K36" s="1" t="s">
        <v>1542</v>
      </c>
      <c r="L36" s="1" t="s">
        <v>1563</v>
      </c>
      <c r="N36" s="1" t="e">
        <f>IF(#REF!="Ja",VLOOKUP(A36,'[1]ZArtefakte aus Listen'!A:B,2,0),"")</f>
        <v>#REF!</v>
      </c>
      <c r="Q36" s="1" t="e">
        <f>IF(#REF!="Ja",VLOOKUP(A36,'[1]ZArtefakte aus Listen'!A:D,4,0),"")</f>
        <v>#REF!</v>
      </c>
    </row>
    <row r="37" spans="1:17" ht="12.6" hidden="1">
      <c r="A37" s="1" t="s">
        <v>84</v>
      </c>
      <c r="B37" s="1" t="str">
        <f>VLOOKUP(A37,'Z-Programme'!$A$2:$A$650,1,FALSE)</f>
        <v>ZBC_F110_JOBCTRL</v>
      </c>
      <c r="C37" s="1" t="s">
        <v>88</v>
      </c>
      <c r="D37" s="1" t="s">
        <v>1533</v>
      </c>
      <c r="E37" s="1" t="s">
        <v>1558</v>
      </c>
      <c r="F37" s="1" t="s">
        <v>1562</v>
      </c>
      <c r="J37" s="5" t="s">
        <v>1536</v>
      </c>
      <c r="K37" s="1" t="s">
        <v>1542</v>
      </c>
      <c r="L37" s="1" t="s">
        <v>1563</v>
      </c>
      <c r="N37" s="1" t="e">
        <f>IF(#REF!="Ja",VLOOKUP(A37,'[1]ZArtefakte aus Listen'!A:B,2,0),"")</f>
        <v>#REF!</v>
      </c>
      <c r="Q37" s="1" t="e">
        <f>IF(#REF!="Ja",VLOOKUP(A37,'[1]ZArtefakte aus Listen'!A:D,4,0),"")</f>
        <v>#REF!</v>
      </c>
    </row>
    <row r="38" spans="1:17" ht="12.6" hidden="1">
      <c r="A38" s="1" t="s">
        <v>89</v>
      </c>
      <c r="B38" s="1" t="str">
        <f>VLOOKUP(A38,'Z-Programme'!$A$2:$A$650,1,FALSE)</f>
        <v>ZBC_F110_SPOOL_UPDATE</v>
      </c>
      <c r="C38" s="1" t="s">
        <v>90</v>
      </c>
      <c r="D38" s="1" t="s">
        <v>1533</v>
      </c>
      <c r="E38" s="1" t="s">
        <v>1558</v>
      </c>
      <c r="F38" s="1" t="s">
        <v>1562</v>
      </c>
      <c r="J38" s="5" t="s">
        <v>1536</v>
      </c>
      <c r="K38" s="1" t="s">
        <v>1542</v>
      </c>
      <c r="L38" s="1" t="s">
        <v>1563</v>
      </c>
      <c r="N38" s="1" t="e">
        <f>IF(#REF!="Ja",VLOOKUP(A38,'[1]ZArtefakte aus Listen'!A:B,2,0),"")</f>
        <v>#REF!</v>
      </c>
      <c r="Q38" s="1" t="e">
        <f>IF(#REF!="Ja",VLOOKUP(A38,'[1]ZArtefakte aus Listen'!A:D,4,0),"")</f>
        <v>#REF!</v>
      </c>
    </row>
    <row r="39" spans="1:17" ht="12.6" hidden="1">
      <c r="A39" s="1" t="s">
        <v>91</v>
      </c>
      <c r="B39" s="1" t="str">
        <f>VLOOKUP(A39,'Z-Programme'!$A$2:$A$650,1,FALSE)</f>
        <v>ZBC_FILE_DELETE</v>
      </c>
      <c r="C39" s="1" t="s">
        <v>92</v>
      </c>
      <c r="D39" s="1" t="s">
        <v>1533</v>
      </c>
      <c r="E39" s="1" t="s">
        <v>1558</v>
      </c>
      <c r="F39" s="1" t="s">
        <v>1562</v>
      </c>
      <c r="J39" s="5" t="s">
        <v>1536</v>
      </c>
      <c r="K39" s="1" t="s">
        <v>1542</v>
      </c>
      <c r="L39" s="1" t="s">
        <v>1563</v>
      </c>
      <c r="N39" s="1" t="e">
        <f>IF(#REF!="Ja",VLOOKUP(A39,'[1]ZArtefakte aus Listen'!A:B,2,0),"")</f>
        <v>#REF!</v>
      </c>
      <c r="Q39" s="1" t="e">
        <f>IF(#REF!="Ja",VLOOKUP(A39,'[1]ZArtefakte aus Listen'!A:D,4,0),"")</f>
        <v>#REF!</v>
      </c>
    </row>
    <row r="40" spans="1:17" ht="12.6" hidden="1">
      <c r="A40" s="1" t="s">
        <v>93</v>
      </c>
      <c r="B40" s="1" t="str">
        <f>VLOOKUP(A40,'Z-Programme'!$A$2:$A$650,1,FALSE)</f>
        <v>ZBC_FILE_EVENT_RAISE</v>
      </c>
      <c r="C40" s="1" t="s">
        <v>94</v>
      </c>
      <c r="D40" s="1" t="s">
        <v>1533</v>
      </c>
      <c r="E40" s="1" t="s">
        <v>1558</v>
      </c>
      <c r="F40" s="1" t="s">
        <v>1562</v>
      </c>
      <c r="J40" s="5" t="s">
        <v>1536</v>
      </c>
      <c r="K40" s="1" t="s">
        <v>1542</v>
      </c>
      <c r="L40" s="1" t="s">
        <v>1563</v>
      </c>
      <c r="N40" s="1" t="e">
        <f>IF(#REF!="Ja",VLOOKUP(A40,'[1]ZArtefakte aus Listen'!A:B,2,0),"")</f>
        <v>#REF!</v>
      </c>
      <c r="Q40" s="1" t="e">
        <f>IF(#REF!="Ja",VLOOKUP(A40,'[1]ZArtefakte aus Listen'!A:D,4,0),"")</f>
        <v>#REF!</v>
      </c>
    </row>
    <row r="41" spans="1:17" ht="12.6" hidden="1">
      <c r="A41" s="1" t="s">
        <v>95</v>
      </c>
      <c r="B41" s="1" t="str">
        <f>VLOOKUP(A41,'Z-Programme'!$A$2:$A$650,1,FALSE)</f>
        <v>ZBC_GET_WORKLOAD_STATISTIC</v>
      </c>
      <c r="C41" s="1" t="s">
        <v>96</v>
      </c>
      <c r="D41" s="1" t="s">
        <v>1533</v>
      </c>
      <c r="E41" s="1" t="s">
        <v>1558</v>
      </c>
      <c r="F41" s="1" t="s">
        <v>1562</v>
      </c>
      <c r="J41" s="5" t="s">
        <v>1536</v>
      </c>
      <c r="K41" s="1" t="s">
        <v>1542</v>
      </c>
      <c r="L41" s="1" t="s">
        <v>1563</v>
      </c>
      <c r="N41" s="1" t="e">
        <f>IF(#REF!="Ja",VLOOKUP(A41,'[1]ZArtefakte aus Listen'!A:B,2,0),"")</f>
        <v>#REF!</v>
      </c>
      <c r="Q41" s="1" t="e">
        <f>IF(#REF!="Ja",VLOOKUP(A41,'[1]ZArtefakte aus Listen'!A:D,4,0),"")</f>
        <v>#REF!</v>
      </c>
    </row>
    <row r="42" spans="1:17" ht="12.6" hidden="1">
      <c r="A42" s="1" t="s">
        <v>97</v>
      </c>
      <c r="B42" s="1" t="str">
        <f>VLOOKUP(A42,'Z-Programme'!$A$2:$A$650,1,FALSE)</f>
        <v>ZBC_JOB_ABORT</v>
      </c>
      <c r="C42" s="1" t="s">
        <v>98</v>
      </c>
      <c r="D42" s="1" t="s">
        <v>1533</v>
      </c>
      <c r="E42" s="1" t="s">
        <v>1558</v>
      </c>
      <c r="F42" s="1" t="s">
        <v>1562</v>
      </c>
      <c r="J42" s="5" t="s">
        <v>1536</v>
      </c>
      <c r="K42" s="1" t="s">
        <v>1542</v>
      </c>
      <c r="L42" s="1" t="s">
        <v>1563</v>
      </c>
      <c r="N42" s="1" t="e">
        <f>IF(#REF!="Ja",VLOOKUP(A42,'[1]ZArtefakte aus Listen'!A:B,2,0),"")</f>
        <v>#REF!</v>
      </c>
      <c r="Q42" s="1" t="e">
        <f>IF(#REF!="Ja",VLOOKUP(A42,'[1]ZArtefakte aus Listen'!A:D,4,0),"")</f>
        <v>#REF!</v>
      </c>
    </row>
    <row r="43" spans="1:17" ht="12.6" hidden="1">
      <c r="A43" s="1" t="s">
        <v>99</v>
      </c>
      <c r="B43" s="1" t="str">
        <f>VLOOKUP(A43,'Z-Programme'!$A$2:$A$650,1,FALSE)</f>
        <v>ZBC_JOBCONTROL</v>
      </c>
      <c r="C43" s="1" t="s">
        <v>1570</v>
      </c>
      <c r="D43" s="1" t="s">
        <v>1533</v>
      </c>
      <c r="E43" s="1" t="s">
        <v>1558</v>
      </c>
      <c r="F43" s="1" t="s">
        <v>1562</v>
      </c>
      <c r="J43" s="5" t="s">
        <v>1536</v>
      </c>
      <c r="K43" s="1" t="s">
        <v>1542</v>
      </c>
      <c r="L43" s="1" t="s">
        <v>1563</v>
      </c>
      <c r="N43" s="1" t="e">
        <f>IF(#REF!="Ja",VLOOKUP(A43,'[1]ZArtefakte aus Listen'!A:B,2,0),"")</f>
        <v>#REF!</v>
      </c>
      <c r="Q43" s="1" t="e">
        <f>IF(#REF!="Ja",VLOOKUP(A43,'[1]ZArtefakte aus Listen'!A:D,4,0),"")</f>
        <v>#REF!</v>
      </c>
    </row>
    <row r="44" spans="1:17" ht="12.6" hidden="1">
      <c r="A44" s="1" t="s">
        <v>100</v>
      </c>
      <c r="B44" s="1" t="str">
        <f>VLOOKUP(A44,'Z-Programme'!$A$2:$A$650,1,FALSE)</f>
        <v>ZBC_LOEVM_DEBI_KREDI</v>
      </c>
      <c r="C44" s="1" t="s">
        <v>101</v>
      </c>
      <c r="D44" s="1" t="s">
        <v>1533</v>
      </c>
      <c r="E44" s="1" t="s">
        <v>1558</v>
      </c>
      <c r="F44" s="1" t="s">
        <v>1562</v>
      </c>
      <c r="J44" s="5" t="s">
        <v>1536</v>
      </c>
      <c r="K44" s="1" t="s">
        <v>1542</v>
      </c>
      <c r="L44" s="1" t="s">
        <v>1563</v>
      </c>
      <c r="N44" s="1" t="e">
        <f>IF(#REF!="Ja",VLOOKUP(A44,'[1]ZArtefakte aus Listen'!A:B,2,0),"")</f>
        <v>#REF!</v>
      </c>
      <c r="Q44" s="1" t="e">
        <f>IF(#REF!="Ja",VLOOKUP(A44,'[1]ZArtefakte aus Listen'!A:D,4,0),"")</f>
        <v>#REF!</v>
      </c>
    </row>
    <row r="45" spans="1:17" ht="12.6" hidden="1">
      <c r="A45" s="1" t="s">
        <v>102</v>
      </c>
      <c r="B45" s="1" t="str">
        <f>VLOOKUP(A45,'Z-Programme'!$A$2:$A$650,1,FALSE)</f>
        <v>ZBC_LOEVM_DEBI_KREDI_2</v>
      </c>
      <c r="C45" s="1" t="s">
        <v>103</v>
      </c>
      <c r="D45" s="1" t="s">
        <v>1533</v>
      </c>
      <c r="E45" s="1" t="s">
        <v>1558</v>
      </c>
      <c r="F45" s="1" t="s">
        <v>1562</v>
      </c>
      <c r="J45" s="5" t="s">
        <v>1536</v>
      </c>
      <c r="K45" s="1" t="s">
        <v>1542</v>
      </c>
      <c r="L45" s="1" t="s">
        <v>1563</v>
      </c>
      <c r="N45" s="1" t="e">
        <f>IF(#REF!="Ja",VLOOKUP(A45,'[1]ZArtefakte aus Listen'!A:B,2,0),"")</f>
        <v>#REF!</v>
      </c>
      <c r="Q45" s="1" t="e">
        <f>IF(#REF!="Ja",VLOOKUP(A45,'[1]ZArtefakte aus Listen'!A:D,4,0),"")</f>
        <v>#REF!</v>
      </c>
    </row>
    <row r="46" spans="1:17" ht="12.6" hidden="1">
      <c r="A46" s="1" t="s">
        <v>104</v>
      </c>
      <c r="B46" s="1" t="str">
        <f>VLOOKUP(A46,'Z-Programme'!$A$2:$A$650,1,FALSE)</f>
        <v>ZBC_LOGO_SWITCH</v>
      </c>
      <c r="C46" s="1" t="s">
        <v>1571</v>
      </c>
      <c r="D46" s="1" t="s">
        <v>1533</v>
      </c>
      <c r="E46" s="1" t="s">
        <v>1558</v>
      </c>
      <c r="F46" s="1" t="s">
        <v>1562</v>
      </c>
      <c r="J46" s="5" t="s">
        <v>1536</v>
      </c>
      <c r="K46" s="1" t="s">
        <v>1542</v>
      </c>
      <c r="L46" s="1" t="s">
        <v>1563</v>
      </c>
      <c r="N46" s="1" t="e">
        <f>IF(#REF!="Ja",VLOOKUP(A46,'[1]ZArtefakte aus Listen'!A:B,2,0),"")</f>
        <v>#REF!</v>
      </c>
      <c r="Q46" s="1" t="e">
        <f>IF(#REF!="Ja",VLOOKUP(A46,'[1]ZArtefakte aus Listen'!A:D,4,0),"")</f>
        <v>#REF!</v>
      </c>
    </row>
    <row r="47" spans="1:17" ht="12.6" hidden="1">
      <c r="A47" s="1" t="s">
        <v>107</v>
      </c>
      <c r="B47" s="1" t="str">
        <f>VLOOKUP(A47,'Z-Programme'!$A$2:$A$650,1,FALSE)</f>
        <v>ZBC_MAESTRO</v>
      </c>
      <c r="C47" s="1" t="s">
        <v>107</v>
      </c>
      <c r="D47" s="1" t="s">
        <v>1533</v>
      </c>
      <c r="E47" s="1" t="s">
        <v>1534</v>
      </c>
      <c r="F47" s="1" t="s">
        <v>1544</v>
      </c>
      <c r="J47" s="5" t="s">
        <v>1536</v>
      </c>
      <c r="K47" s="1" t="s">
        <v>1537</v>
      </c>
      <c r="L47" s="1" t="s">
        <v>1567</v>
      </c>
      <c r="N47" s="1" t="e">
        <f>IF(#REF!="Ja",VLOOKUP(A47,'[1]ZArtefakte aus Listen'!A:B,2,0),"")</f>
        <v>#REF!</v>
      </c>
      <c r="Q47" s="1" t="e">
        <f>IF(#REF!="Ja",VLOOKUP(A47,'[1]ZArtefakte aus Listen'!A:D,4,0),"")</f>
        <v>#REF!</v>
      </c>
    </row>
    <row r="48" spans="1:17" ht="12.6" hidden="1">
      <c r="A48" s="1" t="s">
        <v>108</v>
      </c>
      <c r="B48" s="1" t="str">
        <f>VLOOKUP(A48,'Z-Programme'!$A$2:$A$650,1,FALSE)</f>
        <v>ZBC_NACH_UPDATE_TESTSYSTEM</v>
      </c>
      <c r="C48" s="1" t="s">
        <v>110</v>
      </c>
      <c r="D48" s="1" t="s">
        <v>1533</v>
      </c>
      <c r="E48" s="1" t="s">
        <v>1558</v>
      </c>
      <c r="F48" s="1" t="s">
        <v>1562</v>
      </c>
      <c r="J48" s="5" t="s">
        <v>1536</v>
      </c>
      <c r="K48" s="1" t="s">
        <v>1542</v>
      </c>
      <c r="L48" s="1" t="s">
        <v>1563</v>
      </c>
      <c r="N48" s="1" t="e">
        <f>IF(#REF!="Ja",VLOOKUP(A48,'[1]ZArtefakte aus Listen'!A:B,2,0),"")</f>
        <v>#REF!</v>
      </c>
      <c r="Q48" s="1" t="e">
        <f>IF(#REF!="Ja",VLOOKUP(A48,'[1]ZArtefakte aus Listen'!A:D,4,0),"")</f>
        <v>#REF!</v>
      </c>
    </row>
    <row r="49" spans="1:17" ht="12.6" hidden="1">
      <c r="A49" s="1" t="s">
        <v>111</v>
      </c>
      <c r="B49" s="1" t="str">
        <f>VLOOKUP(A49,'Z-Programme'!$A$2:$A$650,1,FALSE)</f>
        <v>ZBC_NOTFALLUSERAKTIEVIERUNG</v>
      </c>
      <c r="C49" s="1" t="s">
        <v>112</v>
      </c>
      <c r="D49" s="1" t="s">
        <v>1533</v>
      </c>
      <c r="E49" s="1" t="s">
        <v>1558</v>
      </c>
      <c r="F49" s="1" t="s">
        <v>1562</v>
      </c>
      <c r="J49" s="5" t="s">
        <v>1536</v>
      </c>
      <c r="K49" s="1" t="s">
        <v>1542</v>
      </c>
      <c r="L49" s="1" t="s">
        <v>1563</v>
      </c>
      <c r="N49" s="1" t="e">
        <f>IF(#REF!="Ja",VLOOKUP(A49,'[1]ZArtefakte aus Listen'!A:B,2,0),"")</f>
        <v>#REF!</v>
      </c>
      <c r="Q49" s="1" t="e">
        <f>IF(#REF!="Ja",VLOOKUP(A49,'[1]ZArtefakte aus Listen'!A:D,4,0),"")</f>
        <v>#REF!</v>
      </c>
    </row>
    <row r="50" spans="1:17" ht="12.6" hidden="1">
      <c r="A50" s="1" t="s">
        <v>113</v>
      </c>
      <c r="B50" s="1" t="str">
        <f>VLOOKUP(A50,'Z-Programme'!$A$2:$A$650,1,FALSE)</f>
        <v>ZBC_OREA_COA</v>
      </c>
      <c r="C50" s="1" t="s">
        <v>115</v>
      </c>
      <c r="D50" s="1" t="s">
        <v>1533</v>
      </c>
      <c r="E50" s="1" t="s">
        <v>1558</v>
      </c>
      <c r="F50" s="1" t="s">
        <v>1549</v>
      </c>
      <c r="G50" s="1" t="s">
        <v>1572</v>
      </c>
      <c r="K50" s="58" t="s">
        <v>1573</v>
      </c>
      <c r="N50" s="1" t="e">
        <f>IF(#REF!="Ja",VLOOKUP(A50,'[1]ZArtefakte aus Listen'!A:B,2,0),"")</f>
        <v>#REF!</v>
      </c>
      <c r="P50" s="58"/>
      <c r="Q50" s="1" t="e">
        <f>IF(#REF!="Ja",VLOOKUP(A50,'[1]ZArtefakte aus Listen'!A:D,4,0),"")</f>
        <v>#REF!</v>
      </c>
    </row>
    <row r="51" spans="1:17" ht="12.6" hidden="1">
      <c r="A51" s="1" t="s">
        <v>116</v>
      </c>
      <c r="B51" s="1" t="str">
        <f>VLOOKUP(A51,'Z-Programme'!$A$2:$A$650,1,FALSE)</f>
        <v>ZBC_OREA_COA_NACHVERARBEITUNG</v>
      </c>
      <c r="C51" s="1" t="s">
        <v>117</v>
      </c>
      <c r="D51" s="1" t="s">
        <v>1533</v>
      </c>
      <c r="E51" s="1" t="s">
        <v>1558</v>
      </c>
      <c r="F51" s="1" t="s">
        <v>1562</v>
      </c>
      <c r="J51" s="5" t="s">
        <v>1536</v>
      </c>
      <c r="K51" s="1" t="s">
        <v>1542</v>
      </c>
      <c r="L51" s="1" t="s">
        <v>1563</v>
      </c>
      <c r="N51" s="1" t="e">
        <f>IF(#REF!="Ja",VLOOKUP(A51,'[1]ZArtefakte aus Listen'!A:B,2,0),"")</f>
        <v>#REF!</v>
      </c>
      <c r="Q51" s="1" t="e">
        <f>IF(#REF!="Ja",VLOOKUP(A51,'[1]ZArtefakte aus Listen'!A:D,4,0),"")</f>
        <v>#REF!</v>
      </c>
    </row>
    <row r="52" spans="1:17" ht="12.6" hidden="1">
      <c r="A52" s="1" t="s">
        <v>118</v>
      </c>
      <c r="B52" s="1" t="str">
        <f>VLOOKUP(A52,'Z-Programme'!$A$2:$A$650,1,FALSE)</f>
        <v>ZBC_OREA_COA_TEST</v>
      </c>
      <c r="C52" s="1" t="s">
        <v>1574</v>
      </c>
      <c r="D52" s="1" t="s">
        <v>1533</v>
      </c>
      <c r="E52" s="1" t="s">
        <v>1558</v>
      </c>
      <c r="F52" s="1" t="s">
        <v>1562</v>
      </c>
      <c r="J52" s="5" t="s">
        <v>1536</v>
      </c>
      <c r="K52" s="1" t="s">
        <v>1542</v>
      </c>
      <c r="L52" s="1" t="s">
        <v>1563</v>
      </c>
      <c r="N52" s="1" t="e">
        <f>IF(#REF!="Ja",VLOOKUP(A52,'[1]ZArtefakte aus Listen'!A:B,2,0),"")</f>
        <v>#REF!</v>
      </c>
      <c r="Q52" s="1" t="e">
        <f>IF(#REF!="Ja",VLOOKUP(A52,'[1]ZArtefakte aus Listen'!A:D,4,0),"")</f>
        <v>#REF!</v>
      </c>
    </row>
    <row r="53" spans="1:17" ht="12.6" hidden="1">
      <c r="A53" s="1" t="s">
        <v>120</v>
      </c>
      <c r="B53" s="1" t="str">
        <f>VLOOKUP(A53,'Z-Programme'!$A$2:$A$650,1,FALSE)</f>
        <v>ZBC_OREA_COA_USER_LOESCHEN</v>
      </c>
      <c r="C53" s="1" t="s">
        <v>122</v>
      </c>
      <c r="D53" s="1" t="s">
        <v>1533</v>
      </c>
      <c r="E53" s="1" t="s">
        <v>1558</v>
      </c>
      <c r="F53" s="1" t="s">
        <v>1562</v>
      </c>
      <c r="J53" s="5" t="s">
        <v>1536</v>
      </c>
      <c r="K53" s="1" t="s">
        <v>1542</v>
      </c>
      <c r="L53" s="1" t="s">
        <v>1563</v>
      </c>
      <c r="N53" s="1" t="e">
        <f>IF(#REF!="Ja",VLOOKUP(A53,'[1]ZArtefakte aus Listen'!A:B,2,0),"")</f>
        <v>#REF!</v>
      </c>
      <c r="Q53" s="1" t="e">
        <f>IF(#REF!="Ja",VLOOKUP(A53,'[1]ZArtefakte aus Listen'!A:D,4,0),"")</f>
        <v>#REF!</v>
      </c>
    </row>
    <row r="54" spans="1:17" ht="12.6" hidden="1">
      <c r="A54" s="1" t="s">
        <v>123</v>
      </c>
      <c r="B54" s="1" t="str">
        <f>VLOOKUP(A54,'Z-Programme'!$A$2:$A$650,1,FALSE)</f>
        <v>ZBC_OREA_FREIGEBER_TEST</v>
      </c>
      <c r="C54" s="1" t="s">
        <v>124</v>
      </c>
      <c r="D54" s="1" t="s">
        <v>1533</v>
      </c>
      <c r="E54" s="1" t="s">
        <v>1558</v>
      </c>
      <c r="F54" s="1" t="s">
        <v>1549</v>
      </c>
      <c r="G54" s="1" t="s">
        <v>1572</v>
      </c>
      <c r="K54" s="58" t="s">
        <v>1573</v>
      </c>
      <c r="N54" s="1" t="e">
        <f>IF(#REF!="Ja",VLOOKUP(A54,'[1]ZArtefakte aus Listen'!A:B,2,0),"")</f>
        <v>#REF!</v>
      </c>
      <c r="P54" s="58"/>
      <c r="Q54" s="1" t="e">
        <f>IF(#REF!="Ja",VLOOKUP(A54,'[1]ZArtefakte aus Listen'!A:D,4,0),"")</f>
        <v>#REF!</v>
      </c>
    </row>
    <row r="55" spans="1:17" ht="12.6" hidden="1">
      <c r="A55" s="1" t="s">
        <v>125</v>
      </c>
      <c r="B55" s="1" t="str">
        <f>VLOOKUP(A55,'Z-Programme'!$A$2:$A$650,1,FALSE)</f>
        <v>ZBC_SET_TVARVC</v>
      </c>
      <c r="C55" s="1" t="s">
        <v>126</v>
      </c>
      <c r="D55" s="1" t="s">
        <v>1533</v>
      </c>
      <c r="E55" s="1" t="s">
        <v>1558</v>
      </c>
      <c r="F55" s="1" t="s">
        <v>1562</v>
      </c>
      <c r="J55" s="5" t="s">
        <v>1536</v>
      </c>
      <c r="K55" s="1" t="s">
        <v>1542</v>
      </c>
      <c r="L55" s="1" t="s">
        <v>1563</v>
      </c>
      <c r="N55" s="1" t="e">
        <f>IF(#REF!="Ja",VLOOKUP(A55,'[1]ZArtefakte aus Listen'!A:B,2,0),"")</f>
        <v>#REF!</v>
      </c>
      <c r="Q55" s="1" t="e">
        <f>IF(#REF!="Ja",VLOOKUP(A55,'[1]ZArtefakte aus Listen'!A:D,4,0),"")</f>
        <v>#REF!</v>
      </c>
    </row>
    <row r="56" spans="1:17" ht="12.6" hidden="1">
      <c r="A56" s="1" t="s">
        <v>127</v>
      </c>
      <c r="B56" s="1" t="str">
        <f>VLOOKUP(A56,'Z-Programme'!$A$2:$A$650,1,FALSE)</f>
        <v>ZBC_SPERR_STAMM_DS</v>
      </c>
      <c r="C56" s="1" t="s">
        <v>128</v>
      </c>
      <c r="D56" s="1" t="s">
        <v>1533</v>
      </c>
      <c r="E56" s="1" t="s">
        <v>1558</v>
      </c>
      <c r="F56" s="1" t="s">
        <v>1562</v>
      </c>
      <c r="J56" s="5" t="s">
        <v>1536</v>
      </c>
      <c r="K56" s="1" t="s">
        <v>1542</v>
      </c>
      <c r="L56" s="1" t="s">
        <v>1563</v>
      </c>
      <c r="N56" s="1" t="e">
        <f>IF(#REF!="Ja",VLOOKUP(A56,'[1]ZArtefakte aus Listen'!A:B,2,0),"")</f>
        <v>#REF!</v>
      </c>
      <c r="Q56" s="1" t="e">
        <f>IF(#REF!="Ja",VLOOKUP(A56,'[1]ZArtefakte aus Listen'!A:D,4,0),"")</f>
        <v>#REF!</v>
      </c>
    </row>
    <row r="57" spans="1:17" ht="12.6" hidden="1">
      <c r="A57" s="1" t="s">
        <v>129</v>
      </c>
      <c r="B57" s="1" t="str">
        <f>VLOOKUP(A57,'Z-Programme'!$A$2:$A$650,1,FALSE)</f>
        <v>ZBC_SPOOL_ARCHIV</v>
      </c>
      <c r="C57" s="1" t="s">
        <v>130</v>
      </c>
      <c r="D57" s="1" t="s">
        <v>1533</v>
      </c>
      <c r="E57" s="1" t="s">
        <v>1558</v>
      </c>
      <c r="F57" s="1" t="s">
        <v>1562</v>
      </c>
      <c r="J57" s="5" t="s">
        <v>1536</v>
      </c>
      <c r="K57" s="1" t="s">
        <v>1542</v>
      </c>
      <c r="L57" s="1" t="s">
        <v>1563</v>
      </c>
      <c r="N57" s="1" t="e">
        <f>IF(#REF!="Ja",VLOOKUP(A57,'[1]ZArtefakte aus Listen'!A:B,2,0),"")</f>
        <v>#REF!</v>
      </c>
      <c r="Q57" s="1" t="e">
        <f>IF(#REF!="Ja",VLOOKUP(A57,'[1]ZArtefakte aus Listen'!A:D,4,0),"")</f>
        <v>#REF!</v>
      </c>
    </row>
    <row r="58" spans="1:17" ht="12.6" hidden="1">
      <c r="A58" s="1" t="s">
        <v>131</v>
      </c>
      <c r="B58" s="1" t="str">
        <f>VLOOKUP(A58,'Z-Programme'!$A$2:$A$650,1,FALSE)</f>
        <v>ZBC_SPOOL_OUTPUT</v>
      </c>
      <c r="C58" s="1" t="s">
        <v>132</v>
      </c>
      <c r="D58" s="1" t="s">
        <v>1533</v>
      </c>
      <c r="E58" s="1" t="s">
        <v>1558</v>
      </c>
      <c r="F58" s="1" t="s">
        <v>1562</v>
      </c>
      <c r="J58" s="5" t="s">
        <v>1536</v>
      </c>
      <c r="K58" s="1" t="s">
        <v>1542</v>
      </c>
      <c r="L58" s="1" t="s">
        <v>1563</v>
      </c>
      <c r="N58" s="1" t="e">
        <f>IF(#REF!="Ja",VLOOKUP(A58,'[1]ZArtefakte aus Listen'!A:B,2,0),"")</f>
        <v>#REF!</v>
      </c>
      <c r="Q58" s="1" t="e">
        <f>IF(#REF!="Ja",VLOOKUP(A58,'[1]ZArtefakte aus Listen'!A:D,4,0),"")</f>
        <v>#REF!</v>
      </c>
    </row>
    <row r="59" spans="1:17" ht="12.6" hidden="1">
      <c r="A59" s="1" t="s">
        <v>133</v>
      </c>
      <c r="B59" s="1" t="str">
        <f>VLOOKUP(A59,'Z-Programme'!$A$2:$A$650,1,FALSE)</f>
        <v>ZBC_SPOOL_PCOUNT</v>
      </c>
      <c r="C59" s="1" t="s">
        <v>134</v>
      </c>
      <c r="D59" s="1" t="s">
        <v>1533</v>
      </c>
      <c r="E59" s="1" t="s">
        <v>1558</v>
      </c>
      <c r="F59" s="1" t="s">
        <v>1562</v>
      </c>
      <c r="J59" s="5" t="s">
        <v>1536</v>
      </c>
      <c r="K59" s="1" t="s">
        <v>1542</v>
      </c>
      <c r="L59" s="1" t="s">
        <v>1563</v>
      </c>
      <c r="N59" s="1" t="e">
        <f>IF(#REF!="Ja",VLOOKUP(A59,'[1]ZArtefakte aus Listen'!A:B,2,0),"")</f>
        <v>#REF!</v>
      </c>
      <c r="Q59" s="1" t="e">
        <f>IF(#REF!="Ja",VLOOKUP(A59,'[1]ZArtefakte aus Listen'!A:D,4,0),"")</f>
        <v>#REF!</v>
      </c>
    </row>
    <row r="60" spans="1:17" ht="12.6" hidden="1">
      <c r="A60" s="1" t="s">
        <v>135</v>
      </c>
      <c r="B60" s="1" t="str">
        <f>VLOOKUP(A60,'Z-Programme'!$A$2:$A$650,1,FALSE)</f>
        <v>ZBC_ST03N</v>
      </c>
      <c r="C60" s="1" t="s">
        <v>136</v>
      </c>
      <c r="D60" s="1" t="s">
        <v>1533</v>
      </c>
      <c r="E60" s="1" t="s">
        <v>1558</v>
      </c>
      <c r="F60" s="1" t="s">
        <v>1562</v>
      </c>
      <c r="J60" s="5" t="s">
        <v>1536</v>
      </c>
      <c r="K60" s="1" t="s">
        <v>1542</v>
      </c>
      <c r="L60" s="1" t="s">
        <v>1563</v>
      </c>
      <c r="N60" s="1" t="e">
        <f>IF(#REF!="Ja",VLOOKUP(A60,'[1]ZArtefakte aus Listen'!A:B,2,0),"")</f>
        <v>#REF!</v>
      </c>
      <c r="Q60" s="1" t="e">
        <f>IF(#REF!="Ja",VLOOKUP(A60,'[1]ZArtefakte aus Listen'!A:D,4,0),"")</f>
        <v>#REF!</v>
      </c>
    </row>
    <row r="61" spans="1:17" ht="12.6" hidden="1">
      <c r="A61" s="1" t="s">
        <v>137</v>
      </c>
      <c r="B61" s="1" t="str">
        <f>VLOOKUP(A61,'Z-Programme'!$A$2:$A$650,1,FALSE)</f>
        <v>ZBC_TAB_EXPIMP</v>
      </c>
      <c r="C61" s="1" t="s">
        <v>138</v>
      </c>
      <c r="D61" s="1" t="s">
        <v>1533</v>
      </c>
      <c r="E61" s="1" t="s">
        <v>1558</v>
      </c>
      <c r="F61" s="1" t="s">
        <v>1562</v>
      </c>
      <c r="J61" s="5" t="s">
        <v>1536</v>
      </c>
      <c r="K61" s="1" t="s">
        <v>1542</v>
      </c>
      <c r="L61" s="1" t="s">
        <v>1563</v>
      </c>
      <c r="N61" s="1" t="e">
        <f>IF(#REF!="Ja",VLOOKUP(A61,'[1]ZArtefakte aus Listen'!A:B,2,0),"")</f>
        <v>#REF!</v>
      </c>
      <c r="Q61" s="1" t="e">
        <f>IF(#REF!="Ja",VLOOKUP(A61,'[1]ZArtefakte aus Listen'!A:D,4,0),"")</f>
        <v>#REF!</v>
      </c>
    </row>
    <row r="62" spans="1:17" ht="12.6" hidden="1">
      <c r="A62" s="1" t="s">
        <v>139</v>
      </c>
      <c r="B62" s="1" t="str">
        <f>VLOOKUP(A62,'Z-Programme'!$A$2:$A$650,1,FALSE)</f>
        <v>ZBC_TABELLEN_TRANSFER</v>
      </c>
      <c r="C62" s="1" t="s">
        <v>140</v>
      </c>
      <c r="D62" s="1" t="s">
        <v>1533</v>
      </c>
      <c r="E62" s="1" t="s">
        <v>1558</v>
      </c>
      <c r="F62" s="1" t="s">
        <v>1562</v>
      </c>
      <c r="J62" s="5" t="s">
        <v>1536</v>
      </c>
      <c r="K62" s="1" t="s">
        <v>1542</v>
      </c>
      <c r="L62" s="1" t="s">
        <v>1563</v>
      </c>
      <c r="N62" s="1" t="e">
        <f>IF(#REF!="Ja",VLOOKUP(A62,'[1]ZArtefakte aus Listen'!A:B,2,0),"")</f>
        <v>#REF!</v>
      </c>
      <c r="Q62" s="1" t="e">
        <f>IF(#REF!="Ja",VLOOKUP(A62,'[1]ZArtefakte aus Listen'!A:D,4,0),"")</f>
        <v>#REF!</v>
      </c>
    </row>
    <row r="63" spans="1:17" ht="12.6" hidden="1">
      <c r="A63" s="1" t="s">
        <v>141</v>
      </c>
      <c r="B63" s="1" t="str">
        <f>VLOOKUP(A63,'Z-Programme'!$A$2:$A$650,1,FALSE)</f>
        <v>ZBC_USERINAKTIVIERUNG</v>
      </c>
      <c r="C63" s="1" t="s">
        <v>112</v>
      </c>
      <c r="D63" s="1" t="s">
        <v>1533</v>
      </c>
      <c r="E63" s="1" t="s">
        <v>1558</v>
      </c>
      <c r="F63" s="1" t="s">
        <v>109</v>
      </c>
      <c r="G63" s="1" t="s">
        <v>1572</v>
      </c>
      <c r="K63" s="58" t="s">
        <v>1573</v>
      </c>
      <c r="L63" s="1" t="s">
        <v>1575</v>
      </c>
      <c r="N63" s="1" t="e">
        <f>IF(#REF!="Ja",VLOOKUP(A63,'[1]ZArtefakte aus Listen'!A:B,2,0),"")</f>
        <v>#REF!</v>
      </c>
      <c r="P63" s="58"/>
      <c r="Q63" s="1" t="e">
        <f>IF(#REF!="Ja",VLOOKUP(A63,'[1]ZArtefakte aus Listen'!A:D,4,0),"")</f>
        <v>#REF!</v>
      </c>
    </row>
    <row r="64" spans="1:17" ht="12.6" hidden="1">
      <c r="A64" s="1" t="s">
        <v>143</v>
      </c>
      <c r="B64" s="1" t="str">
        <f>VLOOKUP(A64,'Z-Programme'!$A$2:$A$650,1,FALSE)</f>
        <v>ZBC_VARIANT_LIST</v>
      </c>
      <c r="C64" s="1" t="s">
        <v>144</v>
      </c>
      <c r="D64" s="1" t="s">
        <v>1533</v>
      </c>
      <c r="E64" s="1" t="s">
        <v>1558</v>
      </c>
      <c r="F64" s="1" t="s">
        <v>1562</v>
      </c>
      <c r="J64" s="5" t="s">
        <v>1536</v>
      </c>
      <c r="K64" s="1" t="s">
        <v>1542</v>
      </c>
      <c r="L64" s="1" t="s">
        <v>1563</v>
      </c>
      <c r="N64" s="1" t="e">
        <f>IF(#REF!="Ja",VLOOKUP(A64,'[1]ZArtefakte aus Listen'!A:B,2,0),"")</f>
        <v>#REF!</v>
      </c>
      <c r="Q64" s="1" t="e">
        <f>IF(#REF!="Ja",VLOOKUP(A64,'[1]ZArtefakte aus Listen'!A:D,4,0),"")</f>
        <v>#REF!</v>
      </c>
    </row>
    <row r="65" spans="1:17" ht="12.6" hidden="1">
      <c r="A65" s="1" t="s">
        <v>145</v>
      </c>
      <c r="B65" s="1" t="str">
        <f>VLOOKUP(A65,'Z-Programme'!$A$2:$A$650,1,FALSE)</f>
        <v>ZBC_VARIANT_LIST_ALV</v>
      </c>
      <c r="C65" s="1" t="s">
        <v>144</v>
      </c>
      <c r="D65" s="1" t="s">
        <v>1533</v>
      </c>
      <c r="E65" s="1" t="s">
        <v>1558</v>
      </c>
      <c r="F65" s="1" t="s">
        <v>1562</v>
      </c>
      <c r="J65" s="5" t="s">
        <v>1536</v>
      </c>
      <c r="K65" s="1" t="s">
        <v>1542</v>
      </c>
      <c r="L65" s="1" t="s">
        <v>1563</v>
      </c>
      <c r="N65" s="1" t="e">
        <f>IF(#REF!="Ja",VLOOKUP(A65,'[1]ZArtefakte aus Listen'!A:B,2,0),"")</f>
        <v>#REF!</v>
      </c>
      <c r="Q65" s="1" t="e">
        <f>IF(#REF!="Ja",VLOOKUP(A65,'[1]ZArtefakte aus Listen'!A:D,4,0),"")</f>
        <v>#REF!</v>
      </c>
    </row>
    <row r="66" spans="1:17" ht="12.6" hidden="1">
      <c r="A66" s="1" t="s">
        <v>146</v>
      </c>
      <c r="B66" s="1" t="str">
        <f>VLOOKUP(A66,'Z-Programme'!$A$2:$A$650,1,FALSE)</f>
        <v>ZBC_ZEMAREP_FRGREORG</v>
      </c>
      <c r="C66" s="1" t="s">
        <v>147</v>
      </c>
      <c r="D66" s="1" t="s">
        <v>1533</v>
      </c>
      <c r="E66" s="1" t="s">
        <v>1558</v>
      </c>
      <c r="F66" s="1" t="s">
        <v>109</v>
      </c>
      <c r="G66" s="1" t="s">
        <v>1572</v>
      </c>
      <c r="K66" s="58" t="s">
        <v>1573</v>
      </c>
      <c r="L66" s="1" t="s">
        <v>1576</v>
      </c>
      <c r="N66" s="1" t="e">
        <f>IF(#REF!="Ja",VLOOKUP(A66,'[1]ZArtefakte aus Listen'!A:B,2,0),"")</f>
        <v>#REF!</v>
      </c>
      <c r="P66" s="58"/>
      <c r="Q66" s="1" t="e">
        <f>IF(#REF!="Ja",VLOOKUP(A66,'[1]ZArtefakte aus Listen'!A:D,4,0),"")</f>
        <v>#REF!</v>
      </c>
    </row>
    <row r="67" spans="1:17" ht="12.6" hidden="1">
      <c r="A67" s="1" t="s">
        <v>148</v>
      </c>
      <c r="B67" s="1" t="str">
        <f>VLOOKUP(A67,'Z-Programme'!$A$2:$A$650,1,FALSE)</f>
        <v>ZBC_ZEMAREP_GET</v>
      </c>
      <c r="C67" s="1" t="s">
        <v>149</v>
      </c>
      <c r="D67" s="1" t="s">
        <v>1533</v>
      </c>
      <c r="E67" s="1" t="s">
        <v>1558</v>
      </c>
      <c r="F67" s="1" t="s">
        <v>109</v>
      </c>
      <c r="G67" s="1" t="s">
        <v>1572</v>
      </c>
      <c r="K67" s="58" t="s">
        <v>1573</v>
      </c>
      <c r="L67" s="1" t="s">
        <v>1576</v>
      </c>
      <c r="N67" s="1" t="e">
        <f>IF(#REF!="Ja",VLOOKUP(A67,'[1]ZArtefakte aus Listen'!A:B,2,0),"")</f>
        <v>#REF!</v>
      </c>
      <c r="P67" s="58"/>
      <c r="Q67" s="1" t="e">
        <f>IF(#REF!="Ja",VLOOKUP(A67,'[1]ZArtefakte aus Listen'!A:D,4,0),"")</f>
        <v>#REF!</v>
      </c>
    </row>
    <row r="68" spans="1:17" ht="12.6" hidden="1">
      <c r="A68" s="1" t="s">
        <v>150</v>
      </c>
      <c r="B68" s="1" t="str">
        <f>VLOOKUP(A68,'Z-Programme'!$A$2:$A$650,1,FALSE)</f>
        <v>ZBC_ZEMAREP_USER</v>
      </c>
      <c r="C68" s="1" t="s">
        <v>151</v>
      </c>
      <c r="D68" s="1" t="s">
        <v>1533</v>
      </c>
      <c r="E68" s="1" t="s">
        <v>1558</v>
      </c>
      <c r="F68" s="1" t="s">
        <v>109</v>
      </c>
      <c r="G68" s="1" t="s">
        <v>1572</v>
      </c>
      <c r="K68" s="58" t="s">
        <v>1573</v>
      </c>
      <c r="L68" s="1" t="s">
        <v>1576</v>
      </c>
      <c r="N68" s="1" t="e">
        <f>IF(#REF!="Ja",VLOOKUP(A68,'[1]ZArtefakte aus Listen'!A:B,2,0),"")</f>
        <v>#REF!</v>
      </c>
      <c r="P68" s="58"/>
      <c r="Q68" s="1" t="e">
        <f>IF(#REF!="Ja",VLOOKUP(A68,'[1]ZArtefakte aus Listen'!A:D,4,0),"")</f>
        <v>#REF!</v>
      </c>
    </row>
    <row r="69" spans="1:17" ht="12.6" hidden="1">
      <c r="A69" s="1" t="s">
        <v>152</v>
      </c>
      <c r="B69" s="1" t="str">
        <f>VLOOKUP(A69,'Z-Programme'!$A$2:$A$650,1,FALSE)</f>
        <v>ZBC_ZEMAREP_USERCHG_REO</v>
      </c>
      <c r="C69" s="1" t="s">
        <v>153</v>
      </c>
      <c r="D69" s="1" t="s">
        <v>1533</v>
      </c>
      <c r="E69" s="1" t="s">
        <v>1558</v>
      </c>
      <c r="F69" s="1" t="s">
        <v>109</v>
      </c>
      <c r="G69" s="1" t="s">
        <v>1572</v>
      </c>
      <c r="K69" s="58" t="s">
        <v>1573</v>
      </c>
      <c r="L69" s="1" t="s">
        <v>1576</v>
      </c>
      <c r="N69" s="1" t="e">
        <f>IF(#REF!="Ja",VLOOKUP(A69,'[1]ZArtefakte aus Listen'!A:B,2,0),"")</f>
        <v>#REF!</v>
      </c>
      <c r="P69" s="58"/>
      <c r="Q69" s="1" t="e">
        <f>IF(#REF!="Ja",VLOOKUP(A69,'[1]ZArtefakte aus Listen'!A:D,4,0),"")</f>
        <v>#REF!</v>
      </c>
    </row>
    <row r="70" spans="1:17" ht="12.6" hidden="1">
      <c r="A70" s="1" t="s">
        <v>154</v>
      </c>
      <c r="B70" s="1" t="str">
        <f>VLOOKUP(A70,'Z-Programme'!$A$2:$A$650,1,FALSE)</f>
        <v>ZBC_ZEMAREP_USRGUELT</v>
      </c>
      <c r="C70" s="1" t="s">
        <v>155</v>
      </c>
      <c r="D70" s="1" t="s">
        <v>1533</v>
      </c>
      <c r="E70" s="1" t="s">
        <v>1558</v>
      </c>
      <c r="F70" s="1" t="s">
        <v>109</v>
      </c>
      <c r="G70" s="1" t="s">
        <v>1572</v>
      </c>
      <c r="K70" s="58" t="s">
        <v>1573</v>
      </c>
      <c r="L70" s="1" t="s">
        <v>1576</v>
      </c>
      <c r="N70" s="1" t="e">
        <f>IF(#REF!="Ja",VLOOKUP(A70,'[1]ZArtefakte aus Listen'!A:B,2,0),"")</f>
        <v>#REF!</v>
      </c>
      <c r="P70" s="58"/>
      <c r="Q70" s="1" t="e">
        <f>IF(#REF!="Ja",VLOOKUP(A70,'[1]ZArtefakte aus Listen'!A:D,4,0),"")</f>
        <v>#REF!</v>
      </c>
    </row>
    <row r="71" spans="1:17" ht="12.6" hidden="1">
      <c r="A71" s="1" t="s">
        <v>156</v>
      </c>
      <c r="B71" s="1" t="str">
        <f>VLOOKUP(A71,'Z-Programme'!$A$2:$A$650,1,FALSE)</f>
        <v>ZBC_ZRSLG_SERVERS_1692951</v>
      </c>
      <c r="C71" s="1" t="s">
        <v>157</v>
      </c>
      <c r="D71" s="1" t="s">
        <v>1533</v>
      </c>
      <c r="E71" s="1" t="s">
        <v>1558</v>
      </c>
      <c r="F71" s="1" t="s">
        <v>1562</v>
      </c>
      <c r="J71" s="5" t="s">
        <v>1536</v>
      </c>
      <c r="K71" s="1" t="s">
        <v>1542</v>
      </c>
      <c r="L71" s="1" t="s">
        <v>1563</v>
      </c>
      <c r="N71" s="1" t="e">
        <f>IF(#REF!="Ja",VLOOKUP(A71,'[1]ZArtefakte aus Listen'!A:B,2,0),"")</f>
        <v>#REF!</v>
      </c>
      <c r="Q71" s="1" t="e">
        <f>IF(#REF!="Ja",VLOOKUP(A71,'[1]ZArtefakte aus Listen'!A:D,4,0),"")</f>
        <v>#REF!</v>
      </c>
    </row>
    <row r="72" spans="1:17" ht="12.6" hidden="1">
      <c r="A72" s="1" t="s">
        <v>158</v>
      </c>
      <c r="B72" s="1" t="str">
        <f>VLOOKUP(A72,'Z-Programme'!$A$2:$A$650,1,FALSE)</f>
        <v>ZBC_ZRUTDDLSLDEL_2163340</v>
      </c>
      <c r="C72" s="1" t="s">
        <v>157</v>
      </c>
      <c r="D72" s="1" t="s">
        <v>1533</v>
      </c>
      <c r="E72" s="1" t="s">
        <v>1558</v>
      </c>
      <c r="F72" s="1" t="s">
        <v>1562</v>
      </c>
      <c r="J72" s="5" t="s">
        <v>1536</v>
      </c>
      <c r="K72" s="1" t="s">
        <v>1542</v>
      </c>
      <c r="L72" s="1" t="s">
        <v>1563</v>
      </c>
      <c r="N72" s="1" t="e">
        <f>IF(#REF!="Ja",VLOOKUP(A72,'[1]ZArtefakte aus Listen'!A:B,2,0),"")</f>
        <v>#REF!</v>
      </c>
      <c r="Q72" s="1" t="e">
        <f>IF(#REF!="Ja",VLOOKUP(A72,'[1]ZArtefakte aus Listen'!A:D,4,0),"")</f>
        <v>#REF!</v>
      </c>
    </row>
    <row r="73" spans="1:17" ht="12.6" hidden="1">
      <c r="A73" s="1" t="s">
        <v>159</v>
      </c>
      <c r="B73" s="1" t="str">
        <f>VLOOKUP(A73,'Z-Programme'!$A$2:$A$650,1,FALSE)</f>
        <v>ZCA_MAIL2</v>
      </c>
      <c r="C73" s="1" t="s">
        <v>160</v>
      </c>
      <c r="D73" s="1" t="s">
        <v>1533</v>
      </c>
      <c r="E73" s="1" t="s">
        <v>1558</v>
      </c>
      <c r="F73" s="1" t="s">
        <v>1562</v>
      </c>
      <c r="J73" s="5" t="s">
        <v>1536</v>
      </c>
      <c r="K73" s="1" t="s">
        <v>1542</v>
      </c>
      <c r="L73" s="1" t="s">
        <v>1563</v>
      </c>
      <c r="N73" s="1" t="e">
        <f>IF(#REF!="Ja",VLOOKUP(A73,'[1]ZArtefakte aus Listen'!A:B,2,0),"")</f>
        <v>#REF!</v>
      </c>
      <c r="Q73" s="1" t="e">
        <f>IF(#REF!="Ja",VLOOKUP(A73,'[1]ZArtefakte aus Listen'!A:D,4,0),"")</f>
        <v>#REF!</v>
      </c>
    </row>
    <row r="74" spans="1:17" ht="12.6" hidden="1">
      <c r="A74" s="1" t="s">
        <v>161</v>
      </c>
      <c r="B74" s="1" t="str">
        <f>VLOOKUP(A74,'Z-Programme'!$A$2:$A$650,1,FALSE)</f>
        <v>ZCA_MAPPCHECK</v>
      </c>
      <c r="C74" s="1" t="s">
        <v>162</v>
      </c>
      <c r="D74" s="1" t="s">
        <v>1533</v>
      </c>
      <c r="E74" s="1" t="s">
        <v>1558</v>
      </c>
      <c r="F74" s="1" t="s">
        <v>1562</v>
      </c>
      <c r="J74" s="5" t="s">
        <v>1536</v>
      </c>
      <c r="K74" s="1" t="s">
        <v>1542</v>
      </c>
      <c r="L74" s="1" t="s">
        <v>1563</v>
      </c>
      <c r="N74" s="1" t="e">
        <f>IF(#REF!="Ja",VLOOKUP(A74,'[1]ZArtefakte aus Listen'!A:B,2,0),"")</f>
        <v>#REF!</v>
      </c>
      <c r="Q74" s="1" t="e">
        <f>IF(#REF!="Ja",VLOOKUP(A74,'[1]ZArtefakte aus Listen'!A:D,4,0),"")</f>
        <v>#REF!</v>
      </c>
    </row>
    <row r="75" spans="1:17" ht="12.6" hidden="1">
      <c r="A75" s="1" t="s">
        <v>163</v>
      </c>
      <c r="B75" s="1" t="str">
        <f>VLOOKUP(A75,'Z-Programme'!$A$2:$A$650,1,FALSE)</f>
        <v>ZCA_TEST_GOS</v>
      </c>
      <c r="C75" s="1" t="s">
        <v>164</v>
      </c>
      <c r="D75" s="1" t="s">
        <v>1533</v>
      </c>
      <c r="E75" s="1" t="s">
        <v>1558</v>
      </c>
      <c r="F75" s="1" t="s">
        <v>1562</v>
      </c>
      <c r="J75" s="5" t="s">
        <v>1536</v>
      </c>
      <c r="K75" s="1" t="s">
        <v>1542</v>
      </c>
      <c r="L75" s="1" t="s">
        <v>1563</v>
      </c>
      <c r="N75" s="1" t="e">
        <f>IF(#REF!="Ja",VLOOKUP(A75,'[1]ZArtefakte aus Listen'!A:B,2,0),"")</f>
        <v>#REF!</v>
      </c>
      <c r="Q75" s="1" t="e">
        <f>IF(#REF!="Ja",VLOOKUP(A75,'[1]ZArtefakte aus Listen'!A:D,4,0),"")</f>
        <v>#REF!</v>
      </c>
    </row>
    <row r="76" spans="1:17" ht="12.6" hidden="1">
      <c r="A76" s="1" t="s">
        <v>165</v>
      </c>
      <c r="B76" s="1" t="str">
        <f>VLOOKUP(A76,'Z-Programme'!$A$2:$A$650,1,FALSE)</f>
        <v>ZCA_WARTEN</v>
      </c>
      <c r="C76" s="1" t="s">
        <v>166</v>
      </c>
      <c r="D76" s="1" t="s">
        <v>1533</v>
      </c>
      <c r="E76" s="1" t="s">
        <v>1558</v>
      </c>
      <c r="F76" s="1" t="s">
        <v>1562</v>
      </c>
      <c r="J76" s="5" t="s">
        <v>1536</v>
      </c>
      <c r="K76" s="1" t="s">
        <v>1542</v>
      </c>
      <c r="L76" s="1" t="s">
        <v>1563</v>
      </c>
      <c r="N76" s="1" t="e">
        <f>IF(#REF!="Ja",VLOOKUP(A76,'[1]ZArtefakte aus Listen'!A:B,2,0),"")</f>
        <v>#REF!</v>
      </c>
      <c r="Q76" s="1" t="e">
        <f>IF(#REF!="Ja",VLOOKUP(A76,'[1]ZArtefakte aus Listen'!A:D,4,0),"")</f>
        <v>#REF!</v>
      </c>
    </row>
    <row r="77" spans="1:17" ht="12.6" hidden="1">
      <c r="A77" s="1" t="s">
        <v>167</v>
      </c>
      <c r="B77" s="1" t="str">
        <f>VLOOKUP(A77,'Z-Programme'!$A$2:$A$650,1,FALSE)</f>
        <v>ZCMFIFU1</v>
      </c>
      <c r="C77" s="1" t="s">
        <v>168</v>
      </c>
      <c r="D77" s="1" t="s">
        <v>1533</v>
      </c>
      <c r="E77" s="1" t="s">
        <v>1534</v>
      </c>
      <c r="F77" s="1" t="s">
        <v>1544</v>
      </c>
      <c r="J77" s="5" t="s">
        <v>1536</v>
      </c>
      <c r="K77" s="1" t="s">
        <v>1537</v>
      </c>
      <c r="L77" s="1" t="s">
        <v>1577</v>
      </c>
      <c r="N77" s="1" t="e">
        <f>IF(#REF!="Ja",VLOOKUP(A77,'[1]ZArtefakte aus Listen'!A:B,2,0),"")</f>
        <v>#REF!</v>
      </c>
      <c r="Q77" s="1" t="e">
        <f>IF(#REF!="Ja",VLOOKUP(A77,'[1]ZArtefakte aus Listen'!A:D,4,0),"")</f>
        <v>#REF!</v>
      </c>
    </row>
    <row r="78" spans="1:17" ht="12.6" hidden="1">
      <c r="A78" s="1" t="s">
        <v>169</v>
      </c>
      <c r="B78" s="1" t="str">
        <f>VLOOKUP(A78,'Z-Programme'!$A$2:$A$650,1,FALSE)</f>
        <v>ZCO_ABSTIMMUNG</v>
      </c>
      <c r="C78" s="1" t="s">
        <v>170</v>
      </c>
      <c r="D78" s="1" t="s">
        <v>1533</v>
      </c>
      <c r="E78" s="6" t="s">
        <v>1534</v>
      </c>
      <c r="F78" s="1" t="s">
        <v>1544</v>
      </c>
      <c r="J78" s="5" t="s">
        <v>1536</v>
      </c>
      <c r="K78" s="58" t="s">
        <v>1537</v>
      </c>
      <c r="L78" s="1" t="s">
        <v>1578</v>
      </c>
      <c r="N78" s="1" t="e">
        <f>IF(#REF!="Ja",VLOOKUP(A78,'[1]ZArtefakte aus Listen'!A:B,2,0),"")</f>
        <v>#REF!</v>
      </c>
      <c r="P78" s="58"/>
      <c r="Q78" s="1" t="e">
        <f>IF(#REF!="Ja",VLOOKUP(A78,'[1]ZArtefakte aus Listen'!A:D,4,0),"")</f>
        <v>#REF!</v>
      </c>
    </row>
    <row r="79" spans="1:17" ht="12.6" hidden="1">
      <c r="A79" s="1" t="s">
        <v>171</v>
      </c>
      <c r="B79" s="1" t="str">
        <f>VLOOKUP(A79,'Z-Programme'!$A$2:$A$650,1,FALSE)</f>
        <v>ZCO_ABSTIMMUNG_ARCHIVLINK</v>
      </c>
      <c r="C79" s="1" t="s">
        <v>172</v>
      </c>
      <c r="D79" s="1" t="s">
        <v>1533</v>
      </c>
      <c r="E79" s="1" t="s">
        <v>1534</v>
      </c>
      <c r="F79" s="1" t="s">
        <v>1544</v>
      </c>
      <c r="J79" s="5" t="s">
        <v>1536</v>
      </c>
      <c r="K79" s="58" t="s">
        <v>1537</v>
      </c>
      <c r="L79" s="1" t="s">
        <v>1578</v>
      </c>
      <c r="N79" s="1" t="e">
        <f>IF(#REF!="Ja",VLOOKUP(A79,'[1]ZArtefakte aus Listen'!A:B,2,0),"")</f>
        <v>#REF!</v>
      </c>
      <c r="P79" s="58"/>
      <c r="Q79" s="1" t="e">
        <f>IF(#REF!="Ja",VLOOKUP(A79,'[1]ZArtefakte aus Listen'!A:D,4,0),"")</f>
        <v>#REF!</v>
      </c>
    </row>
    <row r="80" spans="1:17" ht="12.6" hidden="1">
      <c r="A80" s="1" t="s">
        <v>173</v>
      </c>
      <c r="B80" s="1" t="str">
        <f>VLOOKUP(A80,'Z-Programme'!$A$2:$A$650,1,FALSE)</f>
        <v>ZCO_ABSTIMMUNG_PRUEFUNG</v>
      </c>
      <c r="C80" s="1" t="s">
        <v>174</v>
      </c>
      <c r="D80" s="1" t="s">
        <v>1533</v>
      </c>
      <c r="E80" s="1" t="s">
        <v>1534</v>
      </c>
      <c r="F80" s="1" t="s">
        <v>1544</v>
      </c>
      <c r="J80" s="5" t="s">
        <v>1536</v>
      </c>
      <c r="K80" s="58" t="s">
        <v>1537</v>
      </c>
      <c r="L80" s="1" t="s">
        <v>1578</v>
      </c>
      <c r="N80" s="1" t="e">
        <f>IF(#REF!="Ja",VLOOKUP(A80,'[1]ZArtefakte aus Listen'!A:B,2,0),"")</f>
        <v>#REF!</v>
      </c>
      <c r="P80" s="58"/>
      <c r="Q80" s="1" t="e">
        <f>IF(#REF!="Ja",VLOOKUP(A80,'[1]ZArtefakte aus Listen'!A:D,4,0),"")</f>
        <v>#REF!</v>
      </c>
    </row>
    <row r="81" spans="1:17" ht="12.6" hidden="1">
      <c r="A81" s="1" t="s">
        <v>175</v>
      </c>
      <c r="B81" s="1" t="str">
        <f>VLOOKUP(A81,'Z-Programme'!$A$2:$A$650,1,FALSE)</f>
        <v>ZCO_ABZUG_KSTPROJEKT_UMSETZUNG</v>
      </c>
      <c r="C81" s="1" t="s">
        <v>177</v>
      </c>
      <c r="D81" s="1" t="s">
        <v>1533</v>
      </c>
      <c r="E81" s="1" t="s">
        <v>1558</v>
      </c>
      <c r="F81" s="1" t="s">
        <v>1579</v>
      </c>
      <c r="J81" s="5" t="s">
        <v>1536</v>
      </c>
      <c r="K81" s="58" t="s">
        <v>1537</v>
      </c>
      <c r="L81" s="1" t="s">
        <v>1580</v>
      </c>
      <c r="N81" s="1" t="e">
        <f>IF(#REF!="Ja",VLOOKUP(A81,'[1]ZArtefakte aus Listen'!A:B,2,0),"")</f>
        <v>#REF!</v>
      </c>
      <c r="Q81" s="1" t="e">
        <f>IF(#REF!="Ja",VLOOKUP(A81,'[1]ZArtefakte aus Listen'!A:D,4,0),"")</f>
        <v>#REF!</v>
      </c>
    </row>
    <row r="82" spans="1:17" ht="12.6" hidden="1">
      <c r="A82" s="1" t="s">
        <v>178</v>
      </c>
      <c r="B82" s="1" t="str">
        <f>VLOOKUP(A82,'Z-Programme'!$A$2:$A$650,1,FALSE)</f>
        <v>ZCO_AVM_DATENABZUG</v>
      </c>
      <c r="C82" s="1" t="s">
        <v>180</v>
      </c>
      <c r="D82" s="1" t="s">
        <v>1533</v>
      </c>
      <c r="E82" s="1" t="s">
        <v>1558</v>
      </c>
      <c r="F82" s="1" t="s">
        <v>1579</v>
      </c>
      <c r="J82" s="5" t="s">
        <v>1536</v>
      </c>
      <c r="K82" s="58" t="s">
        <v>1537</v>
      </c>
      <c r="L82" s="1" t="s">
        <v>1581</v>
      </c>
      <c r="N82" s="1" t="e">
        <f>IF(#REF!="Ja",VLOOKUP(A82,'[1]ZArtefakte aus Listen'!A:B,2,0),"")</f>
        <v>#REF!</v>
      </c>
      <c r="Q82" s="1" t="e">
        <f>IF(#REF!="Ja",VLOOKUP(A82,'[1]ZArtefakte aus Listen'!A:D,4,0),"")</f>
        <v>#REF!</v>
      </c>
    </row>
    <row r="83" spans="1:17" ht="12.6" hidden="1">
      <c r="A83" s="1" t="s">
        <v>181</v>
      </c>
      <c r="B83" s="1" t="str">
        <f>VLOOKUP(A83,'Z-Programme'!$A$2:$A$650,1,FALSE)</f>
        <v>ZCO_BEWEGUNGSDATEN_ERGRE</v>
      </c>
      <c r="C83" s="1" t="s">
        <v>182</v>
      </c>
      <c r="D83" s="1" t="s">
        <v>1533</v>
      </c>
      <c r="E83" s="1" t="s">
        <v>1534</v>
      </c>
      <c r="F83" s="1" t="s">
        <v>1544</v>
      </c>
      <c r="J83" s="5" t="s">
        <v>1536</v>
      </c>
      <c r="K83" s="58" t="s">
        <v>1537</v>
      </c>
      <c r="L83" s="1" t="s">
        <v>1582</v>
      </c>
      <c r="N83" s="1" t="e">
        <f>IF(#REF!="Ja",VLOOKUP(A83,'[1]ZArtefakte aus Listen'!A:B,2,0),"")</f>
        <v>#REF!</v>
      </c>
      <c r="P83" s="58"/>
      <c r="Q83" s="1" t="e">
        <f>IF(#REF!="Ja",VLOOKUP(A83,'[1]ZArtefakte aus Listen'!A:D,4,0),"")</f>
        <v>#REF!</v>
      </c>
    </row>
    <row r="84" spans="1:17" ht="12.6" hidden="1">
      <c r="A84" s="1" t="s">
        <v>183</v>
      </c>
      <c r="B84" s="1" t="str">
        <f>VLOOKUP(A84,'Z-Programme'!$A$2:$A$650,1,FALSE)</f>
        <v>ZCO_DATENABZUG_PCA</v>
      </c>
      <c r="C84" s="1" t="s">
        <v>1570</v>
      </c>
      <c r="D84" s="1" t="s">
        <v>1533</v>
      </c>
      <c r="E84" s="1" t="s">
        <v>1534</v>
      </c>
      <c r="F84" s="1" t="s">
        <v>1544</v>
      </c>
      <c r="J84" s="5" t="s">
        <v>1536</v>
      </c>
      <c r="K84" s="58" t="s">
        <v>1537</v>
      </c>
      <c r="L84" s="1" t="s">
        <v>1578</v>
      </c>
      <c r="N84" s="1" t="e">
        <f>IF(#REF!="Ja",VLOOKUP(A84,'[1]ZArtefakte aus Listen'!A:B,2,0),"")</f>
        <v>#REF!</v>
      </c>
      <c r="P84" s="58"/>
      <c r="Q84" s="1" t="e">
        <f>IF(#REF!="Ja",VLOOKUP(A84,'[1]ZArtefakte aus Listen'!A:D,4,0),"")</f>
        <v>#REF!</v>
      </c>
    </row>
    <row r="85" spans="1:17" ht="12.6" hidden="1">
      <c r="A85" s="1" t="s">
        <v>184</v>
      </c>
      <c r="B85" s="1" t="str">
        <f>VLOOKUP(A85,'Z-Programme'!$A$2:$A$650,1,FALSE)</f>
        <v>ZCO_DRUCKER_SPOOL</v>
      </c>
      <c r="C85" s="1" t="s">
        <v>1570</v>
      </c>
      <c r="D85" s="1" t="s">
        <v>1533</v>
      </c>
      <c r="E85" s="1" t="s">
        <v>1558</v>
      </c>
      <c r="F85" s="1" t="s">
        <v>1579</v>
      </c>
      <c r="J85" s="5" t="s">
        <v>1536</v>
      </c>
      <c r="K85" s="58" t="s">
        <v>1537</v>
      </c>
      <c r="L85" s="1" t="s">
        <v>1583</v>
      </c>
      <c r="N85" s="1" t="e">
        <f>IF(#REF!="Ja",VLOOKUP(A85,'[1]ZArtefakte aus Listen'!A:B,2,0),"")</f>
        <v>#REF!</v>
      </c>
      <c r="Q85" s="1" t="e">
        <f>IF(#REF!="Ja",VLOOKUP(A85,'[1]ZArtefakte aus Listen'!A:D,4,0),"")</f>
        <v>#REF!</v>
      </c>
    </row>
    <row r="86" spans="1:17" ht="12.6" hidden="1">
      <c r="A86" s="1" t="s">
        <v>186</v>
      </c>
      <c r="B86" s="1" t="str">
        <f>VLOOKUP(A86,'Z-Programme'!$A$2:$A$650,1,FALSE)</f>
        <v>ZCO_ERGEBNISRECHNUNG</v>
      </c>
      <c r="C86" s="1" t="s">
        <v>187</v>
      </c>
      <c r="D86" s="1" t="s">
        <v>1533</v>
      </c>
      <c r="E86" s="1" t="s">
        <v>1534</v>
      </c>
      <c r="F86" s="1" t="s">
        <v>1544</v>
      </c>
      <c r="J86" s="5" t="s">
        <v>1536</v>
      </c>
      <c r="K86" s="58" t="s">
        <v>1537</v>
      </c>
      <c r="L86" s="1" t="s">
        <v>1578</v>
      </c>
      <c r="N86" s="1" t="e">
        <f>IF(#REF!="Ja",VLOOKUP(A86,'[1]ZArtefakte aus Listen'!A:B,2,0),"")</f>
        <v>#REF!</v>
      </c>
      <c r="P86" s="58"/>
      <c r="Q86" s="1" t="e">
        <f>IF(#REF!="Ja",VLOOKUP(A86,'[1]ZArtefakte aus Listen'!A:D,4,0),"")</f>
        <v>#REF!</v>
      </c>
    </row>
    <row r="87" spans="1:17" ht="12.6" hidden="1">
      <c r="A87" s="1" t="s">
        <v>188</v>
      </c>
      <c r="B87" s="1" t="str">
        <f>VLOOKUP(A87,'Z-Programme'!$A$2:$A$650,1,FALSE)</f>
        <v>ZCO_HIERARCHIEPRUEFUNG</v>
      </c>
      <c r="C87" s="1" t="s">
        <v>189</v>
      </c>
      <c r="D87" s="1" t="s">
        <v>1533</v>
      </c>
      <c r="E87" s="1" t="s">
        <v>1534</v>
      </c>
      <c r="F87" s="1" t="s">
        <v>1544</v>
      </c>
      <c r="J87" s="5" t="s">
        <v>1536</v>
      </c>
      <c r="K87" s="58" t="s">
        <v>1537</v>
      </c>
      <c r="L87" s="1" t="s">
        <v>1578</v>
      </c>
      <c r="N87" s="1" t="e">
        <f>IF(#REF!="Ja",VLOOKUP(A87,'[1]ZArtefakte aus Listen'!A:B,2,0),"")</f>
        <v>#REF!</v>
      </c>
      <c r="P87" s="58"/>
      <c r="Q87" s="1" t="e">
        <f>IF(#REF!="Ja",VLOOKUP(A87,'[1]ZArtefakte aus Listen'!A:D,4,0),"")</f>
        <v>#REF!</v>
      </c>
    </row>
    <row r="88" spans="1:17" ht="12.6" hidden="1">
      <c r="A88" s="1" t="s">
        <v>190</v>
      </c>
      <c r="B88" s="1" t="str">
        <f>VLOOKUP(A88,'Z-Programme'!$A$2:$A$650,1,FALSE)</f>
        <v>ZCO_IA_ABRECHNUNGSSCHEMA</v>
      </c>
      <c r="C88" s="1" t="s">
        <v>191</v>
      </c>
      <c r="D88" s="1" t="s">
        <v>1533</v>
      </c>
      <c r="E88" s="1" t="s">
        <v>1534</v>
      </c>
      <c r="F88" s="1" t="s">
        <v>1544</v>
      </c>
      <c r="J88" s="5" t="s">
        <v>1536</v>
      </c>
      <c r="K88" s="58" t="s">
        <v>1537</v>
      </c>
      <c r="L88" s="1" t="s">
        <v>1578</v>
      </c>
      <c r="N88" s="1" t="e">
        <f>IF(#REF!="Ja",VLOOKUP(A88,'[1]ZArtefakte aus Listen'!A:B,2,0),"")</f>
        <v>#REF!</v>
      </c>
      <c r="P88" s="58"/>
      <c r="Q88" s="1" t="e">
        <f>IF(#REF!="Ja",VLOOKUP(A88,'[1]ZArtefakte aus Listen'!A:D,4,0),"")</f>
        <v>#REF!</v>
      </c>
    </row>
    <row r="89" spans="1:17" ht="12.6" hidden="1">
      <c r="A89" s="1" t="s">
        <v>192</v>
      </c>
      <c r="B89" s="1" t="str">
        <f>VLOOKUP(A89,'Z-Programme'!$A$2:$A$650,1,FALSE)</f>
        <v>ZCO_ILV_AUSWERT</v>
      </c>
      <c r="C89" s="1" t="s">
        <v>193</v>
      </c>
      <c r="D89" s="1" t="s">
        <v>1533</v>
      </c>
      <c r="E89" s="1" t="s">
        <v>1534</v>
      </c>
      <c r="F89" s="1" t="s">
        <v>1544</v>
      </c>
      <c r="J89" s="5" t="s">
        <v>1536</v>
      </c>
      <c r="K89" s="58" t="s">
        <v>1537</v>
      </c>
      <c r="L89" s="1" t="s">
        <v>1578</v>
      </c>
      <c r="N89" s="1" t="e">
        <f>IF(#REF!="Ja",VLOOKUP(A89,'[1]ZArtefakte aus Listen'!A:B,2,0),"")</f>
        <v>#REF!</v>
      </c>
      <c r="P89" s="58"/>
      <c r="Q89" s="1" t="e">
        <f>IF(#REF!="Ja",VLOOKUP(A89,'[1]ZArtefakte aus Listen'!A:D,4,0),"")</f>
        <v>#REF!</v>
      </c>
    </row>
    <row r="90" spans="1:17" ht="12.6" hidden="1">
      <c r="A90" s="1" t="s">
        <v>194</v>
      </c>
      <c r="B90" s="1" t="str">
        <f>VLOOKUP(A90,'Z-Programme'!$A$2:$A$650,1,FALSE)</f>
        <v>ZCO_ILV_AUTOMABHAK</v>
      </c>
      <c r="C90" s="1" t="s">
        <v>195</v>
      </c>
      <c r="D90" s="1" t="s">
        <v>1533</v>
      </c>
      <c r="E90" s="1" t="s">
        <v>1534</v>
      </c>
      <c r="F90" s="1" t="s">
        <v>1544</v>
      </c>
      <c r="J90" s="5" t="s">
        <v>1536</v>
      </c>
      <c r="K90" s="58" t="s">
        <v>1537</v>
      </c>
      <c r="L90" s="1" t="s">
        <v>1578</v>
      </c>
      <c r="N90" s="1" t="e">
        <f>IF(#REF!="Ja",VLOOKUP(A90,'[1]ZArtefakte aus Listen'!A:B,2,0),"")</f>
        <v>#REF!</v>
      </c>
      <c r="P90" s="58"/>
      <c r="Q90" s="1" t="e">
        <f>IF(#REF!="Ja",VLOOKUP(A90,'[1]ZArtefakte aus Listen'!A:D,4,0),"")</f>
        <v>#REF!</v>
      </c>
    </row>
    <row r="91" spans="1:17" ht="12.6" hidden="1">
      <c r="A91" s="1" t="s">
        <v>196</v>
      </c>
      <c r="B91" s="1" t="str">
        <f>VLOOKUP(A91,'Z-Programme'!$A$2:$A$650,1,FALSE)</f>
        <v>ZCO_ILV_FI</v>
      </c>
      <c r="C91" s="1" t="s">
        <v>197</v>
      </c>
      <c r="D91" s="1" t="s">
        <v>1533</v>
      </c>
      <c r="E91" s="1" t="s">
        <v>1534</v>
      </c>
      <c r="F91" s="1" t="s">
        <v>1544</v>
      </c>
      <c r="J91" s="5" t="s">
        <v>1536</v>
      </c>
      <c r="K91" s="58" t="s">
        <v>1537</v>
      </c>
      <c r="L91" s="1" t="s">
        <v>1578</v>
      </c>
      <c r="N91" s="1" t="e">
        <f>IF(#REF!="Ja",VLOOKUP(A91,'[1]ZArtefakte aus Listen'!A:B,2,0),"")</f>
        <v>#REF!</v>
      </c>
      <c r="P91" s="58"/>
      <c r="Q91" s="1" t="e">
        <f>IF(#REF!="Ja",VLOOKUP(A91,'[1]ZArtefakte aus Listen'!A:D,4,0),"")</f>
        <v>#REF!</v>
      </c>
    </row>
    <row r="92" spans="1:17" ht="12.6" hidden="1">
      <c r="A92" s="1" t="s">
        <v>198</v>
      </c>
      <c r="B92" s="1" t="str">
        <f>VLOOKUP(A92,'Z-Programme'!$A$2:$A$650,1,FALSE)</f>
        <v>ZCO_ILV_KENNZAHL</v>
      </c>
      <c r="C92" s="1" t="s">
        <v>199</v>
      </c>
      <c r="D92" s="1" t="s">
        <v>1533</v>
      </c>
      <c r="E92" s="1" t="s">
        <v>1584</v>
      </c>
      <c r="F92" s="1" t="s">
        <v>1579</v>
      </c>
      <c r="J92" s="5" t="s">
        <v>1536</v>
      </c>
      <c r="K92" s="58" t="s">
        <v>1537</v>
      </c>
      <c r="L92" s="1" t="s">
        <v>1585</v>
      </c>
      <c r="N92" s="1" t="e">
        <f>IF(#REF!="Ja",VLOOKUP(A92,'[1]ZArtefakte aus Listen'!A:B,2,0),"")</f>
        <v>#REF!</v>
      </c>
      <c r="P92" s="58"/>
      <c r="Q92" s="1" t="e">
        <f>IF(#REF!="Ja",VLOOKUP(A92,'[1]ZArtefakte aus Listen'!A:D,4,0),"")</f>
        <v>#REF!</v>
      </c>
    </row>
    <row r="93" spans="1:17" ht="12.6" hidden="1">
      <c r="A93" s="1" t="s">
        <v>200</v>
      </c>
      <c r="B93" s="1" t="str">
        <f>VLOOKUP(A93,'Z-Programme'!$A$2:$A$650,1,FALSE)</f>
        <v>ZCO_ILV_KONVERT</v>
      </c>
      <c r="C93" s="1" t="s">
        <v>201</v>
      </c>
      <c r="D93" s="1" t="s">
        <v>1533</v>
      </c>
      <c r="E93" s="1" t="s">
        <v>1534</v>
      </c>
      <c r="F93" s="1" t="s">
        <v>1544</v>
      </c>
      <c r="J93" s="5" t="s">
        <v>1536</v>
      </c>
      <c r="K93" s="58" t="s">
        <v>1537</v>
      </c>
      <c r="L93" s="1" t="s">
        <v>1578</v>
      </c>
      <c r="N93" s="1" t="e">
        <f>IF(#REF!="Ja",VLOOKUP(A93,'[1]ZArtefakte aus Listen'!A:B,2,0),"")</f>
        <v>#REF!</v>
      </c>
      <c r="P93" s="58"/>
      <c r="Q93" s="1" t="e">
        <f>IF(#REF!="Ja",VLOOKUP(A93,'[1]ZArtefakte aus Listen'!A:D,4,0),"")</f>
        <v>#REF!</v>
      </c>
    </row>
    <row r="94" spans="1:17" ht="37.5" hidden="1">
      <c r="A94" s="1" t="s">
        <v>202</v>
      </c>
      <c r="B94" s="1" t="str">
        <f>VLOOKUP(A94,'Z-Programme'!$A$2:$A$650,1,FALSE)</f>
        <v>ZCO_ILV_LIZENZVERRECHNUNG</v>
      </c>
      <c r="C94" s="1" t="s">
        <v>1570</v>
      </c>
      <c r="D94" s="1" t="s">
        <v>1533</v>
      </c>
      <c r="E94" s="1" t="s">
        <v>1584</v>
      </c>
      <c r="F94" s="1" t="s">
        <v>1586</v>
      </c>
      <c r="J94" s="5" t="s">
        <v>1536</v>
      </c>
      <c r="K94" s="7" t="s">
        <v>1587</v>
      </c>
      <c r="L94" s="1" t="s">
        <v>1588</v>
      </c>
      <c r="M94" s="5" t="s">
        <v>1536</v>
      </c>
      <c r="N94" s="1" t="e">
        <f>IF(#REF!="Ja",VLOOKUP(A94,'[1]ZArtefakte aus Listen'!A:B,2,0),"")</f>
        <v>#REF!</v>
      </c>
      <c r="Q94" s="1" t="e">
        <f>IF(#REF!="Ja",VLOOKUP(A94,'[1]ZArtefakte aus Listen'!A:D,4,0),"")</f>
        <v>#REF!</v>
      </c>
    </row>
    <row r="95" spans="1:17" ht="12.6" hidden="1">
      <c r="A95" s="1" t="s">
        <v>203</v>
      </c>
      <c r="B95" s="1" t="str">
        <f>VLOOKUP(A95,'Z-Programme'!$A$2:$A$650,1,FALSE)</f>
        <v>ZCO_ILV_PCDATEIUEBERNAHME</v>
      </c>
      <c r="C95" s="1" t="s">
        <v>204</v>
      </c>
      <c r="D95" s="1" t="s">
        <v>1533</v>
      </c>
      <c r="E95" s="1" t="s">
        <v>1534</v>
      </c>
      <c r="F95" s="1" t="s">
        <v>1544</v>
      </c>
      <c r="J95" s="5" t="s">
        <v>1536</v>
      </c>
      <c r="K95" s="58" t="s">
        <v>1537</v>
      </c>
      <c r="L95" s="1" t="s">
        <v>1578</v>
      </c>
      <c r="N95" s="1" t="e">
        <f>IF(#REF!="Ja",VLOOKUP(A95,'[1]ZArtefakte aus Listen'!A:B,2,0),"")</f>
        <v>#REF!</v>
      </c>
      <c r="P95" s="58"/>
      <c r="Q95" s="1" t="e">
        <f>IF(#REF!="Ja",VLOOKUP(A95,'[1]ZArtefakte aus Listen'!A:D,4,0),"")</f>
        <v>#REF!</v>
      </c>
    </row>
    <row r="96" spans="1:17" ht="12.6" hidden="1">
      <c r="A96" s="1" t="s">
        <v>205</v>
      </c>
      <c r="B96" s="1" t="str">
        <f>VLOOKUP(A96,'Z-Programme'!$A$2:$A$650,1,FALSE)</f>
        <v>ZCO_ILV_POSTPROT_AKT</v>
      </c>
      <c r="C96" s="1" t="s">
        <v>206</v>
      </c>
      <c r="D96" s="1" t="s">
        <v>1533</v>
      </c>
      <c r="E96" s="1" t="s">
        <v>1534</v>
      </c>
      <c r="F96" s="1" t="s">
        <v>1544</v>
      </c>
      <c r="J96" s="5" t="s">
        <v>1536</v>
      </c>
      <c r="K96" s="58" t="s">
        <v>1537</v>
      </c>
      <c r="L96" s="1" t="s">
        <v>1578</v>
      </c>
      <c r="N96" s="1" t="e">
        <f>IF(#REF!="Ja",VLOOKUP(A96,'[1]ZArtefakte aus Listen'!A:B,2,0),"")</f>
        <v>#REF!</v>
      </c>
      <c r="P96" s="58"/>
      <c r="Q96" s="1" t="e">
        <f>IF(#REF!="Ja",VLOOKUP(A96,'[1]ZArtefakte aus Listen'!A:D,4,0),"")</f>
        <v>#REF!</v>
      </c>
    </row>
    <row r="97" spans="1:17" ht="12.6" hidden="1">
      <c r="A97" s="1" t="s">
        <v>207</v>
      </c>
      <c r="B97" s="1" t="str">
        <f>VLOOKUP(A97,'Z-Programme'!$A$2:$A$650,1,FALSE)</f>
        <v>ZCO_ILV_SAMMLER_LOESCHEN</v>
      </c>
      <c r="C97" s="1" t="s">
        <v>208</v>
      </c>
      <c r="D97" s="1" t="s">
        <v>1533</v>
      </c>
      <c r="E97" s="1" t="s">
        <v>1534</v>
      </c>
      <c r="F97" s="1" t="s">
        <v>1544</v>
      </c>
      <c r="J97" s="5" t="s">
        <v>1536</v>
      </c>
      <c r="K97" s="58" t="s">
        <v>1537</v>
      </c>
      <c r="L97" s="1" t="s">
        <v>1578</v>
      </c>
      <c r="N97" s="1" t="e">
        <f>IF(#REF!="Ja",VLOOKUP(A97,'[1]ZArtefakte aus Listen'!A:B,2,0),"")</f>
        <v>#REF!</v>
      </c>
      <c r="Q97" s="1" t="e">
        <f>IF(#REF!="Ja",VLOOKUP(A97,'[1]ZArtefakte aus Listen'!A:D,4,0),"")</f>
        <v>#REF!</v>
      </c>
    </row>
    <row r="98" spans="1:17" ht="12.6" hidden="1">
      <c r="A98" s="1" t="s">
        <v>209</v>
      </c>
      <c r="B98" s="1" t="str">
        <f>VLOOKUP(A98,'Z-Programme'!$A$2:$A$650,1,FALSE)</f>
        <v>ZCO_ILV_STS</v>
      </c>
      <c r="C98" s="1" t="s">
        <v>210</v>
      </c>
      <c r="D98" s="1" t="s">
        <v>1533</v>
      </c>
      <c r="E98" s="1" t="s">
        <v>1558</v>
      </c>
      <c r="F98" s="1" t="s">
        <v>1579</v>
      </c>
      <c r="J98" s="5" t="s">
        <v>1536</v>
      </c>
      <c r="K98" s="58" t="s">
        <v>1537</v>
      </c>
      <c r="L98" s="1" t="s">
        <v>1589</v>
      </c>
      <c r="N98" s="1" t="e">
        <f>IF(#REF!="Ja",VLOOKUP(A98,'[1]ZArtefakte aus Listen'!A:B,2,0),"")</f>
        <v>#REF!</v>
      </c>
      <c r="Q98" s="1" t="e">
        <f>IF(#REF!="Ja",VLOOKUP(A98,'[1]ZArtefakte aus Listen'!A:D,4,0),"")</f>
        <v>#REF!</v>
      </c>
    </row>
    <row r="99" spans="1:17" ht="12.6" hidden="1">
      <c r="A99" s="1" t="s">
        <v>211</v>
      </c>
      <c r="B99" s="1" t="str">
        <f>VLOOKUP(A99,'Z-Programme'!$A$2:$A$650,1,FALSE)</f>
        <v>ZCO_ILV_VORPROGRAMM</v>
      </c>
      <c r="C99" s="1" t="s">
        <v>212</v>
      </c>
      <c r="D99" s="1" t="s">
        <v>1533</v>
      </c>
      <c r="E99" s="1" t="s">
        <v>1558</v>
      </c>
      <c r="F99" s="1" t="s">
        <v>1579</v>
      </c>
      <c r="J99" s="5" t="s">
        <v>1536</v>
      </c>
      <c r="K99" s="58" t="s">
        <v>1537</v>
      </c>
      <c r="L99" s="1" t="s">
        <v>1589</v>
      </c>
      <c r="N99" s="1" t="e">
        <f>IF(#REF!="Ja",VLOOKUP(A99,'[1]ZArtefakte aus Listen'!A:B,2,0),"")</f>
        <v>#REF!</v>
      </c>
      <c r="Q99" s="1" t="e">
        <f>IF(#REF!="Ja",VLOOKUP(A99,'[1]ZArtefakte aus Listen'!A:D,4,0),"")</f>
        <v>#REF!</v>
      </c>
    </row>
    <row r="100" spans="1:17" ht="12.6" hidden="1">
      <c r="A100" s="1" t="s">
        <v>213</v>
      </c>
      <c r="B100" s="1" t="str">
        <f>VLOOKUP(A100,'Z-Programme'!$A$2:$A$650,1,FALSE)</f>
        <v>ZCO_KALC_DRUCK</v>
      </c>
      <c r="C100" s="1" t="s">
        <v>214</v>
      </c>
      <c r="D100" s="1" t="s">
        <v>1533</v>
      </c>
      <c r="E100" s="1" t="s">
        <v>1534</v>
      </c>
      <c r="F100" s="1" t="s">
        <v>1544</v>
      </c>
      <c r="J100" s="5" t="s">
        <v>1536</v>
      </c>
      <c r="K100" s="58" t="s">
        <v>1537</v>
      </c>
      <c r="L100" s="1" t="s">
        <v>1578</v>
      </c>
      <c r="N100" s="1" t="e">
        <f>IF(#REF!="Ja",VLOOKUP(A100,'[1]ZArtefakte aus Listen'!A:B,2,0),"")</f>
        <v>#REF!</v>
      </c>
      <c r="P100" s="58"/>
      <c r="Q100" s="1" t="e">
        <f>IF(#REF!="Ja",VLOOKUP(A100,'[1]ZArtefakte aus Listen'!A:D,4,0),"")</f>
        <v>#REF!</v>
      </c>
    </row>
    <row r="101" spans="1:17" ht="37.5" hidden="1">
      <c r="A101" s="1" t="s">
        <v>215</v>
      </c>
      <c r="B101" s="1" t="str">
        <f>VLOOKUP(A101,'Z-Programme'!$A$2:$A$650,1,FALSE)</f>
        <v>ZCO_KENNZAHLEN_ABZUG</v>
      </c>
      <c r="C101" s="1" t="s">
        <v>217</v>
      </c>
      <c r="D101" s="1" t="s">
        <v>1533</v>
      </c>
      <c r="E101" s="1" t="s">
        <v>1558</v>
      </c>
      <c r="F101" s="1" t="s">
        <v>1579</v>
      </c>
      <c r="G101" s="1" t="s">
        <v>1590</v>
      </c>
      <c r="J101" s="5"/>
      <c r="K101" s="1" t="s">
        <v>1542</v>
      </c>
      <c r="L101" s="7" t="s">
        <v>1591</v>
      </c>
      <c r="M101" s="6" t="s">
        <v>1592</v>
      </c>
      <c r="N101" s="1" t="e">
        <f>IF(#REF!="Ja",VLOOKUP(A101,'[1]ZArtefakte aus Listen'!A:B,2,0),"")</f>
        <v>#REF!</v>
      </c>
      <c r="P101" s="58"/>
      <c r="Q101" s="1" t="e">
        <f>IF(#REF!="Ja",VLOOKUP(A101,'[1]ZArtefakte aus Listen'!A:D,4,0),"")</f>
        <v>#REF!</v>
      </c>
    </row>
    <row r="102" spans="1:17" ht="50.1" hidden="1">
      <c r="A102" s="1" t="s">
        <v>218</v>
      </c>
      <c r="B102" s="1" t="str">
        <f>VLOOKUP(A102,'Z-Programme'!$A$2:$A$650,1,FALSE)</f>
        <v>ZCO_KENNZAHLEN_IMPORT</v>
      </c>
      <c r="C102" s="1" t="s">
        <v>219</v>
      </c>
      <c r="D102" s="1" t="s">
        <v>1533</v>
      </c>
      <c r="E102" s="1" t="s">
        <v>1558</v>
      </c>
      <c r="F102" s="1" t="s">
        <v>1579</v>
      </c>
      <c r="G102" s="1" t="s">
        <v>1590</v>
      </c>
      <c r="J102" s="5"/>
      <c r="K102" s="1" t="s">
        <v>1542</v>
      </c>
      <c r="L102" s="7" t="s">
        <v>1593</v>
      </c>
      <c r="M102" s="6" t="s">
        <v>1592</v>
      </c>
      <c r="N102" s="1" t="e">
        <f>IF(#REF!="Ja",VLOOKUP(A102,'[1]ZArtefakte aus Listen'!A:B,2,0),"")</f>
        <v>#REF!</v>
      </c>
      <c r="P102" s="58"/>
      <c r="Q102" s="1" t="e">
        <f>IF(#REF!="Ja",VLOOKUP(A102,'[1]ZArtefakte aus Listen'!A:D,4,0),"")</f>
        <v>#REF!</v>
      </c>
    </row>
    <row r="103" spans="1:17" ht="12.6" hidden="1">
      <c r="A103" s="1" t="s">
        <v>220</v>
      </c>
      <c r="B103" s="1" t="str">
        <f>VLOOKUP(A103,'Z-Programme'!$A$2:$A$650,1,FALSE)</f>
        <v>ZCO_KENNZAHLEN_START</v>
      </c>
      <c r="C103" s="1" t="s">
        <v>221</v>
      </c>
      <c r="D103" s="1" t="s">
        <v>1533</v>
      </c>
      <c r="E103" s="1" t="s">
        <v>1534</v>
      </c>
      <c r="F103" s="1" t="s">
        <v>1544</v>
      </c>
      <c r="J103" s="5" t="s">
        <v>1536</v>
      </c>
      <c r="K103" s="58" t="s">
        <v>1537</v>
      </c>
      <c r="L103" s="1" t="s">
        <v>1578</v>
      </c>
      <c r="N103" s="1" t="e">
        <f>IF(#REF!="Ja",VLOOKUP(A103,'[1]ZArtefakte aus Listen'!A:B,2,0),"")</f>
        <v>#REF!</v>
      </c>
      <c r="P103" s="58"/>
      <c r="Q103" s="1" t="e">
        <f>IF(#REF!="Ja",VLOOKUP(A103,'[1]ZArtefakte aus Listen'!A:D,4,0),"")</f>
        <v>#REF!</v>
      </c>
    </row>
    <row r="104" spans="1:17" ht="12.6" hidden="1">
      <c r="A104" s="1" t="s">
        <v>222</v>
      </c>
      <c r="B104" s="1" t="str">
        <f>VLOOKUP(A104,'Z-Programme'!$A$2:$A$650,1,FALSE)</f>
        <v>ZCO_KOSTENARTEN_ERGRE</v>
      </c>
      <c r="C104" s="1" t="s">
        <v>223</v>
      </c>
      <c r="D104" s="1" t="s">
        <v>1533</v>
      </c>
      <c r="E104" s="1" t="s">
        <v>1534</v>
      </c>
      <c r="F104" s="1" t="s">
        <v>1544</v>
      </c>
      <c r="J104" s="5" t="s">
        <v>1536</v>
      </c>
      <c r="K104" s="58" t="s">
        <v>1537</v>
      </c>
      <c r="L104" s="1" t="s">
        <v>1578</v>
      </c>
      <c r="N104" s="1" t="e">
        <f>IF(#REF!="Ja",VLOOKUP(A104,'[1]ZArtefakte aus Listen'!A:B,2,0),"")</f>
        <v>#REF!</v>
      </c>
      <c r="P104" s="58"/>
      <c r="Q104" s="1" t="e">
        <f>IF(#REF!="Ja",VLOOKUP(A104,'[1]ZArtefakte aus Listen'!A:D,4,0),"")</f>
        <v>#REF!</v>
      </c>
    </row>
    <row r="105" spans="1:17" ht="12.6" hidden="1">
      <c r="A105" s="1" t="s">
        <v>224</v>
      </c>
      <c r="B105" s="1" t="str">
        <f>VLOOKUP(A105,'Z-Programme'!$A$2:$A$650,1,FALSE)</f>
        <v>ZCO_KOSTENSTELLENEXPORT</v>
      </c>
      <c r="C105" s="1" t="s">
        <v>225</v>
      </c>
      <c r="D105" s="1" t="s">
        <v>1533</v>
      </c>
      <c r="E105" s="1" t="s">
        <v>1534</v>
      </c>
      <c r="F105" s="1" t="s">
        <v>1544</v>
      </c>
      <c r="J105" s="5" t="s">
        <v>1536</v>
      </c>
      <c r="K105" s="58" t="s">
        <v>1537</v>
      </c>
      <c r="L105" s="1" t="s">
        <v>1578</v>
      </c>
      <c r="N105" s="1" t="e">
        <f>IF(#REF!="Ja",VLOOKUP(A105,'[1]ZArtefakte aus Listen'!A:B,2,0),"")</f>
        <v>#REF!</v>
      </c>
      <c r="P105" s="58"/>
      <c r="Q105" s="1" t="e">
        <f>IF(#REF!="Ja",VLOOKUP(A105,'[1]ZArtefakte aus Listen'!A:D,4,0),"")</f>
        <v>#REF!</v>
      </c>
    </row>
    <row r="106" spans="1:17" ht="12.6" hidden="1">
      <c r="A106" s="1" t="s">
        <v>226</v>
      </c>
      <c r="B106" s="1" t="str">
        <f>VLOOKUP(A106,'Z-Programme'!$A$2:$A$650,1,FALSE)</f>
        <v>ZCO_KSTABZUG_AVM</v>
      </c>
      <c r="C106" s="1" t="s">
        <v>228</v>
      </c>
      <c r="D106" s="1" t="s">
        <v>1533</v>
      </c>
      <c r="E106" s="1" t="s">
        <v>1534</v>
      </c>
      <c r="F106" s="1" t="s">
        <v>1544</v>
      </c>
      <c r="J106" s="5" t="s">
        <v>1536</v>
      </c>
      <c r="K106" s="1" t="s">
        <v>1537</v>
      </c>
      <c r="L106" s="1" t="s">
        <v>1594</v>
      </c>
      <c r="N106" s="1" t="e">
        <f>IF(#REF!="Ja",VLOOKUP(A106,'[1]ZArtefakte aus Listen'!A:B,2,0),"")</f>
        <v>#REF!</v>
      </c>
      <c r="Q106" s="1" t="e">
        <f>IF(#REF!="Ja",VLOOKUP(A106,'[1]ZArtefakte aus Listen'!A:D,4,0),"")</f>
        <v>#REF!</v>
      </c>
    </row>
    <row r="107" spans="1:17" ht="12.6" hidden="1">
      <c r="A107" s="1" t="s">
        <v>229</v>
      </c>
      <c r="B107" s="1" t="str">
        <f>VLOOKUP(A107,'Z-Programme'!$A$2:$A$650,1,FALSE)</f>
        <v>ZCO_KSTABZUG_LOGA</v>
      </c>
      <c r="C107" s="1" t="s">
        <v>230</v>
      </c>
      <c r="D107" s="1" t="s">
        <v>1533</v>
      </c>
      <c r="E107" s="1" t="s">
        <v>1534</v>
      </c>
      <c r="F107" s="1" t="s">
        <v>1544</v>
      </c>
      <c r="J107" s="5" t="s">
        <v>1536</v>
      </c>
      <c r="K107" s="1" t="s">
        <v>1537</v>
      </c>
      <c r="L107" s="1" t="s">
        <v>1595</v>
      </c>
      <c r="N107" s="1" t="e">
        <f>IF(#REF!="Ja",VLOOKUP(A107,'[1]ZArtefakte aus Listen'!A:B,2,0),"")</f>
        <v>#REF!</v>
      </c>
      <c r="Q107" s="1" t="e">
        <f>IF(#REF!="Ja",VLOOKUP(A107,'[1]ZArtefakte aus Listen'!A:D,4,0),"")</f>
        <v>#REF!</v>
      </c>
    </row>
    <row r="108" spans="1:17" ht="12.6" hidden="1">
      <c r="A108" s="1" t="s">
        <v>231</v>
      </c>
      <c r="B108" s="1" t="str">
        <f>VLOOKUP(A108,'Z-Programme'!$A$2:$A$650,1,FALSE)</f>
        <v>ZCO_KSTABZUG_LOGA_FIX</v>
      </c>
      <c r="C108" s="1" t="s">
        <v>230</v>
      </c>
      <c r="D108" s="1" t="s">
        <v>1533</v>
      </c>
      <c r="E108" s="1" t="s">
        <v>1534</v>
      </c>
      <c r="F108" s="1" t="s">
        <v>1544</v>
      </c>
      <c r="J108" s="5" t="s">
        <v>1536</v>
      </c>
      <c r="K108" s="1" t="s">
        <v>1537</v>
      </c>
      <c r="L108" s="1" t="s">
        <v>1595</v>
      </c>
      <c r="N108" s="1" t="e">
        <f>IF(#REF!="Ja",VLOOKUP(A108,'[1]ZArtefakte aus Listen'!A:B,2,0),"")</f>
        <v>#REF!</v>
      </c>
      <c r="Q108" s="1" t="e">
        <f>IF(#REF!="Ja",VLOOKUP(A108,'[1]ZArtefakte aus Listen'!A:D,4,0),"")</f>
        <v>#REF!</v>
      </c>
    </row>
    <row r="109" spans="1:17" ht="12.6" hidden="1">
      <c r="A109" s="1" t="s">
        <v>232</v>
      </c>
      <c r="B109" s="1" t="str">
        <f>VLOOKUP(A109,'Z-Programme'!$A$2:$A$650,1,FALSE)</f>
        <v>ZCO_KSTABZUG_PAM</v>
      </c>
      <c r="C109" s="1" t="s">
        <v>234</v>
      </c>
      <c r="D109" s="1" t="s">
        <v>1533</v>
      </c>
      <c r="E109" s="1" t="s">
        <v>1596</v>
      </c>
      <c r="F109" s="1" t="s">
        <v>1579</v>
      </c>
      <c r="J109" s="5" t="s">
        <v>1536</v>
      </c>
      <c r="K109" s="1" t="s">
        <v>1597</v>
      </c>
      <c r="L109" s="1" t="s">
        <v>1598</v>
      </c>
      <c r="N109" s="1" t="e">
        <f>IF(#REF!="Ja",VLOOKUP(A109,'[1]ZArtefakte aus Listen'!A:B,2,0),"")</f>
        <v>#REF!</v>
      </c>
      <c r="P109" s="58"/>
      <c r="Q109" s="1" t="e">
        <f>IF(#REF!="Ja",VLOOKUP(A109,'[1]ZArtefakte aus Listen'!A:D,4,0),"")</f>
        <v>#REF!</v>
      </c>
    </row>
    <row r="110" spans="1:17" ht="12.6" hidden="1">
      <c r="A110" s="1" t="s">
        <v>235</v>
      </c>
      <c r="B110" s="1" t="str">
        <f>VLOOKUP(A110,'Z-Programme'!$A$2:$A$650,1,FALSE)</f>
        <v>ZCO_LEISTUNGSARTEN</v>
      </c>
      <c r="C110" s="1" t="s">
        <v>236</v>
      </c>
      <c r="D110" s="1" t="s">
        <v>1533</v>
      </c>
      <c r="E110" s="1" t="s">
        <v>1534</v>
      </c>
      <c r="F110" s="1" t="s">
        <v>1544</v>
      </c>
      <c r="J110" s="5" t="s">
        <v>1536</v>
      </c>
      <c r="K110" s="58" t="s">
        <v>1537</v>
      </c>
      <c r="L110" s="1" t="s">
        <v>1578</v>
      </c>
      <c r="N110" s="1" t="e">
        <f>IF(#REF!="Ja",VLOOKUP(A110,'[1]ZArtefakte aus Listen'!A:B,2,0),"")</f>
        <v>#REF!</v>
      </c>
      <c r="P110" s="58"/>
      <c r="Q110" s="1" t="e">
        <f>IF(#REF!="Ja",VLOOKUP(A110,'[1]ZArtefakte aus Listen'!A:D,4,0),"")</f>
        <v>#REF!</v>
      </c>
    </row>
    <row r="111" spans="1:17" ht="12.6" hidden="1">
      <c r="A111" s="1" t="s">
        <v>237</v>
      </c>
      <c r="B111" s="1" t="str">
        <f>VLOOKUP(A111,'Z-Programme'!$A$2:$A$650,1,FALSE)</f>
        <v>ZCO_LEISTUNGSARTENSTAMM</v>
      </c>
      <c r="C111" s="1" t="s">
        <v>239</v>
      </c>
      <c r="D111" s="1" t="s">
        <v>1533</v>
      </c>
      <c r="E111" s="1" t="s">
        <v>1558</v>
      </c>
      <c r="F111" s="1" t="s">
        <v>1579</v>
      </c>
      <c r="J111" s="5" t="s">
        <v>1536</v>
      </c>
      <c r="K111" s="1" t="s">
        <v>1597</v>
      </c>
      <c r="L111" s="1" t="s">
        <v>1599</v>
      </c>
      <c r="N111" s="1" t="e">
        <f>IF(#REF!="Ja",VLOOKUP(A111,'[1]ZArtefakte aus Listen'!A:B,2,0),"")</f>
        <v>#REF!</v>
      </c>
      <c r="Q111" s="1" t="e">
        <f>IF(#REF!="Ja",VLOOKUP(A111,'[1]ZArtefakte aus Listen'!A:D,4,0),"")</f>
        <v>#REF!</v>
      </c>
    </row>
    <row r="112" spans="1:17" ht="12.6" hidden="1">
      <c r="A112" s="1" t="s">
        <v>240</v>
      </c>
      <c r="B112" s="1" t="str">
        <f>VLOOKUP(A112,'Z-Programme'!$A$2:$A$650,1,FALSE)</f>
        <v>ZCO_PBPLAN</v>
      </c>
      <c r="C112" s="1" t="s">
        <v>241</v>
      </c>
      <c r="D112" s="1" t="s">
        <v>1533</v>
      </c>
      <c r="E112" s="1" t="s">
        <v>1534</v>
      </c>
      <c r="F112" s="1" t="s">
        <v>1544</v>
      </c>
      <c r="J112" s="5" t="s">
        <v>1536</v>
      </c>
      <c r="K112" s="58" t="s">
        <v>1537</v>
      </c>
      <c r="L112" s="1" t="s">
        <v>1578</v>
      </c>
      <c r="N112" s="1" t="e">
        <f>IF(#REF!="Ja",VLOOKUP(A112,'[1]ZArtefakte aus Listen'!A:B,2,0),"")</f>
        <v>#REF!</v>
      </c>
      <c r="P112" s="58"/>
      <c r="Q112" s="1" t="e">
        <f>IF(#REF!="Ja",VLOOKUP(A112,'[1]ZArtefakte aus Listen'!A:D,4,0),"")</f>
        <v>#REF!</v>
      </c>
    </row>
    <row r="113" spans="1:17" ht="12.6" hidden="1">
      <c r="A113" s="1" t="s">
        <v>242</v>
      </c>
      <c r="B113" s="1" t="str">
        <f>VLOOKUP(A113,'Z-Programme'!$A$2:$A$650,1,FALSE)</f>
        <v>ZCO_PCAABZUG</v>
      </c>
      <c r="C113" s="1" t="s">
        <v>244</v>
      </c>
      <c r="D113" s="1" t="s">
        <v>1533</v>
      </c>
      <c r="E113" s="1" t="s">
        <v>1558</v>
      </c>
      <c r="F113" s="1" t="s">
        <v>1579</v>
      </c>
      <c r="J113" s="5" t="s">
        <v>1536</v>
      </c>
      <c r="K113" s="1" t="s">
        <v>1600</v>
      </c>
      <c r="L113" s="1" t="s">
        <v>1601</v>
      </c>
      <c r="M113" s="6"/>
      <c r="N113" s="1" t="e">
        <f>IF(#REF!="Ja",VLOOKUP(A113,'[1]ZArtefakte aus Listen'!A:B,2,0),"")</f>
        <v>#REF!</v>
      </c>
      <c r="Q113" s="1" t="e">
        <f>IF(#REF!="Ja",VLOOKUP(A113,'[1]ZArtefakte aus Listen'!A:D,4,0),"")</f>
        <v>#REF!</v>
      </c>
    </row>
    <row r="114" spans="1:17" ht="12.6" hidden="1">
      <c r="A114" s="1" t="s">
        <v>245</v>
      </c>
      <c r="B114" s="1" t="str">
        <f>VLOOKUP(A114,'Z-Programme'!$A$2:$A$650,1,FALSE)</f>
        <v>ZCO_PFC_MASS_CHANGE</v>
      </c>
      <c r="C114" s="1" t="s">
        <v>246</v>
      </c>
      <c r="D114" s="1" t="s">
        <v>1533</v>
      </c>
      <c r="E114" s="1" t="s">
        <v>1534</v>
      </c>
      <c r="F114" s="1" t="s">
        <v>1544</v>
      </c>
      <c r="J114" s="5" t="s">
        <v>1536</v>
      </c>
      <c r="K114" s="58" t="s">
        <v>1537</v>
      </c>
      <c r="L114" s="1" t="s">
        <v>1578</v>
      </c>
      <c r="N114" s="1" t="e">
        <f>IF(#REF!="Ja",VLOOKUP(A114,'[1]ZArtefakte aus Listen'!A:B,2,0),"")</f>
        <v>#REF!</v>
      </c>
      <c r="P114" s="58"/>
      <c r="Q114" s="1" t="e">
        <f>IF(#REF!="Ja",VLOOKUP(A114,'[1]ZArtefakte aus Listen'!A:D,4,0),"")</f>
        <v>#REF!</v>
      </c>
    </row>
    <row r="115" spans="1:17" ht="12.6" hidden="1">
      <c r="A115" s="1" t="s">
        <v>247</v>
      </c>
      <c r="B115" s="1" t="str">
        <f>VLOOKUP(A115,'Z-Programme'!$A$2:$A$650,1,FALSE)</f>
        <v>ZCO_PLANUNGSSCHNITTSTELLE</v>
      </c>
      <c r="C115" s="1" t="s">
        <v>249</v>
      </c>
      <c r="D115" s="1" t="s">
        <v>1533</v>
      </c>
      <c r="E115" s="1" t="s">
        <v>1602</v>
      </c>
      <c r="F115" s="1" t="s">
        <v>1544</v>
      </c>
      <c r="J115" s="5" t="s">
        <v>1536</v>
      </c>
      <c r="K115" s="58" t="s">
        <v>1537</v>
      </c>
      <c r="L115" s="1" t="s">
        <v>1603</v>
      </c>
      <c r="N115" s="1" t="e">
        <f>IF(#REF!="Ja",VLOOKUP(A115,'[1]ZArtefakte aus Listen'!A:B,2,0),"")</f>
        <v>#REF!</v>
      </c>
      <c r="Q115" s="1" t="e">
        <f>IF(#REF!="Ja",VLOOKUP(A115,'[1]ZArtefakte aus Listen'!A:D,4,0),"")</f>
        <v>#REF!</v>
      </c>
    </row>
    <row r="116" spans="1:17" ht="12.6" hidden="1">
      <c r="A116" s="1" t="s">
        <v>250</v>
      </c>
      <c r="B116" s="1" t="str">
        <f>VLOOKUP(A116,'Z-Programme'!$A$2:$A$650,1,FALSE)</f>
        <v>ZCO_PPLEIHZEITARBEIT</v>
      </c>
      <c r="C116" s="1" t="s">
        <v>251</v>
      </c>
      <c r="D116" s="1" t="s">
        <v>1533</v>
      </c>
      <c r="E116" s="1" t="s">
        <v>1584</v>
      </c>
      <c r="F116" s="1" t="s">
        <v>1579</v>
      </c>
      <c r="J116" s="5" t="s">
        <v>1536</v>
      </c>
      <c r="K116" s="58" t="s">
        <v>1537</v>
      </c>
      <c r="L116" s="1" t="s">
        <v>1603</v>
      </c>
      <c r="N116" s="1" t="e">
        <f>IF(#REF!="Ja",VLOOKUP(A116,'[1]ZArtefakte aus Listen'!A:B,2,0),"")</f>
        <v>#REF!</v>
      </c>
      <c r="P116" s="58"/>
      <c r="Q116" s="1" t="e">
        <f>IF(#REF!="Ja",VLOOKUP(A116,'[1]ZArtefakte aus Listen'!A:D,4,0),"")</f>
        <v>#REF!</v>
      </c>
    </row>
    <row r="117" spans="1:17" ht="12.6" hidden="1">
      <c r="A117" s="1" t="s">
        <v>252</v>
      </c>
      <c r="B117" s="1" t="str">
        <f>VLOOKUP(A117,'Z-Programme'!$A$2:$A$650,1,FALSE)</f>
        <v>ZCO_PPPLAN</v>
      </c>
      <c r="C117" s="1" t="s">
        <v>241</v>
      </c>
      <c r="D117" s="1" t="s">
        <v>1533</v>
      </c>
      <c r="E117" s="1" t="s">
        <v>1584</v>
      </c>
      <c r="F117" s="1" t="s">
        <v>1579</v>
      </c>
      <c r="J117" s="5" t="s">
        <v>1536</v>
      </c>
      <c r="K117" s="58" t="s">
        <v>1537</v>
      </c>
      <c r="L117" s="1" t="s">
        <v>1603</v>
      </c>
      <c r="N117" s="1" t="e">
        <f>IF(#REF!="Ja",VLOOKUP(A117,'[1]ZArtefakte aus Listen'!A:B,2,0),"")</f>
        <v>#REF!</v>
      </c>
      <c r="P117" s="58"/>
      <c r="Q117" s="1" t="e">
        <f>IF(#REF!="Ja",VLOOKUP(A117,'[1]ZArtefakte aus Listen'!A:D,4,0),"")</f>
        <v>#REF!</v>
      </c>
    </row>
    <row r="118" spans="1:17" ht="12.6" hidden="1">
      <c r="A118" s="1" t="s">
        <v>253</v>
      </c>
      <c r="B118" s="1" t="str">
        <f>VLOOKUP(A118,'Z-Programme'!$A$2:$A$650,1,FALSE)</f>
        <v>ZCO_PPSAPDIFFERENZ</v>
      </c>
      <c r="C118" s="1" t="s">
        <v>254</v>
      </c>
      <c r="D118" s="1" t="s">
        <v>1533</v>
      </c>
      <c r="E118" s="1" t="s">
        <v>1584</v>
      </c>
      <c r="F118" s="1" t="s">
        <v>1579</v>
      </c>
      <c r="J118" s="5" t="s">
        <v>1536</v>
      </c>
      <c r="K118" s="58" t="s">
        <v>1537</v>
      </c>
      <c r="L118" s="1" t="s">
        <v>1603</v>
      </c>
      <c r="N118" s="1" t="e">
        <f>IF(#REF!="Ja",VLOOKUP(A118,'[1]ZArtefakte aus Listen'!A:B,2,0),"")</f>
        <v>#REF!</v>
      </c>
      <c r="P118" s="58"/>
      <c r="Q118" s="1" t="e">
        <f>IF(#REF!="Ja",VLOOKUP(A118,'[1]ZArtefakte aus Listen'!A:D,4,0),"")</f>
        <v>#REF!</v>
      </c>
    </row>
    <row r="119" spans="1:17" ht="12.6" hidden="1">
      <c r="A119" s="1" t="s">
        <v>255</v>
      </c>
      <c r="B119" s="1" t="str">
        <f>VLOOKUP(A119,'Z-Programme'!$A$2:$A$650,1,FALSE)</f>
        <v>ZCO_PROFICENTERANLAGE</v>
      </c>
      <c r="C119" s="1" t="s">
        <v>256</v>
      </c>
      <c r="D119" s="1" t="s">
        <v>1533</v>
      </c>
      <c r="E119" s="1" t="s">
        <v>1534</v>
      </c>
      <c r="F119" s="1" t="s">
        <v>1544</v>
      </c>
      <c r="J119" s="5" t="s">
        <v>1536</v>
      </c>
      <c r="K119" s="58" t="s">
        <v>1537</v>
      </c>
      <c r="L119" s="1" t="s">
        <v>1578</v>
      </c>
      <c r="N119" s="1" t="e">
        <f>IF(#REF!="Ja",VLOOKUP(A119,'[1]ZArtefakte aus Listen'!A:B,2,0),"")</f>
        <v>#REF!</v>
      </c>
      <c r="P119" s="58"/>
      <c r="Q119" s="1" t="e">
        <f>IF(#REF!="Ja",VLOOKUP(A119,'[1]ZArtefakte aus Listen'!A:D,4,0),"")</f>
        <v>#REF!</v>
      </c>
    </row>
    <row r="120" spans="1:17" ht="12.6" hidden="1">
      <c r="A120" s="1" t="s">
        <v>257</v>
      </c>
      <c r="B120" s="1" t="str">
        <f>VLOOKUP(A120,'Z-Programme'!$A$2:$A$650,1,FALSE)</f>
        <v>ZCO_PROFITCENTER</v>
      </c>
      <c r="C120" s="1" t="s">
        <v>258</v>
      </c>
      <c r="D120" s="1" t="s">
        <v>1533</v>
      </c>
      <c r="E120" s="1" t="s">
        <v>1534</v>
      </c>
      <c r="F120" s="1" t="s">
        <v>1544</v>
      </c>
      <c r="J120" s="5" t="s">
        <v>1536</v>
      </c>
      <c r="K120" s="58" t="s">
        <v>1537</v>
      </c>
      <c r="L120" s="1" t="s">
        <v>1578</v>
      </c>
      <c r="N120" s="1" t="e">
        <f>IF(#REF!="Ja",VLOOKUP(A120,'[1]ZArtefakte aus Listen'!A:B,2,0),"")</f>
        <v>#REF!</v>
      </c>
      <c r="P120" s="58"/>
      <c r="Q120" s="1" t="e">
        <f>IF(#REF!="Ja",VLOOKUP(A120,'[1]ZArtefakte aus Listen'!A:D,4,0),"")</f>
        <v>#REF!</v>
      </c>
    </row>
    <row r="121" spans="1:17" ht="12.6" hidden="1">
      <c r="A121" s="1" t="s">
        <v>259</v>
      </c>
      <c r="B121" s="1" t="str">
        <f>VLOOKUP(A121,'Z-Programme'!$A$2:$A$650,1,FALSE)</f>
        <v>ZCO_PRUEFUNG_STAMM_ORGA</v>
      </c>
      <c r="C121" s="1" t="s">
        <v>260</v>
      </c>
      <c r="D121" s="1" t="s">
        <v>1533</v>
      </c>
      <c r="E121" s="1" t="s">
        <v>1558</v>
      </c>
      <c r="F121" s="1" t="s">
        <v>1549</v>
      </c>
      <c r="G121" s="1" t="s">
        <v>1572</v>
      </c>
      <c r="K121" s="58" t="s">
        <v>1573</v>
      </c>
      <c r="L121" s="7" t="s">
        <v>1604</v>
      </c>
      <c r="M121" s="6" t="s">
        <v>1592</v>
      </c>
      <c r="N121" s="1" t="e">
        <f>IF(#REF!="Ja",VLOOKUP(A121,'[1]ZArtefakte aus Listen'!A:B,2,0),"")</f>
        <v>#REF!</v>
      </c>
      <c r="P121" s="58"/>
    </row>
    <row r="122" spans="1:17" ht="12.6" hidden="1">
      <c r="A122" s="1" t="s">
        <v>261</v>
      </c>
      <c r="B122" s="1" t="str">
        <f>VLOOKUP(A122,'Z-Programme'!$A$2:$A$650,1,FALSE)</f>
        <v>ZCO_RGGBS000</v>
      </c>
      <c r="C122" s="1" t="s">
        <v>262</v>
      </c>
      <c r="D122" s="1" t="s">
        <v>1548</v>
      </c>
      <c r="E122" s="1" t="s">
        <v>1584</v>
      </c>
      <c r="F122" s="1" t="s">
        <v>1579</v>
      </c>
      <c r="J122" s="5" t="s">
        <v>1536</v>
      </c>
      <c r="K122" s="58" t="s">
        <v>1537</v>
      </c>
      <c r="L122" s="1" t="s">
        <v>1605</v>
      </c>
      <c r="N122" s="1" t="e">
        <f>IF(#REF!="Ja",VLOOKUP(A122,'[1]ZArtefakte aus Listen'!A:B,2,0),"")</f>
        <v>#REF!</v>
      </c>
      <c r="Q122" s="1" t="e">
        <f>IF(#REF!="Ja",VLOOKUP(A122,'[1]ZArtefakte aus Listen'!A:D,4,0),"")</f>
        <v>#REF!</v>
      </c>
    </row>
    <row r="123" spans="1:17" ht="24.95" hidden="1">
      <c r="A123" s="1" t="s">
        <v>263</v>
      </c>
      <c r="B123" s="1" t="str">
        <f>VLOOKUP(A123,'Z-Programme'!$A$2:$A$650,1,FALSE)</f>
        <v>ZCO_SOLVENCY_PCR</v>
      </c>
      <c r="C123" s="1" t="s">
        <v>265</v>
      </c>
      <c r="D123" s="1" t="s">
        <v>1533</v>
      </c>
      <c r="E123" s="1" t="s">
        <v>1558</v>
      </c>
      <c r="F123" s="1" t="s">
        <v>1579</v>
      </c>
      <c r="J123" s="5" t="s">
        <v>1536</v>
      </c>
      <c r="K123" s="59" t="s">
        <v>1606</v>
      </c>
      <c r="N123" s="1" t="e">
        <f>IF(#REF!="Ja",VLOOKUP(A123,'[1]ZArtefakte aus Listen'!A:B,2,0),"")</f>
        <v>#REF!</v>
      </c>
      <c r="Q123" s="1" t="e">
        <f>IF(#REF!="Ja",VLOOKUP(A123,'[1]ZArtefakte aus Listen'!A:D,4,0),"")</f>
        <v>#REF!</v>
      </c>
    </row>
    <row r="124" spans="1:17" ht="12.6" hidden="1">
      <c r="A124" s="1" t="s">
        <v>266</v>
      </c>
      <c r="B124" s="1" t="str">
        <f>VLOOKUP(A124,'Z-Programme'!$A$2:$A$650,1,FALSE)</f>
        <v>ZCO_VORSTEUERKORREKTUR</v>
      </c>
      <c r="C124" s="1" t="s">
        <v>268</v>
      </c>
      <c r="D124" s="1" t="s">
        <v>1533</v>
      </c>
      <c r="E124" s="1" t="s">
        <v>1558</v>
      </c>
      <c r="F124" s="1" t="s">
        <v>1579</v>
      </c>
      <c r="J124" s="5" t="s">
        <v>1536</v>
      </c>
      <c r="K124" s="58" t="s">
        <v>1537</v>
      </c>
      <c r="L124" s="6" t="s">
        <v>1607</v>
      </c>
      <c r="N124" s="1" t="e">
        <f>IF(#REF!="Ja",VLOOKUP(A124,'[1]ZArtefakte aus Listen'!A:B,2,0),"")</f>
        <v>#REF!</v>
      </c>
      <c r="Q124" s="1" t="e">
        <f>IF(#REF!="Ja",VLOOKUP(A124,'[1]ZArtefakte aus Listen'!A:D,4,0),"")</f>
        <v>#REF!</v>
      </c>
    </row>
    <row r="125" spans="1:17" ht="12.6" hidden="1">
      <c r="A125" s="1" t="s">
        <v>269</v>
      </c>
      <c r="B125" s="1" t="str">
        <f>VLOOKUP(A125,'Z-Programme'!$A$2:$A$650,1,FALSE)</f>
        <v>ZCO_ZEMAREP_KST_ABZUG</v>
      </c>
      <c r="C125" s="1" t="s">
        <v>271</v>
      </c>
      <c r="D125" s="1" t="s">
        <v>1533</v>
      </c>
      <c r="E125" s="1" t="s">
        <v>1558</v>
      </c>
      <c r="F125" s="1" t="s">
        <v>1579</v>
      </c>
      <c r="G125" s="1" t="s">
        <v>1590</v>
      </c>
      <c r="J125" s="5"/>
      <c r="K125" s="1" t="s">
        <v>1597</v>
      </c>
      <c r="L125" s="7" t="s">
        <v>1608</v>
      </c>
      <c r="M125" s="6" t="s">
        <v>1592</v>
      </c>
      <c r="N125" s="6"/>
      <c r="P125" s="58"/>
      <c r="Q125" s="1" t="e">
        <f>IF(#REF!="Ja",VLOOKUP(A125,'[1]ZArtefakte aus Listen'!A:D,4,0),"")</f>
        <v>#REF!</v>
      </c>
    </row>
    <row r="126" spans="1:17" ht="12.6" hidden="1">
      <c r="A126" s="1" t="s">
        <v>272</v>
      </c>
      <c r="B126" s="1" t="str">
        <f>VLOOKUP(A126,'Z-Programme'!$A$2:$A$650,1,FALSE)</f>
        <v>ZCOFI_VERTRAGSVERWALTUNG_ABZUG</v>
      </c>
      <c r="C126" s="1" t="s">
        <v>274</v>
      </c>
      <c r="D126" s="1" t="s">
        <v>1533</v>
      </c>
      <c r="E126" s="1" t="s">
        <v>1558</v>
      </c>
      <c r="F126" s="1" t="s">
        <v>1579</v>
      </c>
      <c r="J126" s="5" t="s">
        <v>1536</v>
      </c>
      <c r="K126" s="1" t="s">
        <v>1597</v>
      </c>
      <c r="L126" s="1" t="s">
        <v>1609</v>
      </c>
      <c r="M126" s="6"/>
      <c r="N126" s="1" t="e">
        <f>IF(#REF!="Ja",VLOOKUP(A126,'[1]ZArtefakte aus Listen'!A:B,2,0),"")</f>
        <v>#REF!</v>
      </c>
      <c r="Q126" s="1" t="e">
        <f>IF(#REF!="Ja",VLOOKUP(A126,'[1]ZArtefakte aus Listen'!A:D,4,0),"")</f>
        <v>#REF!</v>
      </c>
    </row>
    <row r="127" spans="1:17" ht="12.6" hidden="1">
      <c r="A127" s="1" t="s">
        <v>275</v>
      </c>
      <c r="B127" s="1" t="str">
        <f>VLOOKUP(A127,'Z-Programme'!$A$2:$A$650,1,FALSE)</f>
        <v>ZDELESDUS</v>
      </c>
      <c r="C127" s="1" t="s">
        <v>276</v>
      </c>
      <c r="D127" s="1" t="s">
        <v>1533</v>
      </c>
      <c r="E127" s="1" t="s">
        <v>1534</v>
      </c>
      <c r="F127" s="1" t="s">
        <v>1544</v>
      </c>
      <c r="J127" s="5" t="s">
        <v>1536</v>
      </c>
      <c r="K127" s="1" t="s">
        <v>1537</v>
      </c>
      <c r="L127" s="1" t="s">
        <v>1610</v>
      </c>
      <c r="N127" s="1" t="e">
        <f>IF(#REF!="Ja",VLOOKUP(A127,'[1]ZArtefakte aus Listen'!A:B,2,0),"")</f>
        <v>#REF!</v>
      </c>
      <c r="Q127" s="1" t="e">
        <f>IF(#REF!="Ja",VLOOKUP(A127,'[1]ZArtefakte aus Listen'!A:D,4,0),"")</f>
        <v>#REF!</v>
      </c>
    </row>
    <row r="128" spans="1:17" ht="12.6" hidden="1">
      <c r="A128" s="1" t="s">
        <v>277</v>
      </c>
      <c r="B128" s="1" t="str">
        <f>VLOOKUP(A128,'Z-Programme'!$A$2:$A$650,1,FALSE)</f>
        <v>ZDELESDUS_RENUM</v>
      </c>
      <c r="C128" s="1" t="s">
        <v>1570</v>
      </c>
      <c r="D128" s="1" t="s">
        <v>1533</v>
      </c>
      <c r="E128" s="1" t="s">
        <v>1534</v>
      </c>
      <c r="F128" s="1" t="s">
        <v>1544</v>
      </c>
      <c r="J128" s="5" t="s">
        <v>1536</v>
      </c>
      <c r="K128" s="1" t="s">
        <v>1537</v>
      </c>
      <c r="L128" s="1" t="s">
        <v>1610</v>
      </c>
      <c r="N128" s="1" t="e">
        <f>IF(#REF!="Ja",VLOOKUP(A128,'[1]ZArtefakte aus Listen'!A:B,2,0),"")</f>
        <v>#REF!</v>
      </c>
      <c r="Q128" s="1" t="e">
        <f>IF(#REF!="Ja",VLOOKUP(A128,'[1]ZArtefakte aus Listen'!A:D,4,0),"")</f>
        <v>#REF!</v>
      </c>
    </row>
    <row r="129" spans="1:17" ht="12.6" hidden="1">
      <c r="A129" s="1" t="s">
        <v>278</v>
      </c>
      <c r="B129" s="1" t="str">
        <f>VLOOKUP(A129,'Z-Programme'!$A$2:$A$650,1,FALSE)</f>
        <v>ZFA_GITT01</v>
      </c>
      <c r="C129" s="1" t="s">
        <v>279</v>
      </c>
      <c r="D129" s="1" t="s">
        <v>1533</v>
      </c>
      <c r="E129" s="1" t="s">
        <v>1534</v>
      </c>
      <c r="F129" s="1" t="s">
        <v>1544</v>
      </c>
      <c r="J129" s="5" t="s">
        <v>1536</v>
      </c>
      <c r="K129" s="1" t="s">
        <v>1537</v>
      </c>
      <c r="L129" s="1" t="s">
        <v>1610</v>
      </c>
      <c r="N129" s="1" t="e">
        <f>IF(#REF!="Ja",VLOOKUP(A129,'[1]ZArtefakte aus Listen'!A:B,2,0),"")</f>
        <v>#REF!</v>
      </c>
      <c r="Q129" s="1" t="e">
        <f>IF(#REF!="Ja",VLOOKUP(A129,'[1]ZArtefakte aus Listen'!A:D,4,0),"")</f>
        <v>#REF!</v>
      </c>
    </row>
    <row r="130" spans="1:17" ht="12.6" hidden="1">
      <c r="A130" s="1" t="s">
        <v>280</v>
      </c>
      <c r="B130" s="1" t="str">
        <f>VLOOKUP(A130,'Z-Programme'!$A$2:$A$650,1,FALSE)</f>
        <v>ZFI_AANALYZE01</v>
      </c>
      <c r="C130" s="1" t="s">
        <v>281</v>
      </c>
      <c r="D130" s="1" t="s">
        <v>1533</v>
      </c>
      <c r="E130" s="1" t="s">
        <v>1534</v>
      </c>
      <c r="F130" s="1" t="s">
        <v>1544</v>
      </c>
      <c r="J130" s="5" t="s">
        <v>1536</v>
      </c>
      <c r="K130" s="1" t="s">
        <v>1537</v>
      </c>
      <c r="L130" s="1" t="s">
        <v>1611</v>
      </c>
      <c r="N130" s="1" t="e">
        <f>IF(#REF!="Ja",VLOOKUP(A130,'[1]ZArtefakte aus Listen'!A:B,2,0),"")</f>
        <v>#REF!</v>
      </c>
      <c r="Q130" s="1" t="e">
        <f>IF(#REF!="Ja",VLOOKUP(A130,'[1]ZArtefakte aus Listen'!A:D,4,0),"")</f>
        <v>#REF!</v>
      </c>
    </row>
    <row r="131" spans="1:17" ht="12.6" hidden="1">
      <c r="A131" s="1" t="s">
        <v>282</v>
      </c>
      <c r="B131" s="1" t="str">
        <f>VLOOKUP(A131,'Z-Programme'!$A$2:$A$650,1,FALSE)</f>
        <v>ZFI_ABZUG_ANLA</v>
      </c>
      <c r="C131" s="1" t="s">
        <v>284</v>
      </c>
      <c r="D131" s="1" t="s">
        <v>1533</v>
      </c>
      <c r="E131" s="1" t="s">
        <v>1534</v>
      </c>
      <c r="F131" s="1" t="s">
        <v>1544</v>
      </c>
      <c r="J131" s="5" t="s">
        <v>1536</v>
      </c>
      <c r="K131" s="1" t="s">
        <v>1537</v>
      </c>
      <c r="L131" s="1" t="s">
        <v>1611</v>
      </c>
      <c r="N131" s="1" t="e">
        <f>IF(#REF!="Ja",VLOOKUP(A131,'[1]ZArtefakte aus Listen'!A:B,2,0),"")</f>
        <v>#REF!</v>
      </c>
      <c r="Q131" s="1" t="e">
        <f>IF(#REF!="Ja",VLOOKUP(A131,'[1]ZArtefakte aus Listen'!A:D,4,0),"")</f>
        <v>#REF!</v>
      </c>
    </row>
    <row r="132" spans="1:17" ht="12.6" hidden="1">
      <c r="A132" s="1" t="s">
        <v>285</v>
      </c>
      <c r="B132" s="1" t="str">
        <f>VLOOKUP(A132,'Z-Programme'!$A$2:$A$650,1,FALSE)</f>
        <v>ZFI_ABZUG_DEBI</v>
      </c>
      <c r="C132" s="1" t="s">
        <v>286</v>
      </c>
      <c r="D132" s="1" t="s">
        <v>1533</v>
      </c>
      <c r="E132" s="1" t="s">
        <v>1534</v>
      </c>
      <c r="F132" s="1" t="s">
        <v>1544</v>
      </c>
      <c r="J132" s="5" t="s">
        <v>1536</v>
      </c>
      <c r="K132" s="1" t="s">
        <v>1537</v>
      </c>
      <c r="L132" s="1" t="s">
        <v>1611</v>
      </c>
      <c r="N132" s="1" t="e">
        <f>IF(#REF!="Ja",VLOOKUP(A132,'[1]ZArtefakte aus Listen'!A:B,2,0),"")</f>
        <v>#REF!</v>
      </c>
      <c r="Q132" s="1" t="e">
        <f>IF(#REF!="Ja",VLOOKUP(A132,'[1]ZArtefakte aus Listen'!A:D,4,0),"")</f>
        <v>#REF!</v>
      </c>
    </row>
    <row r="133" spans="1:17" ht="12.6" hidden="1">
      <c r="A133" s="1" t="s">
        <v>287</v>
      </c>
      <c r="B133" s="1" t="str">
        <f>VLOOKUP(A133,'Z-Programme'!$A$2:$A$650,1,FALSE)</f>
        <v>ZFI_ABZUG_DEBKRED</v>
      </c>
      <c r="C133" s="1" t="s">
        <v>288</v>
      </c>
      <c r="D133" s="1" t="s">
        <v>1533</v>
      </c>
      <c r="E133" s="1" t="s">
        <v>1534</v>
      </c>
      <c r="F133" s="1" t="s">
        <v>1544</v>
      </c>
      <c r="J133" s="5" t="s">
        <v>1536</v>
      </c>
      <c r="K133" s="1" t="s">
        <v>1537</v>
      </c>
      <c r="L133" s="1" t="s">
        <v>1612</v>
      </c>
      <c r="N133" s="1" t="e">
        <f>IF(#REF!="Ja",VLOOKUP(A133,'[1]ZArtefakte aus Listen'!A:B,2,0),"")</f>
        <v>#REF!</v>
      </c>
    </row>
    <row r="134" spans="1:17" ht="12.6" hidden="1">
      <c r="A134" s="1" t="s">
        <v>289</v>
      </c>
      <c r="B134" s="1" t="str">
        <f>VLOOKUP(A134,'Z-Programme'!$A$2:$A$650,1,FALSE)</f>
        <v>ZFI_ABZUG_DEBREP</v>
      </c>
      <c r="C134" s="1" t="s">
        <v>290</v>
      </c>
      <c r="D134" s="1" t="s">
        <v>1533</v>
      </c>
      <c r="E134" s="1" t="s">
        <v>1534</v>
      </c>
      <c r="F134" s="1" t="s">
        <v>1544</v>
      </c>
      <c r="J134" s="5" t="s">
        <v>1536</v>
      </c>
      <c r="K134" s="1" t="s">
        <v>1537</v>
      </c>
      <c r="L134" s="1" t="s">
        <v>1611</v>
      </c>
      <c r="N134" s="1" t="e">
        <f>IF(#REF!="Ja",VLOOKUP(A134,'[1]ZArtefakte aus Listen'!A:B,2,0),"")</f>
        <v>#REF!</v>
      </c>
      <c r="Q134" s="1" t="e">
        <f>IF(#REF!="Ja",VLOOKUP(A134,'[1]ZArtefakte aus Listen'!A:D,4,0),"")</f>
        <v>#REF!</v>
      </c>
    </row>
    <row r="135" spans="1:17" ht="12.6" hidden="1">
      <c r="A135" s="1" t="s">
        <v>291</v>
      </c>
      <c r="B135" s="1" t="str">
        <f>VLOOKUP(A135,'Z-Programme'!$A$2:$A$650,1,FALSE)</f>
        <v>ZFI_ABZUG_GLT3</v>
      </c>
      <c r="C135" s="1" t="s">
        <v>292</v>
      </c>
      <c r="D135" s="1" t="s">
        <v>1533</v>
      </c>
      <c r="E135" s="1" t="s">
        <v>1534</v>
      </c>
      <c r="F135" s="1" t="s">
        <v>1544</v>
      </c>
      <c r="J135" s="5" t="s">
        <v>1536</v>
      </c>
      <c r="K135" s="1" t="s">
        <v>1537</v>
      </c>
      <c r="L135" s="1" t="s">
        <v>1611</v>
      </c>
      <c r="N135" s="1" t="e">
        <f>IF(#REF!="Ja",VLOOKUP(A135,'[1]ZArtefakte aus Listen'!A:B,2,0),"")</f>
        <v>#REF!</v>
      </c>
      <c r="Q135" s="1" t="e">
        <f>IF(#REF!="Ja",VLOOKUP(A135,'[1]ZArtefakte aus Listen'!A:D,4,0),"")</f>
        <v>#REF!</v>
      </c>
    </row>
    <row r="136" spans="1:17" ht="12.6" hidden="1">
      <c r="A136" s="1" t="s">
        <v>293</v>
      </c>
      <c r="B136" s="1" t="str">
        <f>VLOOKUP(A136,'Z-Programme'!$A$2:$A$650,1,FALSE)</f>
        <v>ZFI_ABZUG_KRED</v>
      </c>
      <c r="C136" s="1" t="s">
        <v>294</v>
      </c>
      <c r="D136" s="1" t="s">
        <v>1533</v>
      </c>
      <c r="E136" s="1" t="s">
        <v>1584</v>
      </c>
      <c r="F136" s="1" t="s">
        <v>1613</v>
      </c>
      <c r="J136" s="5" t="s">
        <v>1536</v>
      </c>
      <c r="K136" s="1" t="s">
        <v>1614</v>
      </c>
      <c r="L136" s="1" t="s">
        <v>1615</v>
      </c>
      <c r="M136" s="5" t="s">
        <v>1536</v>
      </c>
      <c r="N136" s="1" t="e">
        <f>IF(#REF!="Ja",VLOOKUP(A136,'[1]ZArtefakte aus Listen'!A:B,2,0),"")</f>
        <v>#REF!</v>
      </c>
      <c r="P136" s="58"/>
    </row>
    <row r="137" spans="1:17" ht="12.6" hidden="1">
      <c r="A137" s="1" t="s">
        <v>295</v>
      </c>
      <c r="B137" s="1" t="str">
        <f>VLOOKUP(A137,'Z-Programme'!$A$2:$A$650,1,FALSE)</f>
        <v>ZFI_ABZUG_SAKO</v>
      </c>
      <c r="C137" s="1" t="s">
        <v>296</v>
      </c>
      <c r="D137" s="1" t="s">
        <v>1533</v>
      </c>
      <c r="E137" s="1" t="s">
        <v>1534</v>
      </c>
      <c r="F137" s="1" t="s">
        <v>1544</v>
      </c>
      <c r="J137" s="5" t="s">
        <v>1536</v>
      </c>
      <c r="K137" s="1" t="s">
        <v>1537</v>
      </c>
      <c r="L137" s="1" t="s">
        <v>1611</v>
      </c>
      <c r="N137" s="1" t="e">
        <f>IF(#REF!="Ja",VLOOKUP(A137,'[1]ZArtefakte aus Listen'!A:B,2,0),"")</f>
        <v>#REF!</v>
      </c>
      <c r="Q137" s="1" t="e">
        <f>IF(#REF!="Ja",VLOOKUP(A137,'[1]ZArtefakte aus Listen'!A:D,4,0),"")</f>
        <v>#REF!</v>
      </c>
    </row>
    <row r="138" spans="1:17" ht="12.6" hidden="1">
      <c r="A138" s="1" t="s">
        <v>297</v>
      </c>
      <c r="B138" s="1" t="str">
        <f>VLOOKUP(A138,'Z-Programme'!$A$2:$A$650,1,FALSE)</f>
        <v>ZFI_ADAM_KONTENABSTIMMUNG</v>
      </c>
      <c r="C138" s="1" t="s">
        <v>298</v>
      </c>
      <c r="D138" s="1" t="s">
        <v>1533</v>
      </c>
      <c r="E138" s="1" t="s">
        <v>1534</v>
      </c>
      <c r="F138" s="1" t="s">
        <v>1544</v>
      </c>
      <c r="J138" s="5" t="s">
        <v>1536</v>
      </c>
      <c r="K138" s="1" t="s">
        <v>1537</v>
      </c>
      <c r="L138" s="1" t="s">
        <v>1611</v>
      </c>
      <c r="N138" s="1" t="e">
        <f>IF(#REF!="Ja",VLOOKUP(A138,'[1]ZArtefakte aus Listen'!A:B,2,0),"")</f>
        <v>#REF!</v>
      </c>
      <c r="Q138" s="1" t="e">
        <f>IF(#REF!="Ja",VLOOKUP(A138,'[1]ZArtefakte aus Listen'!A:D,4,0),"")</f>
        <v>#REF!</v>
      </c>
    </row>
    <row r="139" spans="1:17" ht="12.6" hidden="1">
      <c r="A139" s="1" t="s">
        <v>299</v>
      </c>
      <c r="B139" s="1" t="str">
        <f>VLOOKUP(A139,'Z-Programme'!$A$2:$A$650,1,FALSE)</f>
        <v>ZFI_AIRP01</v>
      </c>
      <c r="C139" s="1" t="s">
        <v>301</v>
      </c>
      <c r="D139" s="1" t="s">
        <v>1533</v>
      </c>
      <c r="E139" s="1" t="s">
        <v>1558</v>
      </c>
      <c r="F139" s="1" t="s">
        <v>1616</v>
      </c>
      <c r="G139" s="1" t="s">
        <v>1617</v>
      </c>
      <c r="K139" s="58" t="s">
        <v>1573</v>
      </c>
      <c r="N139" s="1" t="e">
        <f>IF(#REF!="Ja",VLOOKUP(A139,'[1]ZArtefakte aus Listen'!A:B,2,0),"")</f>
        <v>#REF!</v>
      </c>
      <c r="P139" s="58"/>
      <c r="Q139" s="1" t="e">
        <f>IF(#REF!="Ja",VLOOKUP(A139,'[1]ZArtefakte aus Listen'!A:D,4,0),"")</f>
        <v>#REF!</v>
      </c>
    </row>
    <row r="140" spans="1:17" ht="12.6" hidden="1">
      <c r="A140" s="1" t="s">
        <v>302</v>
      </c>
      <c r="B140" s="1" t="str">
        <f>VLOOKUP(A140,'Z-Programme'!$A$2:$A$650,1,FALSE)</f>
        <v>ZFI_AL_REBHIS_DEL</v>
      </c>
      <c r="C140" s="1" t="s">
        <v>304</v>
      </c>
      <c r="D140" s="1" t="s">
        <v>1533</v>
      </c>
      <c r="E140" s="1" t="s">
        <v>1558</v>
      </c>
      <c r="F140" s="1" t="s">
        <v>1618</v>
      </c>
      <c r="G140" s="1" t="s">
        <v>1590</v>
      </c>
      <c r="J140" s="5"/>
      <c r="K140" s="1" t="s">
        <v>1542</v>
      </c>
      <c r="L140" s="1" t="s">
        <v>1619</v>
      </c>
      <c r="M140" s="5" t="s">
        <v>1536</v>
      </c>
      <c r="N140" s="1" t="e">
        <f>IF(#REF!="Ja",VLOOKUP(A140,'[1]ZArtefakte aus Listen'!A:B,2,0),"")</f>
        <v>#REF!</v>
      </c>
      <c r="Q140" s="1" t="e">
        <f>IF(#REF!="Ja",VLOOKUP(A140,'[1]ZArtefakte aus Listen'!A:D,4,0),"")</f>
        <v>#REF!</v>
      </c>
    </row>
    <row r="141" spans="1:17" ht="12.6" hidden="1">
      <c r="A141" s="1" t="s">
        <v>305</v>
      </c>
      <c r="B141" s="1" t="str">
        <f>VLOOKUP(A141,'Z-Programme'!$A$2:$A$650,1,FALSE)</f>
        <v>ZFI_ANLA_AENDERN_INVKENNZ</v>
      </c>
      <c r="C141" s="1" t="s">
        <v>306</v>
      </c>
      <c r="D141" s="1" t="s">
        <v>1533</v>
      </c>
      <c r="E141" s="1" t="s">
        <v>1534</v>
      </c>
      <c r="F141" s="1" t="s">
        <v>1544</v>
      </c>
      <c r="J141" s="5" t="s">
        <v>1536</v>
      </c>
      <c r="K141" s="1" t="s">
        <v>1537</v>
      </c>
      <c r="L141" s="1" t="s">
        <v>1620</v>
      </c>
      <c r="N141" s="1" t="e">
        <f>IF(#REF!="Ja",VLOOKUP(A141,'[1]ZArtefakte aus Listen'!A:B,2,0),"")</f>
        <v>#REF!</v>
      </c>
      <c r="Q141" s="1" t="e">
        <f>IF(#REF!="Ja",VLOOKUP(A141,'[1]ZArtefakte aus Listen'!A:D,4,0),"")</f>
        <v>#REF!</v>
      </c>
    </row>
    <row r="142" spans="1:17" ht="12.6" hidden="1">
      <c r="A142" s="1" t="s">
        <v>307</v>
      </c>
      <c r="B142" s="1" t="str">
        <f>VLOOKUP(A142,'Z-Programme'!$A$2:$A$650,1,FALSE)</f>
        <v>ZFI_ANLAGENZUGANG_ATTACH</v>
      </c>
      <c r="C142" s="1" t="s">
        <v>308</v>
      </c>
      <c r="D142" s="1" t="s">
        <v>1533</v>
      </c>
      <c r="E142" s="1" t="s">
        <v>1534</v>
      </c>
      <c r="F142" s="1" t="s">
        <v>1544</v>
      </c>
      <c r="J142" s="5" t="s">
        <v>1536</v>
      </c>
      <c r="K142" s="1" t="s">
        <v>1537</v>
      </c>
      <c r="L142" s="1" t="s">
        <v>1621</v>
      </c>
      <c r="N142" s="1" t="e">
        <f>IF(#REF!="Ja",VLOOKUP(A142,'[1]ZArtefakte aus Listen'!A:B,2,0),"")</f>
        <v>#REF!</v>
      </c>
    </row>
    <row r="143" spans="1:17" ht="12.6" hidden="1">
      <c r="A143" s="1" t="s">
        <v>309</v>
      </c>
      <c r="B143" s="1" t="str">
        <f>VLOOKUP(A143,'Z-Programme'!$A$2:$A$650,1,FALSE)</f>
        <v>ZFI_ANLAGENZUGANG_UPLOAD</v>
      </c>
      <c r="C143" s="1" t="s">
        <v>311</v>
      </c>
      <c r="D143" s="1" t="s">
        <v>1533</v>
      </c>
      <c r="E143" s="1" t="s">
        <v>1558</v>
      </c>
      <c r="F143" s="1" t="s">
        <v>1622</v>
      </c>
      <c r="G143" s="1" t="s">
        <v>1623</v>
      </c>
      <c r="K143" s="58" t="s">
        <v>1573</v>
      </c>
      <c r="N143" s="1" t="e">
        <f>IF(#REF!="Ja",VLOOKUP(A143,'[1]ZArtefakte aus Listen'!A:B,2,0),"")</f>
        <v>#REF!</v>
      </c>
      <c r="P143" s="58"/>
      <c r="Q143" s="1" t="e">
        <f>IF(#REF!="Ja",VLOOKUP(A143,'[1]ZArtefakte aus Listen'!A:D,4,0),"")</f>
        <v>#REF!</v>
      </c>
    </row>
    <row r="144" spans="1:17" ht="12.6" hidden="1">
      <c r="A144" s="1" t="s">
        <v>312</v>
      </c>
      <c r="B144" s="1" t="str">
        <f>VLOOKUP(A144,'Z-Programme'!$A$2:$A$650,1,FALSE)</f>
        <v>ZFI_ANZ_REISE_PBS</v>
      </c>
      <c r="C144" s="1" t="s">
        <v>314</v>
      </c>
      <c r="D144" s="1" t="s">
        <v>1533</v>
      </c>
      <c r="E144" s="1" t="s">
        <v>1558</v>
      </c>
      <c r="F144" s="1" t="s">
        <v>1616</v>
      </c>
      <c r="G144" s="1" t="s">
        <v>1617</v>
      </c>
      <c r="K144" s="58" t="s">
        <v>1573</v>
      </c>
      <c r="N144" s="1" t="e">
        <f>IF(#REF!="Ja",VLOOKUP(A144,'[1]ZArtefakte aus Listen'!A:B,2,0),"")</f>
        <v>#REF!</v>
      </c>
      <c r="P144" s="58"/>
      <c r="Q144" s="1" t="e">
        <f>IF(#REF!="Ja",VLOOKUP(A144,'[1]ZArtefakte aus Listen'!A:D,4,0),"")</f>
        <v>#REF!</v>
      </c>
    </row>
    <row r="145" spans="1:17" ht="12.6" hidden="1">
      <c r="A145" s="1" t="s">
        <v>315</v>
      </c>
      <c r="B145" s="1" t="str">
        <f>VLOOKUP(A145,'Z-Programme'!$A$2:$A$650,1,FALSE)</f>
        <v>ZFI_ARCHLINK_PARTNERBELEG</v>
      </c>
      <c r="C145" s="1" t="s">
        <v>317</v>
      </c>
      <c r="D145" s="1" t="s">
        <v>1533</v>
      </c>
      <c r="E145" s="1" t="s">
        <v>1624</v>
      </c>
      <c r="F145" s="1" t="s">
        <v>1625</v>
      </c>
      <c r="G145" s="1" t="s">
        <v>1626</v>
      </c>
      <c r="J145" s="5"/>
      <c r="K145" s="1" t="s">
        <v>1542</v>
      </c>
      <c r="L145" s="1" t="s">
        <v>1627</v>
      </c>
      <c r="M145" s="5" t="s">
        <v>1536</v>
      </c>
      <c r="N145" s="1" t="e">
        <f>IF(#REF!="Ja",VLOOKUP(A145,'[1]ZArtefakte aus Listen'!A:B,2,0),"")</f>
        <v>#REF!</v>
      </c>
      <c r="Q145" s="1" t="e">
        <f>IF(#REF!="Ja",VLOOKUP(A145,'[1]ZArtefakte aus Listen'!A:D,4,0),"")</f>
        <v>#REF!</v>
      </c>
    </row>
    <row r="146" spans="1:17" ht="12.6" hidden="1">
      <c r="A146" s="1" t="s">
        <v>318</v>
      </c>
      <c r="B146" s="1" t="str">
        <f>VLOOKUP(A146,'Z-Programme'!$A$2:$A$650,1,FALSE)</f>
        <v>ZFI_ARCID_FIDOCS</v>
      </c>
      <c r="C146" s="1" t="s">
        <v>319</v>
      </c>
      <c r="D146" s="1" t="s">
        <v>1533</v>
      </c>
      <c r="E146" s="1" t="s">
        <v>1624</v>
      </c>
      <c r="F146" s="1" t="s">
        <v>1625</v>
      </c>
      <c r="G146" s="1" t="s">
        <v>1626</v>
      </c>
      <c r="J146" s="5"/>
      <c r="K146" s="1" t="s">
        <v>1542</v>
      </c>
      <c r="L146" s="1" t="s">
        <v>1619</v>
      </c>
      <c r="M146" s="5" t="s">
        <v>1536</v>
      </c>
      <c r="N146" s="1" t="e">
        <f>IF(#REF!="Ja",VLOOKUP(A146,'[1]ZArtefakte aus Listen'!A:B,2,0),"")</f>
        <v>#REF!</v>
      </c>
      <c r="Q146" s="1" t="e">
        <f>IF(#REF!="Ja",VLOOKUP(A146,'[1]ZArtefakte aus Listen'!A:D,4,0),"")</f>
        <v>#REF!</v>
      </c>
    </row>
    <row r="147" spans="1:17" ht="12.6" hidden="1">
      <c r="A147" s="1" t="s">
        <v>320</v>
      </c>
      <c r="B147" s="1" t="str">
        <f>VLOOKUP(A147,'Z-Programme'!$A$2:$A$650,1,FALSE)</f>
        <v>ZFI_ARFILES_DEL</v>
      </c>
      <c r="C147" s="1" t="s">
        <v>321</v>
      </c>
      <c r="D147" s="1" t="s">
        <v>1533</v>
      </c>
      <c r="E147" s="1" t="s">
        <v>1624</v>
      </c>
      <c r="F147" s="1" t="s">
        <v>1625</v>
      </c>
      <c r="G147" s="1" t="s">
        <v>1626</v>
      </c>
      <c r="J147" s="5"/>
      <c r="K147" s="1" t="s">
        <v>1542</v>
      </c>
      <c r="L147" s="1" t="s">
        <v>1619</v>
      </c>
      <c r="M147" s="5" t="s">
        <v>1536</v>
      </c>
      <c r="N147" s="1" t="e">
        <f>IF(#REF!="Ja",VLOOKUP(A147,'[1]ZArtefakte aus Listen'!A:B,2,0),"")</f>
        <v>#REF!</v>
      </c>
      <c r="Q147" s="1" t="e">
        <f>IF(#REF!="Ja",VLOOKUP(A147,'[1]ZArtefakte aus Listen'!A:D,4,0),"")</f>
        <v>#REF!</v>
      </c>
    </row>
    <row r="148" spans="1:17" ht="12.6" hidden="1">
      <c r="A148" s="1" t="s">
        <v>322</v>
      </c>
      <c r="B148" s="1" t="str">
        <f>VLOOKUP(A148,'Z-Programme'!$A$2:$A$650,1,FALSE)</f>
        <v>ZFI_AS91_GKS</v>
      </c>
      <c r="C148" s="1" t="s">
        <v>323</v>
      </c>
      <c r="D148" s="1" t="s">
        <v>1533</v>
      </c>
      <c r="E148" s="1" t="s">
        <v>1534</v>
      </c>
      <c r="F148" s="1" t="s">
        <v>1544</v>
      </c>
      <c r="J148" s="5" t="s">
        <v>1536</v>
      </c>
      <c r="K148" s="1" t="s">
        <v>1537</v>
      </c>
      <c r="L148" s="1" t="s">
        <v>1628</v>
      </c>
      <c r="N148" s="1" t="e">
        <f>IF(#REF!="Ja",VLOOKUP(A148,'[1]ZArtefakte aus Listen'!A:B,2,0),"")</f>
        <v>#REF!</v>
      </c>
    </row>
    <row r="149" spans="1:17" ht="12.6" hidden="1">
      <c r="A149" s="1" t="s">
        <v>324</v>
      </c>
      <c r="B149" s="1" t="str">
        <f>VLOOKUP(A149,'Z-Programme'!$A$2:$A$650,1,FALSE)</f>
        <v>ZFI_AUSBUCHUNG_PROV_REPORT</v>
      </c>
      <c r="C149" s="1" t="s">
        <v>326</v>
      </c>
      <c r="D149" s="1" t="s">
        <v>1533</v>
      </c>
      <c r="E149" s="1" t="s">
        <v>1558</v>
      </c>
      <c r="F149" s="1" t="s">
        <v>1549</v>
      </c>
      <c r="J149" s="5" t="s">
        <v>1536</v>
      </c>
      <c r="K149" s="1" t="s">
        <v>1542</v>
      </c>
      <c r="L149" s="1" t="s">
        <v>1560</v>
      </c>
      <c r="M149" s="5" t="s">
        <v>1536</v>
      </c>
      <c r="N149" s="1" t="e">
        <f>IF(#REF!="Ja",VLOOKUP(A149,'[1]ZArtefakte aus Listen'!A:B,2,0),"")</f>
        <v>#REF!</v>
      </c>
      <c r="P149" s="58"/>
    </row>
    <row r="150" spans="1:17" ht="12.6" hidden="1">
      <c r="A150" s="1" t="s">
        <v>327</v>
      </c>
      <c r="B150" s="1" t="str">
        <f>VLOOKUP(A150,'Z-Programme'!$A$2:$A$650,1,FALSE)</f>
        <v>ZFI_AUSL_BEL</v>
      </c>
      <c r="C150" s="1" t="s">
        <v>329</v>
      </c>
      <c r="D150" s="1" t="s">
        <v>1533</v>
      </c>
      <c r="E150" s="1" t="s">
        <v>1540</v>
      </c>
      <c r="F150" s="1" t="s">
        <v>1629</v>
      </c>
      <c r="J150" s="5" t="s">
        <v>1536</v>
      </c>
      <c r="K150" s="1" t="s">
        <v>1597</v>
      </c>
      <c r="L150" s="58" t="s">
        <v>1630</v>
      </c>
      <c r="N150" s="1" t="e">
        <f>IF(#REF!="Ja",VLOOKUP(A150,'[1]ZArtefakte aus Listen'!A:B,2,0),"")</f>
        <v>#REF!</v>
      </c>
      <c r="Q150" s="58"/>
    </row>
    <row r="151" spans="1:17" ht="12.6" hidden="1">
      <c r="A151" s="1" t="s">
        <v>330</v>
      </c>
      <c r="B151" s="1" t="str">
        <f>VLOOKUP(A151,'Z-Programme'!$A$2:$A$650,1,FALSE)</f>
        <v>ZFI_AUSL_BEL_HIST</v>
      </c>
      <c r="C151" s="1" t="s">
        <v>331</v>
      </c>
      <c r="D151" s="1" t="s">
        <v>1533</v>
      </c>
      <c r="E151" s="1" t="s">
        <v>1540</v>
      </c>
      <c r="F151" s="1" t="s">
        <v>1629</v>
      </c>
      <c r="J151" s="5" t="s">
        <v>1536</v>
      </c>
      <c r="K151" s="1" t="s">
        <v>1597</v>
      </c>
      <c r="L151" s="58" t="s">
        <v>1630</v>
      </c>
      <c r="N151" s="1" t="e">
        <f>IF(#REF!="Ja",VLOOKUP(A151,'[1]ZArtefakte aus Listen'!A:B,2,0),"")</f>
        <v>#REF!</v>
      </c>
    </row>
    <row r="152" spans="1:17" ht="12.6" hidden="1">
      <c r="A152" s="1" t="s">
        <v>332</v>
      </c>
      <c r="B152" s="1" t="str">
        <f>VLOOKUP(A152,'Z-Programme'!$A$2:$A$650,1,FALSE)</f>
        <v>ZFI_AUSL_LISTE</v>
      </c>
      <c r="C152" s="1" t="s">
        <v>334</v>
      </c>
      <c r="D152" s="1" t="s">
        <v>1533</v>
      </c>
      <c r="E152" s="1" t="s">
        <v>1540</v>
      </c>
      <c r="F152" s="1" t="s">
        <v>1629</v>
      </c>
      <c r="J152" s="5" t="s">
        <v>1536</v>
      </c>
      <c r="K152" s="1" t="s">
        <v>1597</v>
      </c>
      <c r="L152" s="58" t="s">
        <v>1630</v>
      </c>
      <c r="N152" s="1" t="e">
        <f>IF(#REF!="Ja",VLOOKUP(A152,'[1]ZArtefakte aus Listen'!A:B,2,0),"")</f>
        <v>#REF!</v>
      </c>
    </row>
    <row r="153" spans="1:17" ht="12.6" hidden="1">
      <c r="A153" s="1" t="s">
        <v>335</v>
      </c>
      <c r="B153" s="1" t="str">
        <f>VLOOKUP(A153,'Z-Programme'!$A$2:$A$650,1,FALSE)</f>
        <v>ZFI_AUSL_MENUE</v>
      </c>
      <c r="C153" s="1" t="s">
        <v>336</v>
      </c>
      <c r="D153" s="1" t="s">
        <v>1548</v>
      </c>
      <c r="E153" s="1" t="s">
        <v>1540</v>
      </c>
      <c r="F153" s="1" t="s">
        <v>1629</v>
      </c>
      <c r="J153" s="60" t="s">
        <v>1536</v>
      </c>
      <c r="K153" s="1" t="s">
        <v>1542</v>
      </c>
      <c r="L153" s="1" t="s">
        <v>1631</v>
      </c>
      <c r="N153" s="1" t="e">
        <f>IF(#REF!="Ja",VLOOKUP(A153,'[1]ZArtefakte aus Listen'!A:B,2,0),"")</f>
        <v>#REF!</v>
      </c>
      <c r="Q153" s="1" t="e">
        <f>IF(#REF!="Ja",VLOOKUP(A153,'[1]ZArtefakte aus Listen'!A:D,4,0),"")</f>
        <v>#REF!</v>
      </c>
    </row>
    <row r="154" spans="1:17" ht="12.6" hidden="1">
      <c r="A154" s="1" t="s">
        <v>337</v>
      </c>
      <c r="B154" s="1" t="str">
        <f>VLOOKUP(A154,'Z-Programme'!$A$2:$A$650,1,FALSE)</f>
        <v>ZFI_AUSUMS</v>
      </c>
      <c r="C154" s="1" t="s">
        <v>338</v>
      </c>
      <c r="D154" s="1" t="s">
        <v>1533</v>
      </c>
      <c r="E154" s="1" t="s">
        <v>1534</v>
      </c>
      <c r="F154" s="1" t="s">
        <v>1544</v>
      </c>
      <c r="J154" s="5" t="s">
        <v>1536</v>
      </c>
      <c r="K154" s="1" t="s">
        <v>1537</v>
      </c>
      <c r="L154" s="1" t="s">
        <v>1611</v>
      </c>
      <c r="N154" s="1" t="e">
        <f>IF(#REF!="Ja",VLOOKUP(A154,'[1]ZArtefakte aus Listen'!A:B,2,0),"")</f>
        <v>#REF!</v>
      </c>
      <c r="Q154" s="1" t="e">
        <f>IF(#REF!="Ja",VLOOKUP(A154,'[1]ZArtefakte aus Listen'!A:D,4,0),"")</f>
        <v>#REF!</v>
      </c>
    </row>
    <row r="155" spans="1:17" ht="12.6" hidden="1">
      <c r="A155" s="1" t="s">
        <v>339</v>
      </c>
      <c r="B155" s="1" t="str">
        <f>VLOOKUP(A155,'Z-Programme'!$A$2:$A$650,1,FALSE)</f>
        <v>ZFI_AUSW_BESTELL_RECH_FI_ACE</v>
      </c>
      <c r="C155" s="1" t="s">
        <v>340</v>
      </c>
      <c r="D155" s="1" t="s">
        <v>1533</v>
      </c>
      <c r="E155" s="1" t="s">
        <v>1534</v>
      </c>
      <c r="F155" s="1" t="s">
        <v>1544</v>
      </c>
      <c r="J155" s="5" t="s">
        <v>1536</v>
      </c>
      <c r="K155" s="1" t="s">
        <v>1537</v>
      </c>
      <c r="L155" s="1" t="s">
        <v>1621</v>
      </c>
      <c r="N155" s="1" t="e">
        <f>IF(#REF!="Ja",VLOOKUP(A155,'[1]ZArtefakte aus Listen'!A:B,2,0),"")</f>
        <v>#REF!</v>
      </c>
    </row>
    <row r="156" spans="1:17" ht="12.6" hidden="1">
      <c r="A156" s="1" t="s">
        <v>341</v>
      </c>
      <c r="B156" s="1" t="str">
        <f>VLOOKUP(A156,'Z-Programme'!$A$2:$A$650,1,FALSE)</f>
        <v>ZFI_AVIS_UPLOAD</v>
      </c>
      <c r="C156" s="1" t="s">
        <v>342</v>
      </c>
      <c r="D156" s="1" t="s">
        <v>1533</v>
      </c>
      <c r="E156" s="1" t="s">
        <v>1534</v>
      </c>
      <c r="F156" s="1" t="s">
        <v>1544</v>
      </c>
      <c r="J156" s="5" t="s">
        <v>1536</v>
      </c>
      <c r="K156" s="1" t="s">
        <v>1537</v>
      </c>
      <c r="L156" s="1" t="s">
        <v>1611</v>
      </c>
      <c r="N156" s="1" t="e">
        <f>IF(#REF!="Ja",VLOOKUP(A156,'[1]ZArtefakte aus Listen'!A:B,2,0),"")</f>
        <v>#REF!</v>
      </c>
    </row>
    <row r="157" spans="1:17" ht="12.6" hidden="1">
      <c r="A157" s="1" t="s">
        <v>343</v>
      </c>
      <c r="B157" s="1" t="str">
        <f>VLOOKUP(A157,'Z-Programme'!$A$2:$A$650,1,FALSE)</f>
        <v>ZFI_AVIS_WIEDERHOLUNG</v>
      </c>
      <c r="C157" s="1" t="s">
        <v>344</v>
      </c>
      <c r="D157" s="1" t="s">
        <v>1533</v>
      </c>
      <c r="E157" s="1" t="s">
        <v>1534</v>
      </c>
      <c r="F157" s="1" t="s">
        <v>1544</v>
      </c>
      <c r="J157" s="5" t="s">
        <v>1536</v>
      </c>
      <c r="K157" s="1" t="s">
        <v>1537</v>
      </c>
      <c r="L157" s="1" t="s">
        <v>1611</v>
      </c>
      <c r="N157" s="1" t="e">
        <f>IF(#REF!="Ja",VLOOKUP(A157,'[1]ZArtefakte aus Listen'!A:B,2,0),"")</f>
        <v>#REF!</v>
      </c>
    </row>
    <row r="158" spans="1:17" ht="12.6" hidden="1">
      <c r="A158" s="1" t="s">
        <v>345</v>
      </c>
      <c r="B158" s="1" t="str">
        <f>VLOOKUP(A158,'Z-Programme'!$A$2:$A$650,1,FALSE)</f>
        <v>ZFI_AVIS01</v>
      </c>
      <c r="C158" s="1" t="s">
        <v>1632</v>
      </c>
      <c r="D158" s="1" t="s">
        <v>1533</v>
      </c>
      <c r="E158" s="1" t="s">
        <v>1633</v>
      </c>
      <c r="F158" s="1" t="s">
        <v>1616</v>
      </c>
      <c r="G158" s="1" t="s">
        <v>1617</v>
      </c>
      <c r="K158" s="58" t="s">
        <v>1573</v>
      </c>
      <c r="N158" s="1" t="e">
        <f>IF(#REF!="Ja",VLOOKUP(A158,'[1]ZArtefakte aus Listen'!A:B,2,0),"")</f>
        <v>#REF!</v>
      </c>
      <c r="P158" s="58"/>
      <c r="Q158" s="1" t="e">
        <f>IF(#REF!="Ja",VLOOKUP(A158,'[1]ZArtefakte aus Listen'!A:D,4,0),"")</f>
        <v>#REF!</v>
      </c>
    </row>
    <row r="159" spans="1:17" ht="12.6" hidden="1">
      <c r="A159" s="1" t="s">
        <v>348</v>
      </c>
      <c r="B159" s="1" t="str">
        <f>VLOOKUP(A159,'Z-Programme'!$A$2:$A$650,1,FALSE)</f>
        <v>ZFI_AVM_AOBJD</v>
      </c>
      <c r="C159" s="1" t="s">
        <v>350</v>
      </c>
      <c r="D159" s="1" t="s">
        <v>1533</v>
      </c>
      <c r="E159" s="1" t="s">
        <v>1558</v>
      </c>
      <c r="F159" s="1" t="s">
        <v>1549</v>
      </c>
      <c r="G159" s="1" t="s">
        <v>1590</v>
      </c>
      <c r="J159" s="5"/>
      <c r="K159" s="1" t="s">
        <v>1542</v>
      </c>
      <c r="L159" s="1" t="s">
        <v>1619</v>
      </c>
      <c r="M159" s="5" t="s">
        <v>1536</v>
      </c>
      <c r="N159" s="1" t="e">
        <f>IF(#REF!="Ja",VLOOKUP(A159,'[1]ZArtefakte aus Listen'!A:B,2,0),"")</f>
        <v>#REF!</v>
      </c>
      <c r="Q159" s="1" t="e">
        <f>IF(#REF!="Ja",VLOOKUP(A159,'[1]ZArtefakte aus Listen'!A:D,4,0),"")</f>
        <v>#REF!</v>
      </c>
    </row>
    <row r="160" spans="1:17" ht="12.6" hidden="1">
      <c r="A160" s="1" t="s">
        <v>351</v>
      </c>
      <c r="B160" s="1" t="str">
        <f>VLOOKUP(A160,'Z-Programme'!$A$2:$A$650,1,FALSE)</f>
        <v>ZFI_AVM_AOBJR</v>
      </c>
      <c r="C160" s="1" t="s">
        <v>352</v>
      </c>
      <c r="D160" s="1" t="s">
        <v>1533</v>
      </c>
      <c r="E160" s="1" t="s">
        <v>1558</v>
      </c>
      <c r="F160" s="1" t="s">
        <v>1549</v>
      </c>
      <c r="G160" s="1" t="s">
        <v>1590</v>
      </c>
      <c r="J160" s="5"/>
      <c r="K160" s="1" t="s">
        <v>1542</v>
      </c>
      <c r="L160" s="1" t="s">
        <v>1619</v>
      </c>
      <c r="M160" s="5" t="s">
        <v>1536</v>
      </c>
      <c r="N160" s="1" t="e">
        <f>IF(#REF!="Ja",VLOOKUP(A160,'[1]ZArtefakte aus Listen'!A:B,2,0),"")</f>
        <v>#REF!</v>
      </c>
      <c r="Q160" s="1" t="e">
        <f>IF(#REF!="Ja",VLOOKUP(A160,'[1]ZArtefakte aus Listen'!A:D,4,0),"")</f>
        <v>#REF!</v>
      </c>
    </row>
    <row r="161" spans="1:17" ht="12.6" hidden="1">
      <c r="A161" s="1" t="s">
        <v>353</v>
      </c>
      <c r="B161" s="1" t="str">
        <f>VLOOKUP(A161,'Z-Programme'!$A$2:$A$650,1,FALSE)</f>
        <v>ZFI_AVM_AOBJW</v>
      </c>
      <c r="C161" s="1" t="s">
        <v>354</v>
      </c>
      <c r="D161" s="1" t="s">
        <v>1533</v>
      </c>
      <c r="E161" s="1" t="s">
        <v>1558</v>
      </c>
      <c r="F161" s="1" t="s">
        <v>1549</v>
      </c>
      <c r="G161" s="1" t="s">
        <v>1590</v>
      </c>
      <c r="J161" s="5"/>
      <c r="K161" s="1" t="s">
        <v>1542</v>
      </c>
      <c r="L161" s="1" t="s">
        <v>1619</v>
      </c>
      <c r="M161" s="5" t="s">
        <v>1536</v>
      </c>
      <c r="N161" s="1" t="e">
        <f>IF(#REF!="Ja",VLOOKUP(A161,'[1]ZArtefakte aus Listen'!A:B,2,0),"")</f>
        <v>#REF!</v>
      </c>
      <c r="Q161" s="1" t="e">
        <f>IF(#REF!="Ja",VLOOKUP(A161,'[1]ZArtefakte aus Listen'!A:D,4,0),"")</f>
        <v>#REF!</v>
      </c>
    </row>
    <row r="162" spans="1:17" ht="12.6" hidden="1">
      <c r="A162" s="1" t="s">
        <v>355</v>
      </c>
      <c r="B162" s="1" t="str">
        <f>VLOOKUP(A162,'Z-Programme'!$A$2:$A$650,1,FALSE)</f>
        <v>ZFI_AVM_UMBUCHUNG</v>
      </c>
      <c r="C162" s="1" t="s">
        <v>357</v>
      </c>
      <c r="D162" s="1" t="s">
        <v>1533</v>
      </c>
      <c r="E162" s="1" t="s">
        <v>1558</v>
      </c>
      <c r="F162" s="1" t="s">
        <v>1549</v>
      </c>
      <c r="G162" s="1" t="s">
        <v>1634</v>
      </c>
      <c r="I162" s="1" t="s">
        <v>1635</v>
      </c>
      <c r="J162" s="5" t="s">
        <v>1536</v>
      </c>
      <c r="K162" s="1" t="s">
        <v>1542</v>
      </c>
      <c r="L162" s="1" t="s">
        <v>1636</v>
      </c>
      <c r="M162" s="5" t="s">
        <v>1536</v>
      </c>
      <c r="N162" s="1" t="e">
        <f>IF(#REF!="Ja",VLOOKUP(A162,'[1]ZArtefakte aus Listen'!A:B,2,0),"")</f>
        <v>#REF!</v>
      </c>
      <c r="Q162" s="1" t="e">
        <f>IF(#REF!="Ja",VLOOKUP(A162,'[1]ZArtefakte aus Listen'!A:D,4,0),"")</f>
        <v>#REF!</v>
      </c>
    </row>
    <row r="163" spans="1:17" ht="12.6" hidden="1">
      <c r="A163" s="1" t="s">
        <v>358</v>
      </c>
      <c r="B163" s="1" t="str">
        <f>VLOOKUP(A163,'Z-Programme'!$A$2:$A$650,1,FALSE)</f>
        <v>ZFI_AVM_UPLOAD_AUFNR_KFZ</v>
      </c>
      <c r="C163" s="1" t="s">
        <v>360</v>
      </c>
      <c r="D163" s="1" t="s">
        <v>1533</v>
      </c>
      <c r="E163" s="1" t="s">
        <v>1558</v>
      </c>
      <c r="F163" s="1" t="s">
        <v>1549</v>
      </c>
      <c r="G163" s="1" t="s">
        <v>1637</v>
      </c>
      <c r="K163" s="58" t="s">
        <v>1573</v>
      </c>
      <c r="N163" s="1" t="e">
        <f>IF(#REF!="Ja",VLOOKUP(A163,'[1]ZArtefakte aus Listen'!A:B,2,0),"")</f>
        <v>#REF!</v>
      </c>
      <c r="P163" s="58"/>
      <c r="Q163" s="1" t="e">
        <f>IF(#REF!="Ja",VLOOKUP(A163,'[1]ZArtefakte aus Listen'!A:D,4,0),"")</f>
        <v>#REF!</v>
      </c>
    </row>
    <row r="164" spans="1:17" ht="12.6" hidden="1">
      <c r="A164" s="1" t="s">
        <v>361</v>
      </c>
      <c r="B164" s="1" t="str">
        <f>VLOOKUP(A164,'Z-Programme'!$A$2:$A$650,1,FALSE)</f>
        <v>ZFI_AVM_VERSICHERUNG</v>
      </c>
      <c r="C164" s="1" t="s">
        <v>362</v>
      </c>
      <c r="D164" s="1" t="s">
        <v>1533</v>
      </c>
      <c r="E164" s="1" t="s">
        <v>1558</v>
      </c>
      <c r="F164" s="1" t="s">
        <v>1549</v>
      </c>
      <c r="G164" s="1" t="s">
        <v>1637</v>
      </c>
      <c r="K164" s="58" t="s">
        <v>1573</v>
      </c>
      <c r="N164" s="1" t="e">
        <f>IF(#REF!="Ja",VLOOKUP(A164,'[1]ZArtefakte aus Listen'!A:B,2,0),"")</f>
        <v>#REF!</v>
      </c>
      <c r="P164" s="58"/>
      <c r="Q164" s="1" t="e">
        <f>IF(#REF!="Ja",VLOOKUP(A164,'[1]ZArtefakte aus Listen'!A:D,4,0),"")</f>
        <v>#REF!</v>
      </c>
    </row>
    <row r="165" spans="1:17" ht="12.6" hidden="1">
      <c r="A165" s="1" t="s">
        <v>363</v>
      </c>
      <c r="B165" s="1" t="str">
        <f>VLOOKUP(A165,'Z-Programme'!$A$2:$A$650,1,FALSE)</f>
        <v>ZFI_AVMBR01</v>
      </c>
      <c r="C165" s="1" t="s">
        <v>364</v>
      </c>
      <c r="D165" s="1" t="s">
        <v>1533</v>
      </c>
      <c r="E165" s="1" t="s">
        <v>1558</v>
      </c>
      <c r="F165" s="1" t="s">
        <v>1549</v>
      </c>
      <c r="G165" s="1" t="s">
        <v>1634</v>
      </c>
      <c r="I165" s="1" t="s">
        <v>1635</v>
      </c>
      <c r="J165" s="5" t="s">
        <v>1536</v>
      </c>
      <c r="K165" s="1" t="s">
        <v>1542</v>
      </c>
      <c r="L165" s="1" t="s">
        <v>1638</v>
      </c>
      <c r="M165" s="5" t="s">
        <v>1536</v>
      </c>
      <c r="N165" s="1" t="e">
        <f>IF(#REF!="Ja",VLOOKUP(A165,'[1]ZArtefakte aus Listen'!A:B,2,0),"")</f>
        <v>#REF!</v>
      </c>
      <c r="P165" s="58"/>
      <c r="Q165" s="1" t="e">
        <f>IF(#REF!="Ja",VLOOKUP(A165,'[1]ZArtefakte aus Listen'!A:D,4,0),"")</f>
        <v>#REF!</v>
      </c>
    </row>
    <row r="166" spans="1:17" ht="12.6" hidden="1">
      <c r="A166" s="1" t="s">
        <v>365</v>
      </c>
      <c r="B166" s="1" t="str">
        <f>VLOOKUP(A166,'Z-Programme'!$A$2:$A$650,1,FALSE)</f>
        <v>ZFI_AVMBR02</v>
      </c>
      <c r="C166" s="1" t="s">
        <v>366</v>
      </c>
      <c r="D166" s="1" t="s">
        <v>1533</v>
      </c>
      <c r="E166" s="1" t="s">
        <v>1558</v>
      </c>
      <c r="F166" s="1" t="s">
        <v>1549</v>
      </c>
      <c r="G166" s="1" t="s">
        <v>1634</v>
      </c>
      <c r="I166" s="1" t="s">
        <v>1635</v>
      </c>
      <c r="J166" s="5" t="s">
        <v>1536</v>
      </c>
      <c r="K166" s="1" t="s">
        <v>1542</v>
      </c>
      <c r="L166" s="1" t="s">
        <v>1638</v>
      </c>
      <c r="M166" s="5" t="s">
        <v>1536</v>
      </c>
      <c r="N166" s="1" t="e">
        <f>IF(#REF!="Ja",VLOOKUP(A166,'[1]ZArtefakte aus Listen'!A:B,2,0),"")</f>
        <v>#REF!</v>
      </c>
      <c r="Q166" s="1" t="e">
        <f>IF(#REF!="Ja",VLOOKUP(A166,'[1]ZArtefakte aus Listen'!A:D,4,0),"")</f>
        <v>#REF!</v>
      </c>
    </row>
    <row r="167" spans="1:17" ht="12.6" hidden="1">
      <c r="A167" s="1" t="s">
        <v>367</v>
      </c>
      <c r="B167" s="1" t="str">
        <f>VLOOKUP(A167,'Z-Programme'!$A$2:$A$650,1,FALSE)</f>
        <v>ZFI_AVMBR04</v>
      </c>
      <c r="C167" s="1" t="s">
        <v>368</v>
      </c>
      <c r="D167" s="1" t="s">
        <v>1533</v>
      </c>
      <c r="E167" s="1" t="s">
        <v>1558</v>
      </c>
      <c r="F167" s="1" t="s">
        <v>1549</v>
      </c>
      <c r="G167" s="1" t="s">
        <v>1634</v>
      </c>
      <c r="I167" s="1" t="s">
        <v>1635</v>
      </c>
      <c r="J167" s="5" t="s">
        <v>1536</v>
      </c>
      <c r="K167" s="1" t="s">
        <v>1542</v>
      </c>
      <c r="L167" s="1" t="s">
        <v>1638</v>
      </c>
      <c r="M167" s="5" t="s">
        <v>1536</v>
      </c>
      <c r="N167" s="1" t="e">
        <f>IF(#REF!="Ja",VLOOKUP(A167,'[1]ZArtefakte aus Listen'!A:B,2,0),"")</f>
        <v>#REF!</v>
      </c>
      <c r="Q167" s="1" t="e">
        <f>IF(#REF!="Ja",VLOOKUP(A167,'[1]ZArtefakte aus Listen'!A:D,4,0),"")</f>
        <v>#REF!</v>
      </c>
    </row>
    <row r="168" spans="1:17" ht="12.6" hidden="1">
      <c r="A168" s="1" t="s">
        <v>369</v>
      </c>
      <c r="B168" s="1" t="str">
        <f>VLOOKUP(A168,'Z-Programme'!$A$2:$A$650,1,FALSE)</f>
        <v>ZFI_AVMBROKER_ABSTIMM_SUPP</v>
      </c>
      <c r="C168" s="1" t="s">
        <v>370</v>
      </c>
      <c r="D168" s="1" t="s">
        <v>1533</v>
      </c>
      <c r="E168" s="1" t="s">
        <v>1558</v>
      </c>
      <c r="F168" s="1" t="s">
        <v>1549</v>
      </c>
      <c r="G168" s="1" t="s">
        <v>1634</v>
      </c>
      <c r="I168" s="1" t="s">
        <v>1635</v>
      </c>
      <c r="J168" s="5" t="s">
        <v>1536</v>
      </c>
      <c r="K168" s="1" t="s">
        <v>1542</v>
      </c>
      <c r="L168" s="1" t="s">
        <v>1638</v>
      </c>
      <c r="M168" s="5" t="s">
        <v>1536</v>
      </c>
      <c r="N168" s="1" t="e">
        <f>IF(#REF!="Ja",VLOOKUP(A168,'[1]ZArtefakte aus Listen'!A:B,2,0),"")</f>
        <v>#REF!</v>
      </c>
      <c r="Q168" s="1" t="e">
        <f>IF(#REF!="Ja",VLOOKUP(A168,'[1]ZArtefakte aus Listen'!A:D,4,0),"")</f>
        <v>#REF!</v>
      </c>
    </row>
    <row r="169" spans="1:17" ht="12.6" hidden="1">
      <c r="A169" s="1" t="s">
        <v>371</v>
      </c>
      <c r="B169" s="1" t="str">
        <f>VLOOKUP(A169,'Z-Programme'!$A$2:$A$650,1,FALSE)</f>
        <v>ZFI_AVMBROKER_ABSTIMMUNG</v>
      </c>
      <c r="C169" s="1" t="s">
        <v>372</v>
      </c>
      <c r="D169" s="1" t="s">
        <v>1533</v>
      </c>
      <c r="E169" s="1" t="s">
        <v>1558</v>
      </c>
      <c r="F169" s="1" t="s">
        <v>1549</v>
      </c>
      <c r="J169" s="5" t="s">
        <v>1536</v>
      </c>
      <c r="K169" s="1" t="s">
        <v>1542</v>
      </c>
      <c r="L169" s="1" t="s">
        <v>1639</v>
      </c>
      <c r="M169" s="5" t="s">
        <v>1536</v>
      </c>
      <c r="N169" s="1" t="e">
        <f>IF(#REF!="Ja",VLOOKUP(A169,'[1]ZArtefakte aus Listen'!A:B,2,0),"")</f>
        <v>#REF!</v>
      </c>
      <c r="Q169" s="1" t="e">
        <f>IF(#REF!="Ja",VLOOKUP(A169,'[1]ZArtefakte aus Listen'!A:D,4,0),"")</f>
        <v>#REF!</v>
      </c>
    </row>
    <row r="170" spans="1:17" ht="12.6" hidden="1">
      <c r="A170" s="1" t="s">
        <v>373</v>
      </c>
      <c r="B170" s="1" t="str">
        <f>VLOOKUP(A170,'Z-Programme'!$A$2:$A$650,1,FALSE)</f>
        <v>ZFI_BARCO_DEL</v>
      </c>
      <c r="C170" s="1" t="s">
        <v>375</v>
      </c>
      <c r="D170" s="1" t="s">
        <v>1533</v>
      </c>
      <c r="E170" s="1" t="s">
        <v>1558</v>
      </c>
      <c r="F170" s="1" t="s">
        <v>1616</v>
      </c>
      <c r="G170" s="1" t="s">
        <v>1617</v>
      </c>
      <c r="K170" s="58" t="s">
        <v>1573</v>
      </c>
      <c r="N170" s="1" t="e">
        <f>IF(#REF!="Ja",VLOOKUP(A170,'[1]ZArtefakte aus Listen'!A:B,2,0),"")</f>
        <v>#REF!</v>
      </c>
      <c r="P170" s="58"/>
      <c r="Q170" s="1" t="e">
        <f>IF(#REF!="Ja",VLOOKUP(A170,'[1]ZArtefakte aus Listen'!A:D,4,0),"")</f>
        <v>#REF!</v>
      </c>
    </row>
    <row r="171" spans="1:17" ht="12.6" hidden="1">
      <c r="A171" s="1" t="s">
        <v>376</v>
      </c>
      <c r="B171" s="1" t="str">
        <f>VLOOKUP(A171,'Z-Programme'!$A$2:$A$650,1,FALSE)</f>
        <v>ZFI_BARCO_DISP</v>
      </c>
      <c r="C171" s="1" t="s">
        <v>377</v>
      </c>
      <c r="D171" s="1" t="s">
        <v>1533</v>
      </c>
      <c r="E171" s="1" t="s">
        <v>1558</v>
      </c>
      <c r="F171" s="1" t="s">
        <v>1616</v>
      </c>
      <c r="G171" s="1" t="s">
        <v>1617</v>
      </c>
      <c r="K171" s="58" t="s">
        <v>1573</v>
      </c>
      <c r="N171" s="1" t="e">
        <f>IF(#REF!="Ja",VLOOKUP(A171,'[1]ZArtefakte aus Listen'!A:B,2,0),"")</f>
        <v>#REF!</v>
      </c>
      <c r="P171" s="58"/>
      <c r="Q171" s="1" t="e">
        <f>IF(#REF!="Ja",VLOOKUP(A171,'[1]ZArtefakte aus Listen'!A:D,4,0),"")</f>
        <v>#REF!</v>
      </c>
    </row>
    <row r="172" spans="1:17" ht="12.6" hidden="1">
      <c r="A172" s="1" t="s">
        <v>378</v>
      </c>
      <c r="B172" s="1" t="str">
        <f>VLOOKUP(A172,'Z-Programme'!$A$2:$A$650,1,FALSE)</f>
        <v>ZFI_BARCO_ERF</v>
      </c>
      <c r="C172" s="1" t="s">
        <v>379</v>
      </c>
      <c r="D172" s="1" t="s">
        <v>1533</v>
      </c>
      <c r="E172" s="1" t="s">
        <v>1558</v>
      </c>
      <c r="F172" s="1" t="s">
        <v>1616</v>
      </c>
      <c r="G172" s="1" t="s">
        <v>1617</v>
      </c>
      <c r="K172" s="58" t="s">
        <v>1573</v>
      </c>
      <c r="N172" s="1" t="e">
        <f>IF(#REF!="Ja",VLOOKUP(A172,'[1]ZArtefakte aus Listen'!A:B,2,0),"")</f>
        <v>#REF!</v>
      </c>
      <c r="P172" s="58"/>
      <c r="Q172" s="1" t="e">
        <f>IF(#REF!="Ja",VLOOKUP(A172,'[1]ZArtefakte aus Listen'!A:D,4,0),"")</f>
        <v>#REF!</v>
      </c>
    </row>
    <row r="173" spans="1:17" ht="12.6" hidden="1">
      <c r="A173" s="1" t="s">
        <v>380</v>
      </c>
      <c r="B173" s="1" t="str">
        <f>VLOOKUP(A173,'Z-Programme'!$A$2:$A$650,1,FALSE)</f>
        <v>ZFI_BARCO_ERFM</v>
      </c>
      <c r="C173" s="1" t="s">
        <v>379</v>
      </c>
      <c r="D173" s="1" t="s">
        <v>1533</v>
      </c>
      <c r="E173" s="1" t="s">
        <v>1558</v>
      </c>
      <c r="F173" s="1" t="s">
        <v>1616</v>
      </c>
      <c r="G173" s="1" t="s">
        <v>1617</v>
      </c>
      <c r="K173" s="58" t="s">
        <v>1573</v>
      </c>
      <c r="N173" s="1" t="e">
        <f>IF(#REF!="Ja",VLOOKUP(A173,'[1]ZArtefakte aus Listen'!A:B,2,0),"")</f>
        <v>#REF!</v>
      </c>
      <c r="P173" s="58"/>
      <c r="Q173" s="1" t="e">
        <f>IF(#REF!="Ja",VLOOKUP(A173,'[1]ZArtefakte aus Listen'!A:D,4,0),"")</f>
        <v>#REF!</v>
      </c>
    </row>
    <row r="174" spans="1:17" ht="12.6" hidden="1">
      <c r="A174" s="1" t="s">
        <v>381</v>
      </c>
      <c r="B174" s="1" t="str">
        <f>VLOOKUP(A174,'Z-Programme'!$A$2:$A$650,1,FALSE)</f>
        <v>ZFI_BARCO_LOE</v>
      </c>
      <c r="C174" s="1" t="s">
        <v>382</v>
      </c>
      <c r="D174" s="1" t="s">
        <v>1533</v>
      </c>
      <c r="E174" s="1" t="s">
        <v>1558</v>
      </c>
      <c r="F174" s="1" t="s">
        <v>1616</v>
      </c>
      <c r="G174" s="1" t="s">
        <v>1617</v>
      </c>
      <c r="K174" s="58" t="s">
        <v>1573</v>
      </c>
      <c r="N174" s="1" t="e">
        <f>IF(#REF!="Ja",VLOOKUP(A174,'[1]ZArtefakte aus Listen'!A:B,2,0),"")</f>
        <v>#REF!</v>
      </c>
      <c r="P174" s="58"/>
      <c r="Q174" s="1" t="e">
        <f>IF(#REF!="Ja",VLOOKUP(A174,'[1]ZArtefakte aus Listen'!A:D,4,0),"")</f>
        <v>#REF!</v>
      </c>
    </row>
    <row r="175" spans="1:17" ht="12.6" hidden="1">
      <c r="A175" s="1" t="s">
        <v>383</v>
      </c>
      <c r="B175" s="1" t="str">
        <f>VLOOKUP(A175,'Z-Programme'!$A$2:$A$650,1,FALSE)</f>
        <v>ZFI_BARCO_RUECK</v>
      </c>
      <c r="C175" s="1" t="s">
        <v>384</v>
      </c>
      <c r="D175" s="1" t="s">
        <v>1533</v>
      </c>
      <c r="E175" s="1" t="s">
        <v>1558</v>
      </c>
      <c r="F175" s="1" t="s">
        <v>1616</v>
      </c>
      <c r="G175" s="1" t="s">
        <v>1617</v>
      </c>
      <c r="K175" s="58" t="s">
        <v>1573</v>
      </c>
      <c r="N175" s="1" t="e">
        <f>IF(#REF!="Ja",VLOOKUP(A175,'[1]ZArtefakte aus Listen'!A:B,2,0),"")</f>
        <v>#REF!</v>
      </c>
      <c r="P175" s="58"/>
      <c r="Q175" s="1" t="e">
        <f>IF(#REF!="Ja",VLOOKUP(A175,'[1]ZArtefakte aus Listen'!A:D,4,0),"")</f>
        <v>#REF!</v>
      </c>
    </row>
    <row r="176" spans="1:17" ht="12.6" hidden="1">
      <c r="A176" s="1" t="s">
        <v>385</v>
      </c>
      <c r="B176" s="1" t="str">
        <f>VLOOKUP(A176,'Z-Programme'!$A$2:$A$650,1,FALSE)</f>
        <v>ZFI_BARCO_ZUO</v>
      </c>
      <c r="C176" s="1" t="s">
        <v>386</v>
      </c>
      <c r="D176" s="1" t="s">
        <v>1533</v>
      </c>
      <c r="E176" s="1" t="s">
        <v>1558</v>
      </c>
      <c r="F176" s="1" t="s">
        <v>1616</v>
      </c>
      <c r="G176" s="1" t="s">
        <v>1617</v>
      </c>
      <c r="K176" s="58" t="s">
        <v>1573</v>
      </c>
      <c r="N176" s="1" t="e">
        <f>IF(#REF!="Ja",VLOOKUP(A176,'[1]ZArtefakte aus Listen'!A:B,2,0),"")</f>
        <v>#REF!</v>
      </c>
      <c r="P176" s="58"/>
      <c r="Q176" s="1" t="e">
        <f>IF(#REF!="Ja",VLOOKUP(A176,'[1]ZArtefakte aus Listen'!A:D,4,0),"")</f>
        <v>#REF!</v>
      </c>
    </row>
    <row r="177" spans="1:17" ht="12.6" hidden="1">
      <c r="A177" s="1" t="s">
        <v>387</v>
      </c>
      <c r="B177" s="1" t="str">
        <f>VLOOKUP(A177,'Z-Programme'!$A$2:$A$650,1,FALSE)</f>
        <v>ZFI_BAZFSB</v>
      </c>
      <c r="C177" s="1" t="s">
        <v>388</v>
      </c>
      <c r="D177" s="1" t="s">
        <v>1533</v>
      </c>
      <c r="E177" s="1" t="s">
        <v>1534</v>
      </c>
      <c r="F177" s="1" t="s">
        <v>1544</v>
      </c>
      <c r="J177" s="5" t="s">
        <v>1536</v>
      </c>
      <c r="K177" s="1" t="s">
        <v>1537</v>
      </c>
      <c r="L177" s="1" t="s">
        <v>1611</v>
      </c>
      <c r="N177" s="1" t="e">
        <f>IF(#REF!="Ja",VLOOKUP(A177,'[1]ZArtefakte aus Listen'!A:B,2,0),"")</f>
        <v>#REF!</v>
      </c>
    </row>
    <row r="178" spans="1:17" ht="12.6" hidden="1">
      <c r="A178" s="1" t="s">
        <v>389</v>
      </c>
      <c r="B178" s="1" t="str">
        <f>VLOOKUP(A178,'Z-Programme'!$A$2:$A$650,1,FALSE)</f>
        <v>ZFI_BE2000</v>
      </c>
      <c r="C178" s="1" t="s">
        <v>390</v>
      </c>
      <c r="D178" s="1" t="s">
        <v>1533</v>
      </c>
      <c r="E178" s="1" t="s">
        <v>1534</v>
      </c>
      <c r="F178" s="1" t="s">
        <v>1544</v>
      </c>
      <c r="J178" s="5" t="s">
        <v>1536</v>
      </c>
      <c r="K178" s="1" t="s">
        <v>1537</v>
      </c>
      <c r="L178" s="1" t="s">
        <v>1611</v>
      </c>
      <c r="N178" s="1" t="e">
        <f>IF(#REF!="Ja",VLOOKUP(A178,'[1]ZArtefakte aus Listen'!A:B,2,0),"")</f>
        <v>#REF!</v>
      </c>
    </row>
    <row r="179" spans="1:17" ht="12.6" hidden="1">
      <c r="A179" s="1" t="s">
        <v>391</v>
      </c>
      <c r="B179" s="1" t="str">
        <f>VLOOKUP(A179,'Z-Programme'!$A$2:$A$650,1,FALSE)</f>
        <v>ZFI_BE2000_MIG</v>
      </c>
      <c r="C179" s="1" t="s">
        <v>392</v>
      </c>
      <c r="D179" s="1" t="s">
        <v>1533</v>
      </c>
      <c r="E179" s="1" t="s">
        <v>1534</v>
      </c>
      <c r="F179" s="1" t="s">
        <v>1544</v>
      </c>
      <c r="J179" s="5" t="s">
        <v>1536</v>
      </c>
      <c r="K179" s="1" t="s">
        <v>1537</v>
      </c>
      <c r="L179" s="1" t="s">
        <v>1611</v>
      </c>
      <c r="N179" s="1" t="e">
        <f>IF(#REF!="Ja",VLOOKUP(A179,'[1]ZArtefakte aus Listen'!A:B,2,0),"")</f>
        <v>#REF!</v>
      </c>
    </row>
    <row r="180" spans="1:17" ht="12.6" hidden="1">
      <c r="A180" s="1" t="s">
        <v>393</v>
      </c>
      <c r="B180" s="1" t="str">
        <f>VLOOKUP(A180,'Z-Programme'!$A$2:$A$650,1,FALSE)</f>
        <v>ZFI_BELEGABR_ANZ</v>
      </c>
      <c r="C180" s="1" t="s">
        <v>394</v>
      </c>
      <c r="D180" s="1" t="s">
        <v>1533</v>
      </c>
      <c r="E180" s="1" t="s">
        <v>1534</v>
      </c>
      <c r="F180" s="1" t="s">
        <v>1544</v>
      </c>
      <c r="J180" s="5" t="s">
        <v>1536</v>
      </c>
      <c r="K180" s="1" t="s">
        <v>1537</v>
      </c>
      <c r="L180" s="1" t="s">
        <v>1640</v>
      </c>
      <c r="N180" s="1" t="e">
        <f>IF(#REF!="Ja",VLOOKUP(A180,'[1]ZArtefakte aus Listen'!A:B,2,0),"")</f>
        <v>#REF!</v>
      </c>
    </row>
    <row r="181" spans="1:17" ht="12.6" hidden="1">
      <c r="A181" s="1" t="s">
        <v>395</v>
      </c>
      <c r="B181" s="1" t="str">
        <f>VLOOKUP(A181,'Z-Programme'!$A$2:$A$650,1,FALSE)</f>
        <v>ZFI_BELEGABR_ILV2</v>
      </c>
      <c r="C181" s="1" t="s">
        <v>396</v>
      </c>
      <c r="D181" s="1" t="s">
        <v>1533</v>
      </c>
      <c r="E181" s="1" t="s">
        <v>1534</v>
      </c>
      <c r="F181" s="1" t="s">
        <v>1544</v>
      </c>
      <c r="J181" s="5" t="s">
        <v>1536</v>
      </c>
      <c r="K181" s="1" t="s">
        <v>1537</v>
      </c>
      <c r="L181" s="1" t="s">
        <v>1640</v>
      </c>
      <c r="N181" s="1" t="e">
        <f>IF(#REF!="Ja",VLOOKUP(A181,'[1]ZArtefakte aus Listen'!A:B,2,0),"")</f>
        <v>#REF!</v>
      </c>
    </row>
    <row r="182" spans="1:17" ht="12.6" hidden="1">
      <c r="A182" s="1" t="s">
        <v>397</v>
      </c>
      <c r="B182" s="1" t="str">
        <f>VLOOKUP(A182,'Z-Programme'!$A$2:$A$650,1,FALSE)</f>
        <v>ZFI_BELEGE_PG</v>
      </c>
      <c r="C182" s="1" t="s">
        <v>398</v>
      </c>
      <c r="D182" s="1" t="s">
        <v>1533</v>
      </c>
      <c r="E182" s="1" t="s">
        <v>1534</v>
      </c>
      <c r="F182" s="1" t="s">
        <v>1544</v>
      </c>
      <c r="J182" s="5" t="s">
        <v>1536</v>
      </c>
      <c r="K182" s="1" t="s">
        <v>1537</v>
      </c>
      <c r="L182" s="1" t="s">
        <v>1611</v>
      </c>
      <c r="N182" s="1" t="e">
        <f>IF(#REF!="Ja",VLOOKUP(A182,'[1]ZArtefakte aus Listen'!A:B,2,0),"")</f>
        <v>#REF!</v>
      </c>
    </row>
    <row r="183" spans="1:17" ht="12.6" hidden="1">
      <c r="A183" s="1" t="s">
        <v>399</v>
      </c>
      <c r="B183" s="1" t="str">
        <f>VLOOKUP(A183,'Z-Programme'!$A$2:$A$650,1,FALSE)</f>
        <v>ZFI_BELEGVERFOLGUNG</v>
      </c>
      <c r="C183" s="1" t="s">
        <v>400</v>
      </c>
      <c r="D183" s="1" t="s">
        <v>1533</v>
      </c>
      <c r="E183" s="1" t="s">
        <v>1534</v>
      </c>
      <c r="F183" s="1" t="s">
        <v>1544</v>
      </c>
      <c r="J183" s="5" t="s">
        <v>1536</v>
      </c>
      <c r="K183" s="1" t="s">
        <v>1537</v>
      </c>
      <c r="L183" s="1" t="s">
        <v>1611</v>
      </c>
      <c r="N183" s="1" t="e">
        <f>IF(#REF!="Ja",VLOOKUP(A183,'[1]ZArtefakte aus Listen'!A:B,2,0),"")</f>
        <v>#REF!</v>
      </c>
    </row>
    <row r="184" spans="1:17" ht="12.6" hidden="1">
      <c r="A184" s="1" t="s">
        <v>401</v>
      </c>
      <c r="B184" s="1" t="str">
        <f>VLOOKUP(A184,'Z-Programme'!$A$2:$A$650,1,FALSE)</f>
        <v>ZFI_BELEGZEILEN_EXPORT_CSV</v>
      </c>
      <c r="C184" s="1" t="s">
        <v>402</v>
      </c>
      <c r="D184" s="1" t="s">
        <v>1533</v>
      </c>
      <c r="E184" s="1" t="s">
        <v>1534</v>
      </c>
      <c r="F184" s="1" t="s">
        <v>1641</v>
      </c>
      <c r="J184" s="5" t="s">
        <v>1536</v>
      </c>
      <c r="K184" s="1" t="s">
        <v>1537</v>
      </c>
      <c r="L184" s="1" t="s">
        <v>1642</v>
      </c>
      <c r="N184" s="1" t="e">
        <f>IF(#REF!="Ja",VLOOKUP(A184,'[1]ZArtefakte aus Listen'!A:B,2,0),"")</f>
        <v>#REF!</v>
      </c>
      <c r="Q184" s="1" t="e">
        <f>IF(#REF!="Ja",VLOOKUP(A184,'[1]ZArtefakte aus Listen'!A:D,4,0),"")</f>
        <v>#REF!</v>
      </c>
    </row>
    <row r="185" spans="1:17" ht="12.6" hidden="1">
      <c r="A185" s="1" t="s">
        <v>403</v>
      </c>
      <c r="B185" s="1" t="str">
        <f>VLOOKUP(A185,'Z-Programme'!$A$2:$A$650,1,FALSE)</f>
        <v>ZFI_BETEST</v>
      </c>
      <c r="C185" s="1" t="s">
        <v>404</v>
      </c>
      <c r="D185" s="1" t="s">
        <v>1533</v>
      </c>
      <c r="E185" s="1" t="s">
        <v>1534</v>
      </c>
      <c r="F185" s="1" t="s">
        <v>1544</v>
      </c>
      <c r="J185" s="5" t="s">
        <v>1536</v>
      </c>
      <c r="K185" s="1" t="s">
        <v>1537</v>
      </c>
      <c r="L185" s="1" t="s">
        <v>1643</v>
      </c>
      <c r="N185" s="1" t="e">
        <f>IF(#REF!="Ja",VLOOKUP(A185,'[1]ZArtefakte aus Listen'!A:B,2,0),"")</f>
        <v>#REF!</v>
      </c>
    </row>
    <row r="186" spans="1:17" ht="12.6" hidden="1">
      <c r="A186" s="1" t="s">
        <v>405</v>
      </c>
      <c r="B186" s="1" t="str">
        <f>VLOOKUP(A186,'Z-Programme'!$A$2:$A$650,1,FALSE)</f>
        <v>ZFI_BIC_ABGLEICH</v>
      </c>
      <c r="C186" s="1" t="s">
        <v>406</v>
      </c>
      <c r="D186" s="1" t="s">
        <v>1533</v>
      </c>
      <c r="E186" s="1" t="s">
        <v>1534</v>
      </c>
      <c r="F186" s="1" t="s">
        <v>1544</v>
      </c>
      <c r="J186" s="5" t="s">
        <v>1536</v>
      </c>
      <c r="K186" s="1" t="s">
        <v>1537</v>
      </c>
      <c r="L186" s="1" t="s">
        <v>1644</v>
      </c>
      <c r="N186" s="1" t="e">
        <f>IF(#REF!="Ja",VLOOKUP(A186,'[1]ZArtefakte aus Listen'!A:B,2,0),"")</f>
        <v>#REF!</v>
      </c>
    </row>
    <row r="187" spans="1:17" ht="12.6" hidden="1">
      <c r="A187" s="1" t="s">
        <v>407</v>
      </c>
      <c r="B187" s="1" t="str">
        <f>VLOOKUP(A187,'Z-Programme'!$A$2:$A$650,1,FALSE)</f>
        <v>ZFI_BLBCUR</v>
      </c>
      <c r="C187" s="1" t="s">
        <v>408</v>
      </c>
      <c r="D187" s="1" t="s">
        <v>1533</v>
      </c>
      <c r="E187" s="1" t="s">
        <v>1534</v>
      </c>
      <c r="F187" s="1" t="s">
        <v>1544</v>
      </c>
      <c r="J187" s="5" t="s">
        <v>1536</v>
      </c>
      <c r="K187" s="1" t="s">
        <v>1537</v>
      </c>
      <c r="L187" s="1" t="s">
        <v>1611</v>
      </c>
      <c r="N187" s="1" t="e">
        <f>IF(#REF!="Ja",VLOOKUP(A187,'[1]ZArtefakte aus Listen'!A:B,2,0),"")</f>
        <v>#REF!</v>
      </c>
      <c r="Q187" s="1" t="e">
        <f>IF(#REF!="Ja",VLOOKUP(A187,'[1]ZArtefakte aus Listen'!A:D,4,0),"")</f>
        <v>#REF!</v>
      </c>
    </row>
    <row r="188" spans="1:17" ht="12.6" hidden="1">
      <c r="A188" s="1" t="s">
        <v>409</v>
      </c>
      <c r="B188" s="1" t="str">
        <f>VLOOKUP(A188,'Z-Programme'!$A$2:$A$650,1,FALSE)</f>
        <v>ZFI_BSCARD</v>
      </c>
      <c r="C188" s="1" t="s">
        <v>411</v>
      </c>
      <c r="D188" s="1" t="s">
        <v>1533</v>
      </c>
      <c r="E188" s="1" t="s">
        <v>1558</v>
      </c>
      <c r="F188" s="1" t="s">
        <v>1645</v>
      </c>
      <c r="G188" s="1" t="s">
        <v>1646</v>
      </c>
      <c r="I188" s="1" t="s">
        <v>1635</v>
      </c>
      <c r="J188" s="5" t="s">
        <v>1536</v>
      </c>
      <c r="K188" s="1" t="s">
        <v>1542</v>
      </c>
      <c r="L188" s="1" t="s">
        <v>1647</v>
      </c>
      <c r="M188" s="5" t="s">
        <v>1536</v>
      </c>
      <c r="N188" s="1" t="e">
        <f>IF(#REF!="Ja",VLOOKUP(A188,'[1]ZArtefakte aus Listen'!A:B,2,0),"")</f>
        <v>#REF!</v>
      </c>
      <c r="Q188" s="1" t="e">
        <f>IF(#REF!="Ja",VLOOKUP(A188,'[1]ZArtefakte aus Listen'!A:D,4,0),"")</f>
        <v>#REF!</v>
      </c>
    </row>
    <row r="189" spans="1:17" ht="12.6" hidden="1">
      <c r="A189" s="1" t="s">
        <v>412</v>
      </c>
      <c r="B189" s="1" t="str">
        <f>VLOOKUP(A189,'Z-Programme'!$A$2:$A$650,1,FALSE)</f>
        <v>ZFI_BSCARD_SETTLEMENT</v>
      </c>
      <c r="C189" s="1" t="s">
        <v>411</v>
      </c>
      <c r="D189" s="1" t="s">
        <v>1533</v>
      </c>
      <c r="E189" s="1" t="s">
        <v>1633</v>
      </c>
      <c r="F189" s="1" t="s">
        <v>1648</v>
      </c>
      <c r="G189" s="1" t="s">
        <v>1646</v>
      </c>
      <c r="I189" s="1" t="s">
        <v>1635</v>
      </c>
      <c r="J189" s="5" t="s">
        <v>1536</v>
      </c>
      <c r="K189" s="1" t="s">
        <v>1542</v>
      </c>
      <c r="L189" s="1" t="s">
        <v>1647</v>
      </c>
      <c r="N189" s="1" t="e">
        <f>IF(#REF!="Ja",VLOOKUP(A189,'[1]ZArtefakte aus Listen'!A:B,2,0),"")</f>
        <v>#REF!</v>
      </c>
      <c r="Q189" s="1" t="e">
        <f>IF(#REF!="Ja",VLOOKUP(A189,'[1]ZArtefakte aus Listen'!A:D,4,0),"")</f>
        <v>#REF!</v>
      </c>
    </row>
    <row r="190" spans="1:17" ht="12.6" hidden="1">
      <c r="A190" s="1" t="s">
        <v>413</v>
      </c>
      <c r="B190" s="1" t="str">
        <f>VLOOKUP(A190,'Z-Programme'!$A$2:$A$650,1,FALSE)</f>
        <v>ZFI_BSCARD_TIMDATA</v>
      </c>
      <c r="C190" s="1" t="s">
        <v>414</v>
      </c>
      <c r="D190" s="1" t="s">
        <v>1533</v>
      </c>
      <c r="E190" s="1" t="s">
        <v>1558</v>
      </c>
      <c r="F190" s="1" t="s">
        <v>1649</v>
      </c>
      <c r="J190" s="5" t="s">
        <v>1536</v>
      </c>
      <c r="K190" s="1" t="s">
        <v>1542</v>
      </c>
      <c r="L190" s="1" t="s">
        <v>1650</v>
      </c>
      <c r="M190" s="5" t="s">
        <v>1536</v>
      </c>
      <c r="N190" s="1" t="e">
        <f>IF(#REF!="Ja",VLOOKUP(A190,'[1]ZArtefakte aus Listen'!A:B,2,0),"")</f>
        <v>#REF!</v>
      </c>
    </row>
    <row r="191" spans="1:17" ht="12.6" hidden="1">
      <c r="A191" s="1" t="s">
        <v>415</v>
      </c>
      <c r="B191" s="1" t="str">
        <f>VLOOKUP(A191,'Z-Programme'!$A$2:$A$650,1,FALSE)</f>
        <v>ZFI_BSCARD_UMBUCHUNG</v>
      </c>
      <c r="C191" s="1" t="s">
        <v>416</v>
      </c>
      <c r="D191" s="1" t="s">
        <v>1533</v>
      </c>
      <c r="E191" s="1" t="s">
        <v>1558</v>
      </c>
      <c r="F191" s="1" t="s">
        <v>1651</v>
      </c>
      <c r="G191" s="1" t="s">
        <v>1646</v>
      </c>
      <c r="I191" s="1" t="s">
        <v>1635</v>
      </c>
      <c r="J191" s="5" t="s">
        <v>1536</v>
      </c>
      <c r="K191" s="1" t="s">
        <v>1542</v>
      </c>
      <c r="L191" s="1" t="s">
        <v>1647</v>
      </c>
      <c r="M191" s="5" t="s">
        <v>1536</v>
      </c>
      <c r="N191" s="1" t="e">
        <f>IF(#REF!="Ja",VLOOKUP(A191,'[1]ZArtefakte aus Listen'!A:B,2,0),"")</f>
        <v>#REF!</v>
      </c>
      <c r="Q191" s="1" t="e">
        <f>IF(#REF!="Ja",VLOOKUP(A191,'[1]ZArtefakte aus Listen'!A:D,4,0),"")</f>
        <v>#REF!</v>
      </c>
    </row>
    <row r="192" spans="1:17" ht="12.6" hidden="1">
      <c r="A192" s="1" t="s">
        <v>417</v>
      </c>
      <c r="B192" s="1" t="str">
        <f>VLOOKUP(A192,'Z-Programme'!$A$2:$A$650,1,FALSE)</f>
        <v>ZFI_BU_RUECKLASTSCHRIFT</v>
      </c>
      <c r="C192" s="1" t="s">
        <v>419</v>
      </c>
      <c r="D192" s="1" t="s">
        <v>1533</v>
      </c>
      <c r="E192" s="1" t="s">
        <v>1558</v>
      </c>
      <c r="F192" s="1" t="s">
        <v>1652</v>
      </c>
      <c r="G192" s="1" t="s">
        <v>1653</v>
      </c>
      <c r="J192" s="5"/>
      <c r="K192" s="1" t="s">
        <v>1542</v>
      </c>
      <c r="L192" s="58" t="s">
        <v>1654</v>
      </c>
      <c r="M192" s="5" t="s">
        <v>1536</v>
      </c>
      <c r="N192" s="1" t="e">
        <f>IF(#REF!="Ja",VLOOKUP(A192,'[1]ZArtefakte aus Listen'!A:B,2,0),"")</f>
        <v>#REF!</v>
      </c>
      <c r="Q192" s="58"/>
    </row>
    <row r="193" spans="1:17" ht="12.6" hidden="1">
      <c r="A193" s="1" t="s">
        <v>420</v>
      </c>
      <c r="B193" s="1" t="str">
        <f>VLOOKUP(A193,'Z-Programme'!$A$2:$A$650,1,FALSE)</f>
        <v>ZFI_CCS_AUSWERT</v>
      </c>
      <c r="C193" s="1" t="s">
        <v>422</v>
      </c>
      <c r="D193" s="1" t="s">
        <v>1533</v>
      </c>
      <c r="E193" s="1" t="s">
        <v>1558</v>
      </c>
      <c r="F193" s="1" t="s">
        <v>1549</v>
      </c>
      <c r="G193" s="1" t="s">
        <v>1655</v>
      </c>
      <c r="K193" s="58" t="s">
        <v>1573</v>
      </c>
      <c r="N193" s="1" t="e">
        <f>IF(#REF!="Ja",VLOOKUP(A193,'[1]ZArtefakte aus Listen'!A:B,2,0),"")</f>
        <v>#REF!</v>
      </c>
      <c r="P193" s="58"/>
      <c r="Q193" s="1" t="e">
        <f>IF(#REF!="Ja",VLOOKUP(A193,'[1]ZArtefakte aus Listen'!A:D,4,0),"")</f>
        <v>#REF!</v>
      </c>
    </row>
    <row r="194" spans="1:17" ht="12.6" hidden="1">
      <c r="A194" s="1" t="s">
        <v>423</v>
      </c>
      <c r="B194" s="1" t="str">
        <f>VLOOKUP(A194,'Z-Programme'!$A$2:$A$650,1,FALSE)</f>
        <v>ZFI_CCS_DRUCKE</v>
      </c>
      <c r="C194" s="1" t="s">
        <v>424</v>
      </c>
      <c r="D194" s="1" t="s">
        <v>1533</v>
      </c>
      <c r="E194" s="1" t="s">
        <v>1558</v>
      </c>
      <c r="F194" s="1" t="s">
        <v>1549</v>
      </c>
      <c r="G194" s="1" t="s">
        <v>1655</v>
      </c>
      <c r="K194" s="58" t="s">
        <v>1573</v>
      </c>
      <c r="N194" s="1" t="e">
        <f>IF(#REF!="Ja",VLOOKUP(A194,'[1]ZArtefakte aus Listen'!A:B,2,0),"")</f>
        <v>#REF!</v>
      </c>
      <c r="P194" s="58"/>
      <c r="Q194" s="1" t="e">
        <f>IF(#REF!="Ja",VLOOKUP(A194,'[1]ZArtefakte aus Listen'!A:D,4,0),"")</f>
        <v>#REF!</v>
      </c>
    </row>
    <row r="195" spans="1:17" ht="12.6" hidden="1">
      <c r="A195" s="1" t="s">
        <v>425</v>
      </c>
      <c r="B195" s="1" t="str">
        <f>VLOOKUP(A195,'Z-Programme'!$A$2:$A$650,1,FALSE)</f>
        <v>ZFI_CHECK_IBAN2</v>
      </c>
      <c r="C195" s="1" t="s">
        <v>427</v>
      </c>
      <c r="D195" s="1" t="s">
        <v>1533</v>
      </c>
      <c r="E195" s="1" t="s">
        <v>1558</v>
      </c>
      <c r="F195" s="1" t="s">
        <v>1616</v>
      </c>
      <c r="G195" s="1" t="s">
        <v>1617</v>
      </c>
      <c r="K195" s="58" t="s">
        <v>1573</v>
      </c>
      <c r="N195" s="1" t="e">
        <f>IF(#REF!="Ja",VLOOKUP(A195,'[1]ZArtefakte aus Listen'!A:B,2,0),"")</f>
        <v>#REF!</v>
      </c>
      <c r="P195" s="58"/>
      <c r="Q195" s="1" t="e">
        <f>IF(#REF!="Ja",VLOOKUP(A195,'[1]ZArtefakte aus Listen'!A:D,4,0),"")</f>
        <v>#REF!</v>
      </c>
    </row>
    <row r="196" spans="1:17" ht="12.6" hidden="1">
      <c r="A196" s="1" t="s">
        <v>428</v>
      </c>
      <c r="B196" s="1" t="str">
        <f>VLOOKUP(A196,'Z-Programme'!$A$2:$A$650,1,FALSE)</f>
        <v>ZFI_COMPUTOP</v>
      </c>
      <c r="C196" s="1" t="s">
        <v>430</v>
      </c>
      <c r="D196" s="1" t="s">
        <v>1533</v>
      </c>
      <c r="E196" s="1" t="s">
        <v>1558</v>
      </c>
      <c r="F196" s="1" t="s">
        <v>1656</v>
      </c>
      <c r="G196" s="1" t="s">
        <v>1646</v>
      </c>
      <c r="I196" s="1" t="s">
        <v>1635</v>
      </c>
      <c r="J196" s="5" t="s">
        <v>1536</v>
      </c>
      <c r="K196" s="1" t="s">
        <v>1542</v>
      </c>
      <c r="L196" s="1" t="s">
        <v>1647</v>
      </c>
      <c r="M196" s="5" t="s">
        <v>1536</v>
      </c>
      <c r="N196" s="1" t="e">
        <f>IF(#REF!="Ja",VLOOKUP(A196,'[1]ZArtefakte aus Listen'!A:B,2,0),"")</f>
        <v>#REF!</v>
      </c>
      <c r="Q196" s="1" t="e">
        <f>IF(#REF!="Ja",VLOOKUP(A196,'[1]ZArtefakte aus Listen'!A:D,4,0),"")</f>
        <v>#REF!</v>
      </c>
    </row>
    <row r="197" spans="1:17" ht="12.6" hidden="1">
      <c r="A197" s="1" t="s">
        <v>431</v>
      </c>
      <c r="B197" s="1" t="str">
        <f>VLOOKUP(A197,'Z-Programme'!$A$2:$A$650,1,FALSE)</f>
        <v>ZFI_COPY_TEXT_DATASET</v>
      </c>
      <c r="C197" s="1" t="s">
        <v>432</v>
      </c>
      <c r="D197" s="1" t="s">
        <v>1533</v>
      </c>
      <c r="E197" s="1" t="s">
        <v>1624</v>
      </c>
      <c r="F197" s="1" t="s">
        <v>1657</v>
      </c>
      <c r="G197" s="1" t="s">
        <v>1626</v>
      </c>
      <c r="J197" s="5"/>
      <c r="K197" s="1" t="s">
        <v>1542</v>
      </c>
      <c r="L197" s="1" t="s">
        <v>1619</v>
      </c>
      <c r="M197" s="5" t="s">
        <v>1536</v>
      </c>
      <c r="N197" s="1" t="e">
        <f>IF(#REF!="Ja",VLOOKUP(A197,'[1]ZArtefakte aus Listen'!A:B,2,0),"")</f>
        <v>#REF!</v>
      </c>
      <c r="Q197" s="1" t="e">
        <f>IF(#REF!="Ja",VLOOKUP(A197,'[1]ZArtefakte aus Listen'!A:D,4,0),"")</f>
        <v>#REF!</v>
      </c>
    </row>
    <row r="198" spans="1:17" ht="12.6" hidden="1">
      <c r="A198" s="1" t="s">
        <v>433</v>
      </c>
      <c r="B198" s="1" t="str">
        <f>VLOOKUP(A198,'Z-Programme'!$A$2:$A$650,1,FALSE)</f>
        <v>ZFI_CTR_ZBEL01</v>
      </c>
      <c r="C198" s="1" t="s">
        <v>434</v>
      </c>
      <c r="D198" s="1" t="s">
        <v>1533</v>
      </c>
      <c r="E198" s="1" t="s">
        <v>1534</v>
      </c>
      <c r="F198" s="1" t="s">
        <v>1658</v>
      </c>
      <c r="J198" s="5" t="s">
        <v>1536</v>
      </c>
      <c r="K198" s="1" t="s">
        <v>1537</v>
      </c>
      <c r="L198" s="1" t="s">
        <v>1642</v>
      </c>
      <c r="N198" s="1" t="e">
        <f>IF(#REF!="Ja",VLOOKUP(A198,'[1]ZArtefakte aus Listen'!A:B,2,0),"")</f>
        <v>#REF!</v>
      </c>
      <c r="Q198" s="1" t="e">
        <f>IF(#REF!="Ja",VLOOKUP(A198,'[1]ZArtefakte aus Listen'!A:D,4,0),"")</f>
        <v>#REF!</v>
      </c>
    </row>
    <row r="199" spans="1:17" ht="12.6" hidden="1">
      <c r="A199" s="1" t="s">
        <v>435</v>
      </c>
      <c r="B199" s="1" t="str">
        <f>VLOOKUP(A199,'Z-Programme'!$A$2:$A$650,1,FALSE)</f>
        <v>ZFI_CTR_ZBEL02</v>
      </c>
      <c r="C199" s="1" t="s">
        <v>436</v>
      </c>
      <c r="D199" s="1" t="s">
        <v>1533</v>
      </c>
      <c r="E199" s="1" t="s">
        <v>1534</v>
      </c>
      <c r="F199" s="1" t="s">
        <v>1544</v>
      </c>
      <c r="J199" s="5" t="s">
        <v>1536</v>
      </c>
      <c r="K199" s="1" t="s">
        <v>1537</v>
      </c>
      <c r="L199" s="1" t="s">
        <v>1611</v>
      </c>
      <c r="N199" s="1" t="e">
        <f>IF(#REF!="Ja",VLOOKUP(A199,'[1]ZArtefakte aus Listen'!A:B,2,0),"")</f>
        <v>#REF!</v>
      </c>
      <c r="Q199" s="1" t="e">
        <f>IF(#REF!="Ja",VLOOKUP(A199,'[1]ZArtefakte aus Listen'!A:D,4,0),"")</f>
        <v>#REF!</v>
      </c>
    </row>
    <row r="200" spans="1:17" ht="12.6" hidden="1">
      <c r="A200" s="1" t="s">
        <v>437</v>
      </c>
      <c r="B200" s="1" t="str">
        <f>VLOOKUP(A200,'Z-Programme'!$A$2:$A$650,1,FALSE)</f>
        <v>ZFI_CUR_REORG</v>
      </c>
      <c r="C200" s="1" t="s">
        <v>437</v>
      </c>
      <c r="D200" s="1" t="s">
        <v>1533</v>
      </c>
      <c r="E200" s="1" t="s">
        <v>1534</v>
      </c>
      <c r="F200" s="1" t="s">
        <v>1544</v>
      </c>
      <c r="J200" s="5" t="s">
        <v>1536</v>
      </c>
      <c r="K200" s="1" t="s">
        <v>1537</v>
      </c>
      <c r="L200" s="1" t="s">
        <v>1611</v>
      </c>
      <c r="N200" s="1" t="e">
        <f>IF(#REF!="Ja",VLOOKUP(A200,'[1]ZArtefakte aus Listen'!A:B,2,0),"")</f>
        <v>#REF!</v>
      </c>
      <c r="Q200" s="1" t="e">
        <f>IF(#REF!="Ja",VLOOKUP(A200,'[1]ZArtefakte aus Listen'!A:D,4,0),"")</f>
        <v>#REF!</v>
      </c>
    </row>
    <row r="201" spans="1:17" ht="12.6" hidden="1">
      <c r="A201" s="1" t="s">
        <v>438</v>
      </c>
      <c r="B201" s="1" t="str">
        <f>VLOOKUP(A201,'Z-Programme'!$A$2:$A$650,1,FALSE)</f>
        <v>ZFI_DATENABZUG_VITA</v>
      </c>
      <c r="C201" s="1" t="s">
        <v>1659</v>
      </c>
      <c r="D201" s="1" t="s">
        <v>1533</v>
      </c>
      <c r="E201" s="1" t="s">
        <v>1660</v>
      </c>
      <c r="F201" s="1" t="s">
        <v>1661</v>
      </c>
      <c r="J201" s="5" t="s">
        <v>1536</v>
      </c>
      <c r="K201" s="1" t="s">
        <v>1662</v>
      </c>
      <c r="L201" s="1" t="s">
        <v>1663</v>
      </c>
      <c r="N201" s="1" t="e">
        <f>IF(#REF!="Ja",VLOOKUP(A201,'[1]ZArtefakte aus Listen'!A:B,2,0),"")</f>
        <v>#REF!</v>
      </c>
      <c r="Q201" s="1" t="e">
        <f>IF(#REF!="Ja",VLOOKUP(A201,'[1]ZArtefakte aus Listen'!A:D,4,0),"")</f>
        <v>#REF!</v>
      </c>
    </row>
    <row r="202" spans="1:17" ht="12.6" hidden="1">
      <c r="A202" s="1" t="s">
        <v>440</v>
      </c>
      <c r="B202" s="1" t="str">
        <f>VLOOKUP(A202,'Z-Programme'!$A$2:$A$650,1,FALSE)</f>
        <v>ZFI_DATEV_EXP</v>
      </c>
      <c r="C202" s="1" t="s">
        <v>441</v>
      </c>
      <c r="D202" s="1" t="s">
        <v>1533</v>
      </c>
      <c r="E202" s="1" t="s">
        <v>1534</v>
      </c>
      <c r="F202" s="1" t="s">
        <v>1544</v>
      </c>
      <c r="J202" s="5" t="s">
        <v>1536</v>
      </c>
      <c r="K202" s="1" t="s">
        <v>1537</v>
      </c>
      <c r="L202" s="1" t="s">
        <v>1664</v>
      </c>
      <c r="N202" s="1" t="e">
        <f>IF(#REF!="Ja",VLOOKUP(A202,'[1]ZArtefakte aus Listen'!A:B,2,0),"")</f>
        <v>#REF!</v>
      </c>
      <c r="Q202" s="1" t="e">
        <f>IF(#REF!="Ja",VLOOKUP(A202,'[1]ZArtefakte aus Listen'!A:D,4,0),"")</f>
        <v>#REF!</v>
      </c>
    </row>
    <row r="203" spans="1:17" ht="12.6" hidden="1">
      <c r="A203" s="1" t="s">
        <v>442</v>
      </c>
      <c r="B203" s="1" t="str">
        <f>VLOOKUP(A203,'Z-Programme'!$A$2:$A$650,1,FALSE)</f>
        <v>ZFI_DATEV_IMP</v>
      </c>
      <c r="C203" s="1" t="s">
        <v>443</v>
      </c>
      <c r="D203" s="1" t="s">
        <v>1533</v>
      </c>
      <c r="E203" s="1" t="s">
        <v>1534</v>
      </c>
      <c r="F203" s="1" t="s">
        <v>1544</v>
      </c>
      <c r="J203" s="5" t="s">
        <v>1536</v>
      </c>
      <c r="K203" s="1" t="s">
        <v>1537</v>
      </c>
      <c r="L203" s="1" t="s">
        <v>1664</v>
      </c>
      <c r="N203" s="1" t="e">
        <f>IF(#REF!="Ja",VLOOKUP(A203,'[1]ZArtefakte aus Listen'!A:B,2,0),"")</f>
        <v>#REF!</v>
      </c>
      <c r="Q203" s="1" t="e">
        <f>IF(#REF!="Ja",VLOOKUP(A203,'[1]ZArtefakte aus Listen'!A:D,4,0),"")</f>
        <v>#REF!</v>
      </c>
    </row>
    <row r="204" spans="1:17" ht="12.6" hidden="1">
      <c r="A204" s="1" t="s">
        <v>444</v>
      </c>
      <c r="B204" s="1" t="str">
        <f>VLOOKUP(A204,'Z-Programme'!$A$2:$A$650,1,FALSE)</f>
        <v>ZFI_DATEV_RK</v>
      </c>
      <c r="C204" s="1" t="s">
        <v>445</v>
      </c>
      <c r="D204" s="1" t="s">
        <v>1533</v>
      </c>
      <c r="E204" s="1" t="s">
        <v>1534</v>
      </c>
      <c r="F204" s="1" t="s">
        <v>1544</v>
      </c>
      <c r="J204" s="5" t="s">
        <v>1536</v>
      </c>
      <c r="K204" s="1" t="s">
        <v>1537</v>
      </c>
      <c r="L204" s="1" t="s">
        <v>1611</v>
      </c>
      <c r="N204" s="1" t="e">
        <f>IF(#REF!="Ja",VLOOKUP(A204,'[1]ZArtefakte aus Listen'!A:B,2,0),"")</f>
        <v>#REF!</v>
      </c>
      <c r="Q204" s="1" t="e">
        <f>IF(#REF!="Ja",VLOOKUP(A204,'[1]ZArtefakte aus Listen'!A:D,4,0),"")</f>
        <v>#REF!</v>
      </c>
    </row>
    <row r="205" spans="1:17" ht="12.6" hidden="1">
      <c r="A205" s="1" t="s">
        <v>446</v>
      </c>
      <c r="B205" s="1" t="str">
        <f>VLOOKUP(A205,'Z-Programme'!$A$2:$A$650,1,FALSE)</f>
        <v>ZFI_DATEV01</v>
      </c>
      <c r="C205" s="1" t="s">
        <v>447</v>
      </c>
      <c r="D205" s="1" t="s">
        <v>1533</v>
      </c>
      <c r="E205" s="1" t="s">
        <v>1534</v>
      </c>
      <c r="F205" s="1" t="s">
        <v>1544</v>
      </c>
      <c r="J205" s="5" t="s">
        <v>1536</v>
      </c>
      <c r="K205" s="1" t="s">
        <v>1537</v>
      </c>
      <c r="L205" s="1" t="s">
        <v>1664</v>
      </c>
      <c r="N205" s="1" t="e">
        <f>IF(#REF!="Ja",VLOOKUP(A205,'[1]ZArtefakte aus Listen'!A:B,2,0),"")</f>
        <v>#REF!</v>
      </c>
      <c r="Q205" s="1" t="e">
        <f>IF(#REF!="Ja",VLOOKUP(A205,'[1]ZArtefakte aus Listen'!A:D,4,0),"")</f>
        <v>#REF!</v>
      </c>
    </row>
    <row r="206" spans="1:17" ht="12.6" hidden="1">
      <c r="A206" s="1" t="s">
        <v>448</v>
      </c>
      <c r="B206" s="1" t="str">
        <f>VLOOKUP(A206,'Z-Programme'!$A$2:$A$650,1,FALSE)</f>
        <v>ZFI_DEB_BKORM</v>
      </c>
      <c r="C206" s="1" t="s">
        <v>449</v>
      </c>
      <c r="D206" s="1" t="s">
        <v>1533</v>
      </c>
      <c r="E206" s="1" t="s">
        <v>1534</v>
      </c>
      <c r="F206" s="1" t="s">
        <v>1544</v>
      </c>
      <c r="J206" s="5" t="s">
        <v>1536</v>
      </c>
      <c r="K206" s="1" t="s">
        <v>1537</v>
      </c>
      <c r="L206" s="1" t="s">
        <v>1611</v>
      </c>
      <c r="N206" s="1" t="e">
        <f>IF(#REF!="Ja",VLOOKUP(A206,'[1]ZArtefakte aus Listen'!A:B,2,0),"")</f>
        <v>#REF!</v>
      </c>
      <c r="Q206" s="1" t="e">
        <f>IF(#REF!="Ja",VLOOKUP(A206,'[1]ZArtefakte aus Listen'!A:D,4,0),"")</f>
        <v>#REF!</v>
      </c>
    </row>
    <row r="207" spans="1:17" ht="12.6" hidden="1">
      <c r="A207" s="1" t="s">
        <v>450</v>
      </c>
      <c r="B207" s="1" t="str">
        <f>VLOOKUP(A207,'Z-Programme'!$A$2:$A$650,1,FALSE)</f>
        <v>ZFI_DEB_REABT</v>
      </c>
      <c r="C207" s="1" t="s">
        <v>451</v>
      </c>
      <c r="D207" s="1" t="s">
        <v>1533</v>
      </c>
      <c r="E207" s="1" t="s">
        <v>1558</v>
      </c>
      <c r="F207" s="1" t="s">
        <v>1665</v>
      </c>
      <c r="J207" s="5" t="s">
        <v>1536</v>
      </c>
      <c r="K207" s="1" t="s">
        <v>1542</v>
      </c>
      <c r="L207" s="1" t="s">
        <v>1666</v>
      </c>
      <c r="M207" s="5" t="s">
        <v>1536</v>
      </c>
      <c r="N207" s="1" t="e">
        <f>IF(#REF!="Ja",VLOOKUP(A207,'[1]ZArtefakte aus Listen'!A:B,2,0),"")</f>
        <v>#REF!</v>
      </c>
    </row>
    <row r="208" spans="1:17" ht="12.6" hidden="1">
      <c r="A208" s="1" t="s">
        <v>452</v>
      </c>
      <c r="B208" s="1" t="str">
        <f>VLOOKUP(A208,'Z-Programme'!$A$2:$A$650,1,FALSE)</f>
        <v>ZFI_DEB_ZAHLLAUF_ZUFALL</v>
      </c>
      <c r="C208" s="1" t="s">
        <v>453</v>
      </c>
      <c r="D208" s="1" t="s">
        <v>1533</v>
      </c>
      <c r="E208" s="1" t="s">
        <v>1534</v>
      </c>
      <c r="F208" s="1" t="s">
        <v>1544</v>
      </c>
      <c r="J208" s="5" t="s">
        <v>1536</v>
      </c>
      <c r="K208" s="1" t="s">
        <v>1537</v>
      </c>
      <c r="L208" s="1" t="s">
        <v>1611</v>
      </c>
      <c r="N208" s="1" t="e">
        <f>IF(#REF!="Ja",VLOOKUP(A208,'[1]ZArtefakte aus Listen'!A:B,2,0),"")</f>
        <v>#REF!</v>
      </c>
      <c r="Q208" s="1" t="e">
        <f>IF(#REF!="Ja",VLOOKUP(A208,'[1]ZArtefakte aus Listen'!A:D,4,0),"")</f>
        <v>#REF!</v>
      </c>
    </row>
    <row r="209" spans="1:17" ht="12.6" hidden="1">
      <c r="A209" s="1" t="s">
        <v>454</v>
      </c>
      <c r="B209" s="1" t="str">
        <f>VLOOKUP(A209,'Z-Programme'!$A$2:$A$650,1,FALSE)</f>
        <v>ZFI_DEBI_EPGGKTO</v>
      </c>
      <c r="C209" s="1" t="s">
        <v>455</v>
      </c>
      <c r="D209" s="1" t="s">
        <v>1533</v>
      </c>
      <c r="E209" s="1" t="s">
        <v>1534</v>
      </c>
      <c r="F209" s="1" t="s">
        <v>1544</v>
      </c>
      <c r="J209" s="5" t="s">
        <v>1536</v>
      </c>
      <c r="K209" s="1" t="s">
        <v>1537</v>
      </c>
      <c r="L209" s="1" t="s">
        <v>1621</v>
      </c>
      <c r="N209" s="1" t="e">
        <f>IF(#REF!="Ja",VLOOKUP(A209,'[1]ZArtefakte aus Listen'!A:B,2,0),"")</f>
        <v>#REF!</v>
      </c>
    </row>
    <row r="210" spans="1:17" ht="12.6" hidden="1">
      <c r="A210" s="1" t="s">
        <v>456</v>
      </c>
      <c r="B210" s="1" t="str">
        <f>VLOOKUP(A210,'Z-Programme'!$A$2:$A$650,1,FALSE)</f>
        <v>ZFI_DEBI_POSZAHLWEG</v>
      </c>
      <c r="C210" s="1" t="s">
        <v>457</v>
      </c>
      <c r="D210" s="1" t="s">
        <v>1533</v>
      </c>
      <c r="E210" s="1" t="s">
        <v>1534</v>
      </c>
      <c r="F210" s="1" t="s">
        <v>1544</v>
      </c>
      <c r="J210" s="5" t="s">
        <v>1536</v>
      </c>
      <c r="K210" s="1" t="s">
        <v>1537</v>
      </c>
      <c r="L210" s="1" t="s">
        <v>1611</v>
      </c>
      <c r="N210" s="1" t="e">
        <f>IF(#REF!="Ja",VLOOKUP(A210,'[1]ZArtefakte aus Listen'!A:B,2,0),"")</f>
        <v>#REF!</v>
      </c>
      <c r="Q210" s="1" t="e">
        <f>IF(#REF!="Ja",VLOOKUP(A210,'[1]ZArtefakte aus Listen'!A:D,4,0),"")</f>
        <v>#REF!</v>
      </c>
    </row>
    <row r="211" spans="1:17" ht="12.6" hidden="1">
      <c r="A211" s="1" t="s">
        <v>458</v>
      </c>
      <c r="B211" s="1" t="str">
        <f>VLOOKUP(A211,'Z-Programme'!$A$2:$A$650,1,FALSE)</f>
        <v>ZFI_DEBITOR_EINZELPOSTEN_AKT</v>
      </c>
      <c r="C211" s="1" t="s">
        <v>459</v>
      </c>
      <c r="D211" s="1" t="s">
        <v>1533</v>
      </c>
      <c r="E211" s="1" t="s">
        <v>1534</v>
      </c>
      <c r="F211" s="1" t="s">
        <v>1544</v>
      </c>
      <c r="J211" s="5" t="s">
        <v>1536</v>
      </c>
      <c r="K211" s="1" t="s">
        <v>1537</v>
      </c>
      <c r="L211" s="1" t="s">
        <v>1667</v>
      </c>
      <c r="N211" s="1" t="e">
        <f>IF(#REF!="Ja",VLOOKUP(A211,'[1]ZArtefakte aus Listen'!A:B,2,0),"")</f>
        <v>#REF!</v>
      </c>
      <c r="Q211" s="1" t="e">
        <f>IF(#REF!="Ja",VLOOKUP(A211,'[1]ZArtefakte aus Listen'!A:D,4,0),"")</f>
        <v>#REF!</v>
      </c>
    </row>
    <row r="212" spans="1:17" ht="12.6" hidden="1">
      <c r="A212" s="1" t="s">
        <v>460</v>
      </c>
      <c r="B212" s="1" t="str">
        <f>VLOOKUP(A212,'Z-Programme'!$A$2:$A$650,1,FALSE)</f>
        <v>ZFI_DEBREP_ANZMAHN</v>
      </c>
      <c r="C212" s="1" t="s">
        <v>461</v>
      </c>
      <c r="D212" s="1" t="s">
        <v>1533</v>
      </c>
      <c r="E212" s="1" t="s">
        <v>1534</v>
      </c>
      <c r="F212" s="1" t="s">
        <v>1544</v>
      </c>
      <c r="J212" s="5" t="s">
        <v>1536</v>
      </c>
      <c r="K212" s="1" t="s">
        <v>1537</v>
      </c>
      <c r="L212" s="1" t="s">
        <v>1611</v>
      </c>
      <c r="N212" s="1" t="e">
        <f>IF(#REF!="Ja",VLOOKUP(A212,'[1]ZArtefakte aus Listen'!A:B,2,0),"")</f>
        <v>#REF!</v>
      </c>
      <c r="Q212" s="1" t="e">
        <f>IF(#REF!="Ja",VLOOKUP(A212,'[1]ZArtefakte aus Listen'!A:D,4,0),"")</f>
        <v>#REF!</v>
      </c>
    </row>
    <row r="213" spans="1:17" ht="12.6" hidden="1">
      <c r="A213" s="1" t="s">
        <v>462</v>
      </c>
      <c r="B213" s="1" t="str">
        <f>VLOOKUP(A213,'Z-Programme'!$A$2:$A$650,1,FALSE)</f>
        <v>ZFI_DEBREP_AUSBUCH</v>
      </c>
      <c r="C213" s="1" t="s">
        <v>463</v>
      </c>
      <c r="D213" s="1" t="s">
        <v>1533</v>
      </c>
      <c r="E213" s="1" t="s">
        <v>1534</v>
      </c>
      <c r="F213" s="1" t="s">
        <v>1544</v>
      </c>
      <c r="J213" s="5" t="s">
        <v>1536</v>
      </c>
      <c r="K213" s="1" t="s">
        <v>1537</v>
      </c>
      <c r="L213" s="1" t="s">
        <v>1611</v>
      </c>
      <c r="N213" s="1" t="e">
        <f>IF(#REF!="Ja",VLOOKUP(A213,'[1]ZArtefakte aus Listen'!A:B,2,0),"")</f>
        <v>#REF!</v>
      </c>
      <c r="Q213" s="1" t="e">
        <f>IF(#REF!="Ja",VLOOKUP(A213,'[1]ZArtefakte aus Listen'!A:D,4,0),"")</f>
        <v>#REF!</v>
      </c>
    </row>
    <row r="214" spans="1:17" ht="12.6" hidden="1">
      <c r="A214" s="1" t="s">
        <v>464</v>
      </c>
      <c r="B214" s="1" t="str">
        <f>VLOOKUP(A214,'Z-Programme'!$A$2:$A$650,1,FALSE)</f>
        <v>ZFI_DEBREP_BELPOS</v>
      </c>
      <c r="C214" s="1" t="s">
        <v>465</v>
      </c>
      <c r="D214" s="1" t="s">
        <v>1533</v>
      </c>
      <c r="E214" s="1" t="s">
        <v>1534</v>
      </c>
      <c r="F214" s="1" t="s">
        <v>1544</v>
      </c>
      <c r="J214" s="5" t="s">
        <v>1536</v>
      </c>
      <c r="K214" s="1" t="s">
        <v>1537</v>
      </c>
      <c r="L214" s="1" t="s">
        <v>1611</v>
      </c>
      <c r="N214" s="1" t="e">
        <f>IF(#REF!="Ja",VLOOKUP(A214,'[1]ZArtefakte aus Listen'!A:B,2,0),"")</f>
        <v>#REF!</v>
      </c>
      <c r="Q214" s="1" t="e">
        <f>IF(#REF!="Ja",VLOOKUP(A214,'[1]ZArtefakte aus Listen'!A:D,4,0),"")</f>
        <v>#REF!</v>
      </c>
    </row>
    <row r="215" spans="1:17" ht="12.6" hidden="1">
      <c r="A215" s="1" t="s">
        <v>466</v>
      </c>
      <c r="B215" s="1" t="str">
        <f>VLOOKUP(A215,'Z-Programme'!$A$2:$A$650,1,FALSE)</f>
        <v>ZFI_DEBREP_UMSATZ</v>
      </c>
      <c r="C215" s="1" t="s">
        <v>467</v>
      </c>
      <c r="D215" s="1" t="s">
        <v>1533</v>
      </c>
      <c r="E215" s="1" t="s">
        <v>1534</v>
      </c>
      <c r="F215" s="1" t="s">
        <v>1544</v>
      </c>
      <c r="J215" s="5" t="s">
        <v>1536</v>
      </c>
      <c r="K215" s="1" t="s">
        <v>1537</v>
      </c>
      <c r="L215" s="1" t="s">
        <v>1611</v>
      </c>
      <c r="N215" s="1" t="e">
        <f>IF(#REF!="Ja",VLOOKUP(A215,'[1]ZArtefakte aus Listen'!A:B,2,0),"")</f>
        <v>#REF!</v>
      </c>
      <c r="Q215" s="1" t="e">
        <f>IF(#REF!="Ja",VLOOKUP(A215,'[1]ZArtefakte aus Listen'!A:D,4,0),"")</f>
        <v>#REF!</v>
      </c>
    </row>
    <row r="216" spans="1:17" ht="12.6" hidden="1">
      <c r="A216" s="1" t="s">
        <v>468</v>
      </c>
      <c r="B216" s="1" t="str">
        <f>VLOOKUP(A216,'Z-Programme'!$A$2:$A$650,1,FALSE)</f>
        <v>ZFI_DEL_INKO_COCKPI2</v>
      </c>
      <c r="C216" s="1" t="s">
        <v>469</v>
      </c>
      <c r="D216" s="1" t="s">
        <v>1533</v>
      </c>
      <c r="E216" s="1" t="s">
        <v>1534</v>
      </c>
      <c r="F216" s="1" t="s">
        <v>1544</v>
      </c>
      <c r="J216" s="5" t="s">
        <v>1536</v>
      </c>
      <c r="K216" s="1" t="s">
        <v>1537</v>
      </c>
      <c r="L216" s="1" t="s">
        <v>1668</v>
      </c>
      <c r="N216" s="1" t="e">
        <f>IF(#REF!="Ja",VLOOKUP(A216,'[1]ZArtefakte aus Listen'!A:B,2,0),"")</f>
        <v>#REF!</v>
      </c>
      <c r="Q216" s="1" t="e">
        <f>IF(#REF!="Ja",VLOOKUP(A216,'[1]ZArtefakte aus Listen'!A:D,4,0),"")</f>
        <v>#REF!</v>
      </c>
    </row>
    <row r="217" spans="1:17" ht="12.6" hidden="1">
      <c r="A217" s="1" t="s">
        <v>470</v>
      </c>
      <c r="B217" s="1" t="str">
        <f>VLOOKUP(A217,'Z-Programme'!$A$2:$A$650,1,FALSE)</f>
        <v>ZFI_DEL_LOEVM_DEB_KRED</v>
      </c>
      <c r="C217" s="1" t="s">
        <v>471</v>
      </c>
      <c r="D217" s="1" t="s">
        <v>1533</v>
      </c>
      <c r="E217" s="1" t="s">
        <v>1534</v>
      </c>
      <c r="F217" s="1" t="s">
        <v>1544</v>
      </c>
      <c r="J217" s="5" t="s">
        <v>1536</v>
      </c>
      <c r="K217" s="1" t="s">
        <v>1537</v>
      </c>
      <c r="L217" s="1" t="s">
        <v>1668</v>
      </c>
      <c r="N217" s="1" t="e">
        <f>IF(#REF!="Ja",VLOOKUP(A217,'[1]ZArtefakte aus Listen'!A:B,2,0),"")</f>
        <v>#REF!</v>
      </c>
      <c r="Q217" s="1" t="e">
        <f>IF(#REF!="Ja",VLOOKUP(A217,'[1]ZArtefakte aus Listen'!A:D,4,0),"")</f>
        <v>#REF!</v>
      </c>
    </row>
    <row r="218" spans="1:17" ht="12.6" hidden="1">
      <c r="A218" s="1" t="s">
        <v>472</v>
      </c>
      <c r="B218" s="1" t="str">
        <f>VLOOKUP(A218,'Z-Programme'!$A$2:$A$650,1,FALSE)</f>
        <v>ZFI_DELETE_DUNNING_RUN</v>
      </c>
      <c r="C218" s="1" t="s">
        <v>473</v>
      </c>
      <c r="D218" s="1" t="s">
        <v>1533</v>
      </c>
      <c r="E218" s="1" t="s">
        <v>1534</v>
      </c>
      <c r="F218" s="1" t="s">
        <v>1544</v>
      </c>
      <c r="J218" s="5" t="s">
        <v>1536</v>
      </c>
      <c r="K218" s="1" t="s">
        <v>1537</v>
      </c>
      <c r="L218" s="1" t="s">
        <v>1668</v>
      </c>
      <c r="N218" s="1" t="e">
        <f>IF(#REF!="Ja",VLOOKUP(A218,'[1]ZArtefakte aus Listen'!A:B,2,0),"")</f>
        <v>#REF!</v>
      </c>
      <c r="Q218" s="1" t="e">
        <f>IF(#REF!="Ja",VLOOKUP(A218,'[1]ZArtefakte aus Listen'!A:D,4,0),"")</f>
        <v>#REF!</v>
      </c>
    </row>
    <row r="219" spans="1:17" ht="12.6" hidden="1">
      <c r="A219" s="1" t="s">
        <v>474</v>
      </c>
      <c r="B219" s="1" t="str">
        <f>VLOOKUP(A219,'Z-Programme'!$A$2:$A$650,1,FALSE)</f>
        <v>ZFI_DOCATTACH_COPY</v>
      </c>
      <c r="C219" s="1" t="s">
        <v>1669</v>
      </c>
      <c r="D219" s="1" t="s">
        <v>1533</v>
      </c>
      <c r="E219" s="1" t="s">
        <v>1584</v>
      </c>
      <c r="F219" s="1" t="s">
        <v>1670</v>
      </c>
      <c r="J219" s="5" t="s">
        <v>1536</v>
      </c>
      <c r="K219" s="1" t="s">
        <v>1614</v>
      </c>
      <c r="L219" s="1" t="s">
        <v>1671</v>
      </c>
      <c r="M219" s="5" t="s">
        <v>1536</v>
      </c>
      <c r="N219" s="1" t="e">
        <f>IF(#REF!="Ja",VLOOKUP(A219,'[1]ZArtefakte aus Listen'!A:B,2,0),"")</f>
        <v>#REF!</v>
      </c>
      <c r="Q219" s="1" t="e">
        <f>IF(#REF!="Ja",VLOOKUP(A219,'[1]ZArtefakte aus Listen'!A:D,4,0),"")</f>
        <v>#REF!</v>
      </c>
    </row>
    <row r="220" spans="1:17" ht="12.6" hidden="1">
      <c r="A220" s="1" t="s">
        <v>476</v>
      </c>
      <c r="B220" s="1" t="str">
        <f>VLOOKUP(A220,'Z-Programme'!$A$2:$A$650,1,FALSE)</f>
        <v>ZFI_DOCATTACH_REPORT</v>
      </c>
      <c r="C220" s="1" t="s">
        <v>477</v>
      </c>
      <c r="D220" s="1" t="s">
        <v>1533</v>
      </c>
      <c r="E220" s="1" t="s">
        <v>1534</v>
      </c>
      <c r="F220" s="1" t="s">
        <v>1544</v>
      </c>
      <c r="J220" s="5" t="s">
        <v>1536</v>
      </c>
      <c r="K220" s="1" t="s">
        <v>1537</v>
      </c>
      <c r="L220" s="1" t="s">
        <v>1628</v>
      </c>
      <c r="N220" s="1" t="e">
        <f>IF(#REF!="Ja",VLOOKUP(A220,'[1]ZArtefakte aus Listen'!A:B,2,0),"")</f>
        <v>#REF!</v>
      </c>
    </row>
    <row r="221" spans="1:17" ht="12.6" hidden="1">
      <c r="A221" s="1" t="s">
        <v>478</v>
      </c>
      <c r="B221" s="1" t="str">
        <f>VLOOKUP(A221,'Z-Programme'!$A$2:$A$650,1,FALSE)</f>
        <v>ZFI_DOPO40</v>
      </c>
      <c r="C221" s="1" t="s">
        <v>479</v>
      </c>
      <c r="D221" s="1" t="s">
        <v>1533</v>
      </c>
      <c r="E221" s="1" t="s">
        <v>1534</v>
      </c>
      <c r="F221" s="1" t="s">
        <v>1544</v>
      </c>
      <c r="J221" s="5" t="s">
        <v>1536</v>
      </c>
      <c r="K221" s="1" t="s">
        <v>1537</v>
      </c>
      <c r="L221" s="1" t="s">
        <v>1611</v>
      </c>
      <c r="N221" s="1" t="e">
        <f>IF(#REF!="Ja",VLOOKUP(A221,'[1]ZArtefakte aus Listen'!A:B,2,0),"")</f>
        <v>#REF!</v>
      </c>
      <c r="Q221" s="1" t="e">
        <f>IF(#REF!="Ja",VLOOKUP(A221,'[1]ZArtefakte aus Listen'!A:D,4,0),"")</f>
        <v>#REF!</v>
      </c>
    </row>
    <row r="222" spans="1:17" ht="12.6" hidden="1">
      <c r="A222" s="1" t="s">
        <v>480</v>
      </c>
      <c r="B222" s="1" t="str">
        <f>VLOOKUP(A222,'Z-Programme'!$A$2:$A$650,1,FALSE)</f>
        <v>ZFI_DRUCK_CONTAINER</v>
      </c>
      <c r="C222" s="1" t="s">
        <v>481</v>
      </c>
      <c r="D222" s="1" t="s">
        <v>1533</v>
      </c>
      <c r="E222" s="1" t="s">
        <v>1558</v>
      </c>
      <c r="F222" s="1" t="s">
        <v>1549</v>
      </c>
      <c r="G222" s="1" t="s">
        <v>1655</v>
      </c>
      <c r="K222" s="58" t="s">
        <v>1573</v>
      </c>
      <c r="N222" s="1" t="e">
        <f>IF(#REF!="Ja",VLOOKUP(A222,'[1]ZArtefakte aus Listen'!A:B,2,0),"")</f>
        <v>#REF!</v>
      </c>
      <c r="P222" s="58"/>
      <c r="Q222" s="1" t="e">
        <f>IF(#REF!="Ja",VLOOKUP(A222,'[1]ZArtefakte aus Listen'!A:D,4,0),"")</f>
        <v>#REF!</v>
      </c>
    </row>
    <row r="223" spans="1:17" ht="12.6" hidden="1">
      <c r="A223" s="1" t="s">
        <v>482</v>
      </c>
      <c r="B223" s="1" t="str">
        <f>VLOOKUP(A223,'Z-Programme'!$A$2:$A$650,1,FALSE)</f>
        <v>ZFI_DSS34BDSG</v>
      </c>
      <c r="C223" s="1" t="s">
        <v>484</v>
      </c>
      <c r="D223" s="1" t="s">
        <v>1533</v>
      </c>
      <c r="E223" s="1" t="s">
        <v>1558</v>
      </c>
      <c r="F223" s="1" t="s">
        <v>1672</v>
      </c>
      <c r="G223" s="1" t="s">
        <v>1572</v>
      </c>
      <c r="K223" s="58" t="s">
        <v>1573</v>
      </c>
      <c r="N223" s="1" t="e">
        <f>IF(#REF!="Ja",VLOOKUP(A223,'[1]ZArtefakte aus Listen'!A:B,2,0),"")</f>
        <v>#REF!</v>
      </c>
      <c r="P223" s="58"/>
      <c r="Q223" s="1" t="e">
        <f>IF(#REF!="Ja",VLOOKUP(A223,'[1]ZArtefakte aus Listen'!A:D,4,0),"")</f>
        <v>#REF!</v>
      </c>
    </row>
    <row r="224" spans="1:17" ht="12.6" hidden="1">
      <c r="A224" s="1" t="s">
        <v>485</v>
      </c>
      <c r="B224" s="1" t="str">
        <f>VLOOKUP(A224,'Z-Programme'!$A$2:$A$650,1,FALSE)</f>
        <v>ZFI_ELFE03</v>
      </c>
      <c r="C224" s="1" t="s">
        <v>487</v>
      </c>
      <c r="D224" s="1" t="s">
        <v>1533</v>
      </c>
      <c r="E224" s="1" t="s">
        <v>1558</v>
      </c>
      <c r="F224" s="1" t="s">
        <v>1616</v>
      </c>
      <c r="G224" s="1" t="s">
        <v>1617</v>
      </c>
      <c r="K224" s="58" t="s">
        <v>1573</v>
      </c>
      <c r="N224" s="1" t="e">
        <f>IF(#REF!="Ja",VLOOKUP(A224,'[1]ZArtefakte aus Listen'!A:B,2,0),"")</f>
        <v>#REF!</v>
      </c>
      <c r="P224" s="58"/>
      <c r="Q224" s="1" t="e">
        <f>IF(#REF!="Ja",VLOOKUP(A224,'[1]ZArtefakte aus Listen'!A:D,4,0),"")</f>
        <v>#REF!</v>
      </c>
    </row>
    <row r="225" spans="1:17" ht="12.6" hidden="1">
      <c r="A225" s="1" t="s">
        <v>488</v>
      </c>
      <c r="B225" s="1" t="str">
        <f>VLOOKUP(A225,'Z-Programme'!$A$2:$A$650,1,FALSE)</f>
        <v>ZFI_ELMO02</v>
      </c>
      <c r="C225" s="1" t="s">
        <v>489</v>
      </c>
      <c r="D225" s="1" t="s">
        <v>1533</v>
      </c>
      <c r="E225" s="1" t="s">
        <v>1558</v>
      </c>
      <c r="F225" s="1" t="s">
        <v>1616</v>
      </c>
      <c r="G225" s="1" t="s">
        <v>1617</v>
      </c>
      <c r="K225" s="58" t="s">
        <v>1573</v>
      </c>
      <c r="N225" s="1" t="e">
        <f>IF(#REF!="Ja",VLOOKUP(A225,'[1]ZArtefakte aus Listen'!A:B,2,0),"")</f>
        <v>#REF!</v>
      </c>
      <c r="P225" s="58"/>
      <c r="Q225" s="1" t="e">
        <f>IF(#REF!="Ja",VLOOKUP(A225,'[1]ZArtefakte aus Listen'!A:D,4,0),"")</f>
        <v>#REF!</v>
      </c>
    </row>
    <row r="226" spans="1:17" ht="12.6" hidden="1">
      <c r="A226" s="1" t="s">
        <v>490</v>
      </c>
      <c r="B226" s="1" t="str">
        <f>VLOOKUP(A226,'Z-Programme'!$A$2:$A$650,1,FALSE)</f>
        <v>ZFI_ELMO03</v>
      </c>
      <c r="C226" s="1" t="s">
        <v>491</v>
      </c>
      <c r="D226" s="1" t="s">
        <v>1533</v>
      </c>
      <c r="E226" s="1" t="s">
        <v>1534</v>
      </c>
      <c r="F226" s="1" t="s">
        <v>1544</v>
      </c>
      <c r="J226" s="5" t="s">
        <v>1536</v>
      </c>
      <c r="K226" s="1" t="s">
        <v>1537</v>
      </c>
      <c r="L226" s="1" t="s">
        <v>1611</v>
      </c>
      <c r="N226" s="1" t="e">
        <f>IF(#REF!="Ja",VLOOKUP(A226,'[1]ZArtefakte aus Listen'!A:B,2,0),"")</f>
        <v>#REF!</v>
      </c>
      <c r="Q226" s="1" t="e">
        <f>IF(#REF!="Ja",VLOOKUP(A226,'[1]ZArtefakte aus Listen'!A:D,4,0),"")</f>
        <v>#REF!</v>
      </c>
    </row>
    <row r="227" spans="1:17" ht="12.6" hidden="1">
      <c r="A227" s="1" t="s">
        <v>492</v>
      </c>
      <c r="B227" s="1" t="str">
        <f>VLOOKUP(A227,'Z-Programme'!$A$2:$A$650,1,FALSE)</f>
        <v>ZFI_ELSY_SCHNITTSTELLE</v>
      </c>
      <c r="C227" s="1" t="s">
        <v>493</v>
      </c>
      <c r="D227" s="1" t="s">
        <v>1533</v>
      </c>
      <c r="E227" s="1" t="s">
        <v>1558</v>
      </c>
      <c r="F227" s="1" t="s">
        <v>1616</v>
      </c>
      <c r="G227" s="1" t="s">
        <v>1617</v>
      </c>
      <c r="K227" s="58" t="s">
        <v>1573</v>
      </c>
      <c r="N227" s="1" t="e">
        <f>IF(#REF!="Ja",VLOOKUP(A227,'[1]ZArtefakte aus Listen'!A:B,2,0),"")</f>
        <v>#REF!</v>
      </c>
      <c r="P227" s="58"/>
      <c r="Q227" s="1" t="e">
        <f>IF(#REF!="Ja",VLOOKUP(A227,'[1]ZArtefakte aus Listen'!A:D,4,0),"")</f>
        <v>#REF!</v>
      </c>
    </row>
    <row r="228" spans="1:17" ht="12.6" hidden="1">
      <c r="A228" s="1" t="s">
        <v>494</v>
      </c>
      <c r="B228" s="1" t="str">
        <f>VLOOKUP(A228,'Z-Programme'!$A$2:$A$650,1,FALSE)</f>
        <v>ZFI_EPOK30</v>
      </c>
      <c r="C228" s="1" t="s">
        <v>495</v>
      </c>
      <c r="D228" s="1" t="s">
        <v>1533</v>
      </c>
      <c r="E228" s="1" t="s">
        <v>1534</v>
      </c>
      <c r="F228" s="1" t="s">
        <v>1544</v>
      </c>
      <c r="J228" s="5" t="s">
        <v>1536</v>
      </c>
      <c r="K228" s="1" t="s">
        <v>1537</v>
      </c>
      <c r="L228" s="1" t="s">
        <v>1611</v>
      </c>
      <c r="N228" s="1" t="e">
        <f>IF(#REF!="Ja",VLOOKUP(A228,'[1]ZArtefakte aus Listen'!A:B,2,0),"")</f>
        <v>#REF!</v>
      </c>
      <c r="Q228" s="1" t="e">
        <f>IF(#REF!="Ja",VLOOKUP(A228,'[1]ZArtefakte aus Listen'!A:D,4,0),"")</f>
        <v>#REF!</v>
      </c>
    </row>
    <row r="229" spans="1:17" ht="12.6" hidden="1">
      <c r="A229" s="1" t="s">
        <v>498</v>
      </c>
      <c r="B229" s="1" t="str">
        <f>VLOOKUP(A229,'Z-Programme'!$A$2:$A$650,1,FALSE)</f>
        <v>ZFI_ETIS02</v>
      </c>
      <c r="C229" s="1" t="s">
        <v>499</v>
      </c>
      <c r="D229" s="1" t="s">
        <v>1533</v>
      </c>
      <c r="E229" s="1" t="s">
        <v>1558</v>
      </c>
      <c r="F229" s="1" t="s">
        <v>1616</v>
      </c>
      <c r="G229" s="1" t="s">
        <v>1617</v>
      </c>
      <c r="K229" s="58" t="s">
        <v>1573</v>
      </c>
      <c r="N229" s="1" t="e">
        <f>IF(#REF!="Ja",VLOOKUP(A229,'[1]ZArtefakte aus Listen'!A:B,2,0),"")</f>
        <v>#REF!</v>
      </c>
      <c r="P229" s="58"/>
      <c r="Q229" s="1" t="e">
        <f>IF(#REF!="Ja",VLOOKUP(A229,'[1]ZArtefakte aus Listen'!A:D,4,0),"")</f>
        <v>#REF!</v>
      </c>
    </row>
    <row r="230" spans="1:17" ht="12.6" hidden="1">
      <c r="A230" s="1" t="s">
        <v>500</v>
      </c>
      <c r="B230" s="1" t="str">
        <f>VLOOKUP(A230,'Z-Programme'!$A$2:$A$650,1,FALSE)</f>
        <v>ZFI_ETM_REFERENZKORREKTUR</v>
      </c>
      <c r="C230" s="1" t="s">
        <v>501</v>
      </c>
      <c r="D230" s="1" t="s">
        <v>1533</v>
      </c>
      <c r="E230" s="1" t="s">
        <v>1534</v>
      </c>
      <c r="F230" s="1" t="s">
        <v>1544</v>
      </c>
      <c r="J230" s="5" t="s">
        <v>1536</v>
      </c>
      <c r="K230" s="1" t="s">
        <v>1537</v>
      </c>
      <c r="L230" s="1" t="s">
        <v>1668</v>
      </c>
      <c r="N230" s="1" t="e">
        <f>IF(#REF!="Ja",VLOOKUP(A230,'[1]ZArtefakte aus Listen'!A:B,2,0),"")</f>
        <v>#REF!</v>
      </c>
      <c r="Q230" s="1" t="e">
        <f>IF(#REF!="Ja",VLOOKUP(A230,'[1]ZArtefakte aus Listen'!A:D,4,0),"")</f>
        <v>#REF!</v>
      </c>
    </row>
    <row r="231" spans="1:17" ht="12.6" hidden="1">
      <c r="A231" s="1" t="s">
        <v>502</v>
      </c>
      <c r="B231" s="1" t="str">
        <f>VLOOKUP(A231,'Z-Programme'!$A$2:$A$650,1,FALSE)</f>
        <v>ZFI_ETM_UMBUCHUNG_KASSE</v>
      </c>
      <c r="C231" s="1" t="s">
        <v>505</v>
      </c>
      <c r="D231" s="1" t="s">
        <v>1533</v>
      </c>
      <c r="E231" s="1" t="s">
        <v>1540</v>
      </c>
      <c r="F231" s="1" t="s">
        <v>1549</v>
      </c>
      <c r="J231" s="5" t="s">
        <v>1536</v>
      </c>
      <c r="K231" s="1" t="s">
        <v>1542</v>
      </c>
      <c r="L231" s="1" t="s">
        <v>1673</v>
      </c>
      <c r="N231" s="1" t="e">
        <f>IF(#REF!="Ja",VLOOKUP(A231,'[1]ZArtefakte aus Listen'!A:B,2,0),"")</f>
        <v>#REF!</v>
      </c>
      <c r="Q231" s="1" t="e">
        <f>IF(#REF!="Ja",VLOOKUP(A231,'[1]ZArtefakte aus Listen'!A:D,4,0),"")</f>
        <v>#REF!</v>
      </c>
    </row>
    <row r="232" spans="1:17" ht="12.6" hidden="1">
      <c r="A232" s="1" t="s">
        <v>506</v>
      </c>
      <c r="B232" s="1" t="str">
        <f>VLOOKUP(A232,'Z-Programme'!$A$2:$A$650,1,FALSE)</f>
        <v>ZFI_ETM_ZAHLARTEN</v>
      </c>
      <c r="C232" s="1" t="s">
        <v>507</v>
      </c>
      <c r="D232" s="1" t="s">
        <v>1533</v>
      </c>
      <c r="E232" s="1" t="s">
        <v>1534</v>
      </c>
      <c r="F232" s="1" t="s">
        <v>1544</v>
      </c>
      <c r="J232" s="5" t="s">
        <v>1536</v>
      </c>
      <c r="K232" s="1" t="s">
        <v>1537</v>
      </c>
      <c r="L232" s="1" t="s">
        <v>1668</v>
      </c>
      <c r="N232" s="1" t="e">
        <f>IF(#REF!="Ja",VLOOKUP(A232,'[1]ZArtefakte aus Listen'!A:B,2,0),"")</f>
        <v>#REF!</v>
      </c>
    </row>
    <row r="233" spans="1:17" ht="12.6" hidden="1">
      <c r="A233" s="1" t="s">
        <v>508</v>
      </c>
      <c r="B233" s="1" t="str">
        <f>VLOOKUP(A233,'Z-Programme'!$A$2:$A$650,1,FALSE)</f>
        <v>ZFI_EVER_EXPORT_STAMM</v>
      </c>
      <c r="C233" s="1" t="s">
        <v>509</v>
      </c>
      <c r="D233" s="1" t="s">
        <v>1533</v>
      </c>
      <c r="E233" s="1" t="s">
        <v>1534</v>
      </c>
      <c r="F233" s="1" t="s">
        <v>1544</v>
      </c>
      <c r="J233" s="5" t="s">
        <v>1536</v>
      </c>
      <c r="K233" s="1" t="s">
        <v>1537</v>
      </c>
      <c r="L233" s="1" t="s">
        <v>1611</v>
      </c>
      <c r="N233" s="1" t="e">
        <f>IF(#REF!="Ja",VLOOKUP(A233,'[1]ZArtefakte aus Listen'!A:B,2,0),"")</f>
        <v>#REF!</v>
      </c>
    </row>
    <row r="234" spans="1:17" ht="12.6" hidden="1">
      <c r="A234" s="1" t="s">
        <v>510</v>
      </c>
      <c r="B234" s="1" t="str">
        <f>VLOOKUP(A234,'Z-Programme'!$A$2:$A$650,1,FALSE)</f>
        <v>ZFI_EVER_IMPORT_VORGANG</v>
      </c>
      <c r="C234" s="1" t="s">
        <v>511</v>
      </c>
      <c r="D234" s="1" t="s">
        <v>1533</v>
      </c>
      <c r="E234" s="1" t="s">
        <v>1534</v>
      </c>
      <c r="F234" s="1" t="s">
        <v>1544</v>
      </c>
      <c r="J234" s="5" t="s">
        <v>1536</v>
      </c>
      <c r="K234" s="1" t="s">
        <v>1537</v>
      </c>
      <c r="L234" s="1" t="s">
        <v>1611</v>
      </c>
      <c r="N234" s="1" t="e">
        <f>IF(#REF!="Ja",VLOOKUP(A234,'[1]ZArtefakte aus Listen'!A:B,2,0),"")</f>
        <v>#REF!</v>
      </c>
    </row>
    <row r="235" spans="1:17" ht="12.6" hidden="1">
      <c r="A235" s="1" t="s">
        <v>512</v>
      </c>
      <c r="B235" s="1" t="str">
        <f>VLOOKUP(A235,'Z-Programme'!$A$2:$A$650,1,FALSE)</f>
        <v>ZFI_EXCEL_UPLOAD</v>
      </c>
      <c r="C235" s="1" t="s">
        <v>513</v>
      </c>
      <c r="D235" s="1" t="s">
        <v>1533</v>
      </c>
      <c r="E235" s="1" t="s">
        <v>1534</v>
      </c>
      <c r="F235" s="1" t="s">
        <v>1544</v>
      </c>
      <c r="J235" s="5" t="s">
        <v>1536</v>
      </c>
      <c r="K235" s="1" t="s">
        <v>1537</v>
      </c>
      <c r="L235" s="1" t="s">
        <v>1611</v>
      </c>
      <c r="N235" s="1" t="e">
        <f>IF(#REF!="Ja",VLOOKUP(A235,'[1]ZArtefakte aus Listen'!A:B,2,0),"")</f>
        <v>#REF!</v>
      </c>
    </row>
    <row r="236" spans="1:17" ht="12.6" hidden="1">
      <c r="A236" s="1" t="s">
        <v>514</v>
      </c>
      <c r="B236" s="1" t="str">
        <f>VLOOKUP(A236,'Z-Programme'!$A$2:$A$650,1,FALSE)</f>
        <v>ZFI_EXPORT_WP</v>
      </c>
      <c r="C236" s="1" t="s">
        <v>515</v>
      </c>
      <c r="D236" s="1" t="s">
        <v>1533</v>
      </c>
      <c r="E236" s="1" t="s">
        <v>1534</v>
      </c>
      <c r="F236" s="1" t="s">
        <v>1544</v>
      </c>
      <c r="J236" s="5" t="s">
        <v>1536</v>
      </c>
      <c r="K236" s="1" t="s">
        <v>1537</v>
      </c>
      <c r="L236" s="1" t="s">
        <v>1628</v>
      </c>
      <c r="N236" s="1" t="e">
        <f>IF(#REF!="Ja",VLOOKUP(A236,'[1]ZArtefakte aus Listen'!A:B,2,0),"")</f>
        <v>#REF!</v>
      </c>
    </row>
    <row r="237" spans="1:17" ht="12.6" hidden="1">
      <c r="A237" s="1" t="s">
        <v>516</v>
      </c>
      <c r="B237" s="1" t="str">
        <f>VLOOKUP(A237,'Z-Programme'!$A$2:$A$650,1,FALSE)</f>
        <v>ZFI_EXSCH1</v>
      </c>
      <c r="C237" s="1" t="s">
        <v>517</v>
      </c>
      <c r="D237" s="1" t="s">
        <v>1533</v>
      </c>
      <c r="E237" s="1" t="s">
        <v>1534</v>
      </c>
      <c r="F237" s="1" t="s">
        <v>1544</v>
      </c>
      <c r="J237" s="5" t="s">
        <v>1536</v>
      </c>
      <c r="K237" s="1" t="s">
        <v>1537</v>
      </c>
      <c r="L237" s="1" t="s">
        <v>1664</v>
      </c>
      <c r="N237" s="1" t="e">
        <f>IF(#REF!="Ja",VLOOKUP(A237,'[1]ZArtefakte aus Listen'!A:B,2,0),"")</f>
        <v>#REF!</v>
      </c>
    </row>
    <row r="238" spans="1:17" ht="12.6" hidden="1">
      <c r="A238" s="1" t="s">
        <v>518</v>
      </c>
      <c r="B238" s="1" t="str">
        <f>VLOOKUP(A238,'Z-Programme'!$A$2:$A$650,1,FALSE)</f>
        <v>ZFI_F_03_KONTEN_UEBERGREIFEND</v>
      </c>
      <c r="C238" s="1" t="s">
        <v>520</v>
      </c>
      <c r="D238" s="1" t="s">
        <v>1533</v>
      </c>
      <c r="E238" s="1" t="s">
        <v>1540</v>
      </c>
      <c r="F238" s="1" t="s">
        <v>1549</v>
      </c>
      <c r="J238" s="5" t="s">
        <v>1536</v>
      </c>
      <c r="K238" s="1" t="s">
        <v>1542</v>
      </c>
      <c r="L238" s="1" t="s">
        <v>1673</v>
      </c>
      <c r="N238" s="1" t="e">
        <f>IF(#REF!="Ja",VLOOKUP(A238,'[1]ZArtefakte aus Listen'!A:B,2,0),"")</f>
        <v>#REF!</v>
      </c>
      <c r="Q238" s="1" t="e">
        <f>IF(#REF!="Ja",VLOOKUP(A238,'[1]ZArtefakte aus Listen'!A:D,4,0),"")</f>
        <v>#REF!</v>
      </c>
    </row>
    <row r="239" spans="1:17" ht="12.6" hidden="1">
      <c r="A239" s="1" t="s">
        <v>521</v>
      </c>
      <c r="B239" s="1" t="str">
        <f>VLOOKUP(A239,'Z-Programme'!$A$2:$A$650,1,FALSE)</f>
        <v>ZFI_F110_DTA</v>
      </c>
      <c r="C239" s="1" t="s">
        <v>522</v>
      </c>
      <c r="D239" s="1" t="s">
        <v>1533</v>
      </c>
      <c r="E239" s="1" t="s">
        <v>1534</v>
      </c>
      <c r="F239" s="1" t="s">
        <v>1544</v>
      </c>
      <c r="J239" s="5" t="s">
        <v>1536</v>
      </c>
      <c r="K239" s="1" t="s">
        <v>1537</v>
      </c>
      <c r="L239" s="1" t="s">
        <v>1674</v>
      </c>
      <c r="N239" s="1" t="e">
        <f>IF(#REF!="Ja",VLOOKUP(A239,'[1]ZArtefakte aus Listen'!A:B,2,0),"")</f>
        <v>#REF!</v>
      </c>
    </row>
    <row r="240" spans="1:17" ht="12.6" hidden="1">
      <c r="A240" s="1" t="s">
        <v>524</v>
      </c>
      <c r="B240" s="1" t="str">
        <f>VLOOKUP(A240,'Z-Programme'!$A$2:$A$650,1,FALSE)</f>
        <v>ZFI_FAHR00</v>
      </c>
      <c r="C240" s="1" t="s">
        <v>525</v>
      </c>
      <c r="D240" s="1" t="s">
        <v>1533</v>
      </c>
      <c r="E240" s="1" t="s">
        <v>1534</v>
      </c>
      <c r="F240" s="1" t="s">
        <v>1544</v>
      </c>
      <c r="J240" s="5" t="s">
        <v>1536</v>
      </c>
      <c r="K240" s="1" t="s">
        <v>1537</v>
      </c>
      <c r="L240" s="1" t="s">
        <v>1611</v>
      </c>
      <c r="N240" s="1" t="e">
        <f>IF(#REF!="Ja",VLOOKUP(A240,'[1]ZArtefakte aus Listen'!A:B,2,0),"")</f>
        <v>#REF!</v>
      </c>
    </row>
    <row r="241" spans="1:17" ht="12.6" hidden="1">
      <c r="A241" s="1" t="s">
        <v>526</v>
      </c>
      <c r="B241" s="1" t="str">
        <f>VLOOKUP(A241,'Z-Programme'!$A$2:$A$650,1,FALSE)</f>
        <v>ZFI_FELDSTATUS_AUSWERTUNG</v>
      </c>
      <c r="C241" s="1" t="s">
        <v>527</v>
      </c>
      <c r="D241" s="1" t="s">
        <v>1533</v>
      </c>
      <c r="E241" s="1" t="s">
        <v>1534</v>
      </c>
      <c r="F241" s="1" t="s">
        <v>1544</v>
      </c>
      <c r="J241" s="5" t="s">
        <v>1536</v>
      </c>
      <c r="K241" s="1" t="s">
        <v>1537</v>
      </c>
      <c r="L241" s="1" t="s">
        <v>1611</v>
      </c>
      <c r="N241" s="1" t="e">
        <f>IF(#REF!="Ja",VLOOKUP(A241,'[1]ZArtefakte aus Listen'!A:B,2,0),"")</f>
        <v>#REF!</v>
      </c>
    </row>
    <row r="242" spans="1:17" ht="12.6" hidden="1">
      <c r="A242" s="1" t="s">
        <v>528</v>
      </c>
      <c r="B242" s="1" t="str">
        <f>VLOOKUP(A242,'Z-Programme'!$A$2:$A$650,1,FALSE)</f>
        <v>ZFI_FILE_FOR_ABSTIMMTOOL</v>
      </c>
      <c r="C242" s="1" t="s">
        <v>529</v>
      </c>
      <c r="D242" s="1" t="s">
        <v>1533</v>
      </c>
      <c r="E242" s="1" t="s">
        <v>1558</v>
      </c>
      <c r="F242" s="1" t="s">
        <v>1549</v>
      </c>
      <c r="G242" s="1" t="s">
        <v>1634</v>
      </c>
      <c r="I242" s="1" t="s">
        <v>1635</v>
      </c>
      <c r="J242" s="5" t="s">
        <v>1536</v>
      </c>
      <c r="K242" s="1" t="s">
        <v>1542</v>
      </c>
      <c r="L242" s="1" t="s">
        <v>1638</v>
      </c>
      <c r="M242" s="5" t="s">
        <v>1536</v>
      </c>
      <c r="N242" s="1" t="e">
        <f>IF(#REF!="Ja",VLOOKUP(A242,'[1]ZArtefakte aus Listen'!A:B,2,0),"")</f>
        <v>#REF!</v>
      </c>
      <c r="Q242" s="1" t="e">
        <f>IF(#REF!="Ja",VLOOKUP(A242,'[1]ZArtefakte aus Listen'!A:D,4,0),"")</f>
        <v>#REF!</v>
      </c>
    </row>
    <row r="243" spans="1:17" ht="12.6" hidden="1">
      <c r="A243" s="1" t="s">
        <v>530</v>
      </c>
      <c r="B243" s="1" t="str">
        <f>VLOOKUP(A243,'Z-Programme'!$A$2:$A$650,1,FALSE)</f>
        <v>ZFI_FK02_AVIS</v>
      </c>
      <c r="C243" s="1" t="s">
        <v>532</v>
      </c>
      <c r="D243" s="1" t="s">
        <v>1533</v>
      </c>
      <c r="E243" s="1" t="s">
        <v>1540</v>
      </c>
      <c r="F243" s="1" t="s">
        <v>1616</v>
      </c>
      <c r="J243" s="5" t="s">
        <v>1536</v>
      </c>
      <c r="K243" s="1" t="s">
        <v>1542</v>
      </c>
      <c r="L243" s="1" t="s">
        <v>1675</v>
      </c>
      <c r="N243" s="1" t="e">
        <f>IF(#REF!="Ja",VLOOKUP(A243,'[1]ZArtefakte aus Listen'!A:B,2,0),"")</f>
        <v>#REF!</v>
      </c>
    </row>
    <row r="244" spans="1:17" ht="12.6" hidden="1">
      <c r="A244" s="1" t="s">
        <v>533</v>
      </c>
      <c r="B244" s="1" t="str">
        <f>VLOOKUP(A244,'Z-Programme'!$A$2:$A$650,1,FALSE)</f>
        <v>ZFI_FORMAT_SAM</v>
      </c>
      <c r="C244" s="1" t="s">
        <v>535</v>
      </c>
      <c r="D244" s="1" t="s">
        <v>1533</v>
      </c>
      <c r="E244" s="1" t="s">
        <v>1558</v>
      </c>
      <c r="F244" s="1" t="s">
        <v>1616</v>
      </c>
      <c r="G244" s="1" t="s">
        <v>1676</v>
      </c>
      <c r="K244" s="58" t="s">
        <v>1573</v>
      </c>
      <c r="N244" s="1" t="e">
        <f>IF(#REF!="Ja",VLOOKUP(A244,'[1]ZArtefakte aus Listen'!A:B,2,0),"")</f>
        <v>#REF!</v>
      </c>
      <c r="P244" s="58"/>
      <c r="Q244" s="1" t="e">
        <f>IF(#REF!="Ja",VLOOKUP(A244,'[1]ZArtefakte aus Listen'!A:D,4,0),"")</f>
        <v>#REF!</v>
      </c>
    </row>
    <row r="245" spans="1:17" ht="12.6" hidden="1">
      <c r="A245" s="1" t="s">
        <v>536</v>
      </c>
      <c r="B245" s="1" t="str">
        <f>VLOOKUP(A245,'Z-Programme'!$A$2:$A$650,1,FALSE)</f>
        <v>ZFI_FW_SELVAR</v>
      </c>
      <c r="C245" s="1" t="s">
        <v>538</v>
      </c>
      <c r="D245" s="1" t="s">
        <v>1533</v>
      </c>
      <c r="E245" s="1" t="s">
        <v>1534</v>
      </c>
      <c r="F245" s="1" t="s">
        <v>1629</v>
      </c>
      <c r="J245" s="5"/>
      <c r="K245" s="1" t="s">
        <v>1537</v>
      </c>
      <c r="L245" s="1" t="s">
        <v>1677</v>
      </c>
      <c r="M245" s="5"/>
      <c r="N245" s="1" t="e">
        <f>IF(#REF!="Ja",VLOOKUP(A245,'[1]ZArtefakte aus Listen'!A:B,2,0),"")</f>
        <v>#REF!</v>
      </c>
      <c r="Q245" s="1" t="e">
        <f>IF(#REF!="Ja",VLOOKUP(A245,'[1]ZArtefakte aus Listen'!A:D,4,0),"")</f>
        <v>#REF!</v>
      </c>
    </row>
    <row r="246" spans="1:17" ht="12.6" hidden="1">
      <c r="A246" s="1" t="s">
        <v>539</v>
      </c>
      <c r="B246" s="1" t="str">
        <f>VLOOKUP(A246,'Z-Programme'!$A$2:$A$650,1,FALSE)</f>
        <v>ZFI_GAUABR</v>
      </c>
      <c r="C246" s="1" t="s">
        <v>540</v>
      </c>
      <c r="D246" s="1" t="s">
        <v>1533</v>
      </c>
      <c r="E246" s="1" t="s">
        <v>1534</v>
      </c>
      <c r="F246" s="1" t="s">
        <v>1544</v>
      </c>
      <c r="J246" s="5" t="s">
        <v>1536</v>
      </c>
      <c r="K246" s="1" t="s">
        <v>1537</v>
      </c>
      <c r="L246" s="1" t="s">
        <v>1678</v>
      </c>
      <c r="N246" s="1" t="e">
        <f>IF(#REF!="Ja",VLOOKUP(A246,'[1]ZArtefakte aus Listen'!A:B,2,0),"")</f>
        <v>#REF!</v>
      </c>
    </row>
    <row r="247" spans="1:17" ht="12.6" hidden="1">
      <c r="A247" s="8" t="s">
        <v>541</v>
      </c>
      <c r="B247" s="1" t="str">
        <f>VLOOKUP(A247,'Z-Programme'!$A$2:$A$650,1,FALSE)</f>
        <v>ZFI_GLT3_AUSWERTUNG</v>
      </c>
      <c r="C247" s="1" t="s">
        <v>542</v>
      </c>
      <c r="D247" s="1" t="s">
        <v>1533</v>
      </c>
      <c r="E247" s="1" t="s">
        <v>1540</v>
      </c>
      <c r="F247" s="1" t="s">
        <v>1629</v>
      </c>
      <c r="J247" s="5" t="s">
        <v>1536</v>
      </c>
      <c r="K247" s="1" t="s">
        <v>1542</v>
      </c>
      <c r="L247" s="1" t="s">
        <v>1679</v>
      </c>
      <c r="N247" s="1" t="e">
        <f>IF(#REF!="Ja",VLOOKUP(A247,'[1]ZArtefakte aus Listen'!A:B,2,0),"")</f>
        <v>#REF!</v>
      </c>
      <c r="Q247" s="1" t="e">
        <f>IF(#REF!="Ja",VLOOKUP(A247,'[1]ZArtefakte aus Listen'!A:D,4,0),"")</f>
        <v>#REF!</v>
      </c>
    </row>
    <row r="248" spans="1:17" ht="12.6" hidden="1">
      <c r="A248" s="1" t="s">
        <v>543</v>
      </c>
      <c r="B248" s="1" t="str">
        <f>VLOOKUP(A248,'Z-Programme'!$A$2:$A$650,1,FALSE)</f>
        <v>ZFI_GLT3_DELETE</v>
      </c>
      <c r="C248" s="1" t="s">
        <v>544</v>
      </c>
      <c r="D248" s="1" t="s">
        <v>1533</v>
      </c>
      <c r="E248" s="1" t="s">
        <v>1534</v>
      </c>
      <c r="F248" s="1" t="s">
        <v>1544</v>
      </c>
      <c r="J248" s="5" t="s">
        <v>1536</v>
      </c>
      <c r="K248" s="1" t="s">
        <v>1537</v>
      </c>
      <c r="L248" s="1" t="s">
        <v>1611</v>
      </c>
      <c r="N248" s="1" t="e">
        <f>IF(#REF!="Ja",VLOOKUP(A248,'[1]ZArtefakte aus Listen'!A:B,2,0),"")</f>
        <v>#REF!</v>
      </c>
    </row>
    <row r="249" spans="1:17" ht="12.6" hidden="1">
      <c r="A249" s="1" t="s">
        <v>545</v>
      </c>
      <c r="B249" s="1" t="str">
        <f>VLOOKUP(A249,'Z-Programme'!$A$2:$A$650,1,FALSE)</f>
        <v>ZFI_HEORE1</v>
      </c>
      <c r="C249" s="1" t="s">
        <v>546</v>
      </c>
      <c r="D249" s="1" t="s">
        <v>1533</v>
      </c>
      <c r="E249" s="1" t="s">
        <v>1534</v>
      </c>
      <c r="F249" s="1" t="s">
        <v>1544</v>
      </c>
      <c r="J249" s="5" t="s">
        <v>1536</v>
      </c>
      <c r="K249" s="1" t="s">
        <v>1537</v>
      </c>
      <c r="L249" s="1" t="s">
        <v>1664</v>
      </c>
      <c r="N249" s="1" t="e">
        <f>IF(#REF!="Ja",VLOOKUP(A249,'[1]ZArtefakte aus Listen'!A:B,2,0),"")</f>
        <v>#REF!</v>
      </c>
    </row>
    <row r="250" spans="1:17" ht="12.6" hidden="1">
      <c r="A250" s="1" t="s">
        <v>547</v>
      </c>
      <c r="B250" s="1" t="str">
        <f>VLOOKUP(A250,'Z-Programme'!$A$2:$A$650,1,FALSE)</f>
        <v>ZFI_HEPRIS</v>
      </c>
      <c r="C250" s="1" t="s">
        <v>548</v>
      </c>
      <c r="D250" s="1" t="s">
        <v>1533</v>
      </c>
      <c r="E250" s="1" t="s">
        <v>1534</v>
      </c>
      <c r="F250" s="1" t="s">
        <v>1544</v>
      </c>
      <c r="J250" s="5" t="s">
        <v>1536</v>
      </c>
      <c r="K250" s="1" t="s">
        <v>1537</v>
      </c>
      <c r="L250" s="1" t="s">
        <v>1680</v>
      </c>
      <c r="N250" s="1" t="e">
        <f>IF(#REF!="Ja",VLOOKUP(A250,'[1]ZArtefakte aus Listen'!A:B,2,0),"")</f>
        <v>#REF!</v>
      </c>
    </row>
    <row r="251" spans="1:17" ht="12.6" hidden="1">
      <c r="A251" s="1" t="s">
        <v>549</v>
      </c>
      <c r="B251" s="1" t="str">
        <f>VLOOKUP(A251,'Z-Programme'!$A$2:$A$650,1,FALSE)</f>
        <v>ZFI_HEPRIS_R3</v>
      </c>
      <c r="C251" s="1" t="s">
        <v>548</v>
      </c>
      <c r="D251" s="1" t="s">
        <v>1533</v>
      </c>
      <c r="E251" s="1" t="s">
        <v>1534</v>
      </c>
      <c r="F251" s="1" t="s">
        <v>1544</v>
      </c>
      <c r="J251" s="5" t="s">
        <v>1536</v>
      </c>
      <c r="K251" s="1" t="s">
        <v>1537</v>
      </c>
      <c r="L251" s="1" t="s">
        <v>1680</v>
      </c>
      <c r="N251" s="1" t="e">
        <f>IF(#REF!="Ja",VLOOKUP(A251,'[1]ZArtefakte aus Listen'!A:B,2,0),"")</f>
        <v>#REF!</v>
      </c>
    </row>
    <row r="252" spans="1:17" ht="12.6" hidden="1">
      <c r="A252" s="1" t="s">
        <v>550</v>
      </c>
      <c r="B252" s="1" t="str">
        <f>VLOOKUP(A252,'Z-Programme'!$A$2:$A$650,1,FALSE)</f>
        <v>ZFI_HFP057</v>
      </c>
      <c r="C252" s="1" t="s">
        <v>552</v>
      </c>
      <c r="D252" s="1" t="s">
        <v>1533</v>
      </c>
      <c r="E252" s="1" t="s">
        <v>1633</v>
      </c>
      <c r="F252" s="1" t="s">
        <v>1549</v>
      </c>
      <c r="G252" s="1" t="s">
        <v>1572</v>
      </c>
      <c r="K252" s="58" t="s">
        <v>1573</v>
      </c>
      <c r="N252" s="1" t="e">
        <f>IF(#REF!="Ja",VLOOKUP(A252,'[1]ZArtefakte aus Listen'!A:B,2,0),"")</f>
        <v>#REF!</v>
      </c>
      <c r="P252" s="58"/>
      <c r="Q252" s="1" t="e">
        <f>IF(#REF!="Ja",VLOOKUP(A252,'[1]ZArtefakte aus Listen'!A:D,4,0),"")</f>
        <v>#REF!</v>
      </c>
    </row>
    <row r="253" spans="1:17" ht="12.6" hidden="1">
      <c r="A253" s="1" t="s">
        <v>553</v>
      </c>
      <c r="B253" s="1" t="str">
        <f>VLOOKUP(A253,'Z-Programme'!$A$2:$A$650,1,FALSE)</f>
        <v>ZFI_INKASSO</v>
      </c>
      <c r="C253" s="1" t="s">
        <v>555</v>
      </c>
      <c r="D253" s="1" t="s">
        <v>1533</v>
      </c>
      <c r="E253" s="1" t="s">
        <v>1558</v>
      </c>
      <c r="F253" s="1" t="s">
        <v>1549</v>
      </c>
      <c r="G253" s="1" t="s">
        <v>1681</v>
      </c>
      <c r="K253" s="58" t="s">
        <v>1573</v>
      </c>
      <c r="N253" s="1" t="e">
        <f>IF(#REF!="Ja",VLOOKUP(A253,'[1]ZArtefakte aus Listen'!A:B,2,0),"")</f>
        <v>#REF!</v>
      </c>
      <c r="P253" s="58"/>
      <c r="Q253" s="1" t="e">
        <f>IF(#REF!="Ja",VLOOKUP(A253,'[1]ZArtefakte aus Listen'!A:D,4,0),"")</f>
        <v>#REF!</v>
      </c>
    </row>
    <row r="254" spans="1:17" ht="12.6" hidden="1">
      <c r="A254" s="1" t="s">
        <v>556</v>
      </c>
      <c r="B254" s="1" t="str">
        <f>VLOOKUP(A254,'Z-Programme'!$A$2:$A$650,1,FALSE)</f>
        <v>ZFI_INKASSO_EOS</v>
      </c>
      <c r="C254" s="1" t="s">
        <v>555</v>
      </c>
      <c r="D254" s="1" t="s">
        <v>1533</v>
      </c>
      <c r="E254" s="1" t="s">
        <v>1558</v>
      </c>
      <c r="F254" s="1" t="s">
        <v>1682</v>
      </c>
      <c r="J254" s="5" t="s">
        <v>1536</v>
      </c>
      <c r="K254" s="1" t="s">
        <v>1542</v>
      </c>
      <c r="L254" s="1" t="s">
        <v>1683</v>
      </c>
      <c r="M254" s="5" t="s">
        <v>1536</v>
      </c>
      <c r="N254" s="1" t="e">
        <f>IF(#REF!="Ja",VLOOKUP(A254,'[1]ZArtefakte aus Listen'!A:B,2,0),"")</f>
        <v>#REF!</v>
      </c>
      <c r="Q254" s="1" t="e">
        <f>IF(#REF!="Ja",VLOOKUP(A254,'[1]ZArtefakte aus Listen'!A:D,4,0),"")</f>
        <v>#REF!</v>
      </c>
    </row>
    <row r="255" spans="1:17" ht="12.6" hidden="1">
      <c r="A255" s="1" t="s">
        <v>558</v>
      </c>
      <c r="B255" s="1" t="str">
        <f>VLOOKUP(A255,'Z-Programme'!$A$2:$A$650,1,FALSE)</f>
        <v>ZFI_INKO_COCKPIT</v>
      </c>
      <c r="C255" s="1" t="s">
        <v>559</v>
      </c>
      <c r="D255" s="1" t="s">
        <v>1533</v>
      </c>
      <c r="E255" s="1" t="s">
        <v>1558</v>
      </c>
      <c r="F255" s="1" t="s">
        <v>1549</v>
      </c>
      <c r="G255" s="1" t="s">
        <v>1684</v>
      </c>
      <c r="K255" s="58" t="s">
        <v>1573</v>
      </c>
      <c r="N255" s="1" t="e">
        <f>IF(#REF!="Ja",VLOOKUP(A255,'[1]ZArtefakte aus Listen'!A:B,2,0),"")</f>
        <v>#REF!</v>
      </c>
      <c r="P255" s="58"/>
      <c r="Q255" s="1" t="e">
        <f>IF(#REF!="Ja",VLOOKUP(A255,'[1]ZArtefakte aus Listen'!A:D,4,0),"")</f>
        <v>#REF!</v>
      </c>
    </row>
    <row r="256" spans="1:17" ht="12.6" hidden="1">
      <c r="A256" s="1" t="s">
        <v>560</v>
      </c>
      <c r="B256" s="1" t="str">
        <f>VLOOKUP(A256,'Z-Programme'!$A$2:$A$650,1,FALSE)</f>
        <v>ZFI_INKO_COCKPIT_KORREKTUR</v>
      </c>
      <c r="C256" s="1" t="s">
        <v>561</v>
      </c>
      <c r="D256" s="1" t="s">
        <v>1533</v>
      </c>
      <c r="E256" s="1" t="s">
        <v>1558</v>
      </c>
      <c r="F256" s="1" t="s">
        <v>1549</v>
      </c>
      <c r="G256" s="1" t="s">
        <v>1684</v>
      </c>
      <c r="K256" s="58" t="s">
        <v>1573</v>
      </c>
      <c r="N256" s="1" t="e">
        <f>IF(#REF!="Ja",VLOOKUP(A256,'[1]ZArtefakte aus Listen'!A:B,2,0),"")</f>
        <v>#REF!</v>
      </c>
      <c r="P256" s="58"/>
      <c r="Q256" s="1" t="e">
        <f>IF(#REF!="Ja",VLOOKUP(A256,'[1]ZArtefakte aus Listen'!A:D,4,0),"")</f>
        <v>#REF!</v>
      </c>
    </row>
    <row r="257" spans="1:17" ht="12.6" hidden="1">
      <c r="A257" s="1" t="s">
        <v>562</v>
      </c>
      <c r="B257" s="1" t="str">
        <f>VLOOKUP(A257,'Z-Programme'!$A$2:$A$650,1,FALSE)</f>
        <v>ZFI_INKO_ZAHLUNG</v>
      </c>
      <c r="C257" s="1" t="s">
        <v>564</v>
      </c>
      <c r="D257" s="1" t="s">
        <v>1533</v>
      </c>
      <c r="E257" s="1" t="s">
        <v>1558</v>
      </c>
      <c r="F257" s="1" t="s">
        <v>1549</v>
      </c>
      <c r="G257" s="1" t="s">
        <v>1685</v>
      </c>
      <c r="K257" s="58" t="s">
        <v>1573</v>
      </c>
      <c r="N257" s="1" t="e">
        <f>IF(#REF!="Ja",VLOOKUP(A257,'[1]ZArtefakte aus Listen'!A:B,2,0),"")</f>
        <v>#REF!</v>
      </c>
      <c r="P257" s="58"/>
      <c r="Q257" s="1" t="e">
        <f>IF(#REF!="Ja",VLOOKUP(A257,'[1]ZArtefakte aus Listen'!A:D,4,0),"")</f>
        <v>#REF!</v>
      </c>
    </row>
    <row r="258" spans="1:17" ht="12.6" hidden="1">
      <c r="A258" s="1" t="s">
        <v>565</v>
      </c>
      <c r="B258" s="1" t="str">
        <f>VLOOKUP(A258,'Z-Programme'!$A$2:$A$650,1,FALSE)</f>
        <v>ZFI_INKO_ZAHLUNG_EOS</v>
      </c>
      <c r="C258" s="1" t="s">
        <v>566</v>
      </c>
      <c r="D258" s="1" t="s">
        <v>1533</v>
      </c>
      <c r="E258" s="1" t="s">
        <v>1558</v>
      </c>
      <c r="F258" s="1" t="s">
        <v>1682</v>
      </c>
      <c r="J258" s="5" t="s">
        <v>1536</v>
      </c>
      <c r="K258" s="1" t="s">
        <v>1542</v>
      </c>
      <c r="L258" s="1" t="s">
        <v>1683</v>
      </c>
      <c r="M258" s="5" t="s">
        <v>1536</v>
      </c>
      <c r="N258" s="1" t="e">
        <f>IF(#REF!="Ja",VLOOKUP(A258,'[1]ZArtefakte aus Listen'!A:B,2,0),"")</f>
        <v>#REF!</v>
      </c>
      <c r="Q258" s="1" t="e">
        <f>IF(#REF!="Ja",VLOOKUP(A258,'[1]ZArtefakte aus Listen'!A:D,4,0),"")</f>
        <v>#REF!</v>
      </c>
    </row>
    <row r="259" spans="1:17" ht="12.6" hidden="1">
      <c r="A259" s="1" t="s">
        <v>567</v>
      </c>
      <c r="B259" s="1" t="str">
        <f>VLOOKUP(A259,'Z-Programme'!$A$2:$A$650,1,FALSE)</f>
        <v>ZFI_INKO00</v>
      </c>
      <c r="C259" s="1" t="s">
        <v>569</v>
      </c>
      <c r="D259" s="1" t="s">
        <v>1533</v>
      </c>
      <c r="E259" s="1" t="s">
        <v>1558</v>
      </c>
      <c r="F259" s="1" t="s">
        <v>1549</v>
      </c>
      <c r="G259" s="1" t="s">
        <v>1686</v>
      </c>
      <c r="K259" s="58" t="s">
        <v>1573</v>
      </c>
      <c r="N259" s="1" t="e">
        <f>IF(#REF!="Ja",VLOOKUP(A259,'[1]ZArtefakte aus Listen'!A:B,2,0),"")</f>
        <v>#REF!</v>
      </c>
      <c r="P259" s="58"/>
      <c r="Q259" s="1" t="e">
        <f>IF(#REF!="Ja",VLOOKUP(A259,'[1]ZArtefakte aus Listen'!A:D,4,0),"")</f>
        <v>#REF!</v>
      </c>
    </row>
    <row r="260" spans="1:17" ht="12.6" hidden="1">
      <c r="A260" s="1" t="s">
        <v>570</v>
      </c>
      <c r="B260" s="1" t="str">
        <f>VLOOKUP(A260,'Z-Programme'!$A$2:$A$650,1,FALSE)</f>
        <v>ZFI_INKO00_EOS</v>
      </c>
      <c r="C260" s="1" t="s">
        <v>571</v>
      </c>
      <c r="D260" s="1" t="s">
        <v>1533</v>
      </c>
      <c r="E260" s="1" t="s">
        <v>1558</v>
      </c>
      <c r="F260" s="1" t="s">
        <v>1682</v>
      </c>
      <c r="J260" s="5" t="s">
        <v>1536</v>
      </c>
      <c r="K260" s="1" t="s">
        <v>1542</v>
      </c>
      <c r="L260" s="1" t="s">
        <v>1683</v>
      </c>
      <c r="M260" s="5" t="s">
        <v>1536</v>
      </c>
      <c r="N260" s="1" t="e">
        <f>IF(#REF!="Ja",VLOOKUP(A260,'[1]ZArtefakte aus Listen'!A:B,2,0),"")</f>
        <v>#REF!</v>
      </c>
      <c r="Q260" s="1" t="e">
        <f>IF(#REF!="Ja",VLOOKUP(A260,'[1]ZArtefakte aus Listen'!A:D,4,0),"")</f>
        <v>#REF!</v>
      </c>
    </row>
    <row r="261" spans="1:17" ht="12.6" hidden="1">
      <c r="A261" s="1" t="s">
        <v>572</v>
      </c>
      <c r="B261" s="1" t="str">
        <f>VLOOKUP(A261,'Z-Programme'!$A$2:$A$650,1,FALSE)</f>
        <v>ZFI_INKO03</v>
      </c>
      <c r="C261" s="1" t="s">
        <v>573</v>
      </c>
      <c r="D261" s="1" t="s">
        <v>1533</v>
      </c>
      <c r="E261" s="1" t="s">
        <v>1558</v>
      </c>
      <c r="F261" s="1" t="s">
        <v>1549</v>
      </c>
      <c r="G261" s="1" t="s">
        <v>1686</v>
      </c>
      <c r="K261" s="58" t="s">
        <v>1573</v>
      </c>
      <c r="N261" s="1" t="e">
        <f>IF(#REF!="Ja",VLOOKUP(A261,'[1]ZArtefakte aus Listen'!A:B,2,0),"")</f>
        <v>#REF!</v>
      </c>
      <c r="P261" s="58"/>
      <c r="Q261" s="1" t="e">
        <f>IF(#REF!="Ja",VLOOKUP(A261,'[1]ZArtefakte aus Listen'!A:D,4,0),"")</f>
        <v>#REF!</v>
      </c>
    </row>
    <row r="262" spans="1:17" ht="12.6" hidden="1">
      <c r="A262" s="1" t="s">
        <v>574</v>
      </c>
      <c r="B262" s="1" t="str">
        <f>VLOOKUP(A262,'Z-Programme'!$A$2:$A$650,1,FALSE)</f>
        <v>ZFI_INKO03_EOS</v>
      </c>
      <c r="C262" s="1" t="s">
        <v>575</v>
      </c>
      <c r="D262" s="1" t="s">
        <v>1533</v>
      </c>
      <c r="E262" s="1" t="s">
        <v>1558</v>
      </c>
      <c r="F262" s="1" t="s">
        <v>1682</v>
      </c>
      <c r="J262" s="5" t="s">
        <v>1536</v>
      </c>
      <c r="K262" s="1" t="s">
        <v>1542</v>
      </c>
      <c r="L262" s="1" t="s">
        <v>1683</v>
      </c>
      <c r="M262" s="5" t="s">
        <v>1536</v>
      </c>
      <c r="N262" s="1" t="e">
        <f>IF(#REF!="Ja",VLOOKUP(A262,'[1]ZArtefakte aus Listen'!A:B,2,0),"")</f>
        <v>#REF!</v>
      </c>
      <c r="Q262" s="1" t="e">
        <f>IF(#REF!="Ja",VLOOKUP(A262,'[1]ZArtefakte aus Listen'!A:D,4,0),"")</f>
        <v>#REF!</v>
      </c>
    </row>
    <row r="263" spans="1:17" ht="12.6" hidden="1">
      <c r="A263" s="1" t="s">
        <v>576</v>
      </c>
      <c r="B263" s="1" t="str">
        <f>VLOOKUP(A263,'Z-Programme'!$A$2:$A$650,1,FALSE)</f>
        <v>ZFI_INKO04</v>
      </c>
      <c r="C263" s="1" t="s">
        <v>577</v>
      </c>
      <c r="D263" s="1" t="s">
        <v>1533</v>
      </c>
      <c r="E263" s="1" t="s">
        <v>1558</v>
      </c>
      <c r="F263" s="1" t="s">
        <v>1549</v>
      </c>
      <c r="G263" s="1" t="s">
        <v>1686</v>
      </c>
      <c r="K263" s="58" t="s">
        <v>1573</v>
      </c>
      <c r="N263" s="1" t="e">
        <f>IF(#REF!="Ja",VLOOKUP(A263,'[1]ZArtefakte aus Listen'!A:B,2,0),"")</f>
        <v>#REF!</v>
      </c>
      <c r="P263" s="58"/>
      <c r="Q263" s="1" t="e">
        <f>IF(#REF!="Ja",VLOOKUP(A263,'[1]ZArtefakte aus Listen'!A:D,4,0),"")</f>
        <v>#REF!</v>
      </c>
    </row>
    <row r="264" spans="1:17" ht="12.6" hidden="1">
      <c r="A264" s="1" t="s">
        <v>578</v>
      </c>
      <c r="B264" s="1" t="str">
        <f>VLOOKUP(A264,'Z-Programme'!$A$2:$A$650,1,FALSE)</f>
        <v>ZFI_INKO04_EOS</v>
      </c>
      <c r="C264" s="1" t="s">
        <v>577</v>
      </c>
      <c r="D264" s="1" t="s">
        <v>1533</v>
      </c>
      <c r="E264" s="1" t="s">
        <v>1558</v>
      </c>
      <c r="F264" s="1" t="s">
        <v>1682</v>
      </c>
      <c r="J264" s="5" t="s">
        <v>1536</v>
      </c>
      <c r="K264" s="1" t="s">
        <v>1542</v>
      </c>
      <c r="L264" s="1" t="s">
        <v>1683</v>
      </c>
      <c r="M264" s="5" t="s">
        <v>1536</v>
      </c>
      <c r="N264" s="1" t="e">
        <f>IF(#REF!="Ja",VLOOKUP(A264,'[1]ZArtefakte aus Listen'!A:B,2,0),"")</f>
        <v>#REF!</v>
      </c>
      <c r="Q264" s="1" t="e">
        <f>IF(#REF!="Ja",VLOOKUP(A264,'[1]ZArtefakte aus Listen'!A:D,4,0),"")</f>
        <v>#REF!</v>
      </c>
    </row>
    <row r="265" spans="1:17" ht="12.6" hidden="1">
      <c r="A265" s="1" t="s">
        <v>579</v>
      </c>
      <c r="B265" s="1" t="str">
        <f>VLOOKUP(A265,'Z-Programme'!$A$2:$A$650,1,FALSE)</f>
        <v>ZFI_INKO05</v>
      </c>
      <c r="C265" s="1" t="s">
        <v>580</v>
      </c>
      <c r="D265" s="1" t="s">
        <v>1533</v>
      </c>
      <c r="E265" s="1" t="s">
        <v>1558</v>
      </c>
      <c r="F265" s="1" t="s">
        <v>1549</v>
      </c>
      <c r="G265" s="1" t="s">
        <v>1686</v>
      </c>
      <c r="K265" s="58" t="s">
        <v>1573</v>
      </c>
      <c r="N265" s="1" t="e">
        <f>IF(#REF!="Ja",VLOOKUP(A265,'[1]ZArtefakte aus Listen'!A:B,2,0),"")</f>
        <v>#REF!</v>
      </c>
      <c r="P265" s="58"/>
      <c r="Q265" s="1" t="e">
        <f>IF(#REF!="Ja",VLOOKUP(A265,'[1]ZArtefakte aus Listen'!A:D,4,0),"")</f>
        <v>#REF!</v>
      </c>
    </row>
    <row r="266" spans="1:17" ht="12.6" hidden="1">
      <c r="A266" s="1" t="s">
        <v>581</v>
      </c>
      <c r="B266" s="1" t="str">
        <f>VLOOKUP(A266,'Z-Programme'!$A$2:$A$650,1,FALSE)</f>
        <v>ZFI_INKO05_EOS</v>
      </c>
      <c r="C266" s="1" t="s">
        <v>580</v>
      </c>
      <c r="D266" s="1" t="s">
        <v>1533</v>
      </c>
      <c r="E266" s="1" t="s">
        <v>1558</v>
      </c>
      <c r="F266" s="1" t="s">
        <v>1682</v>
      </c>
      <c r="J266" s="5" t="s">
        <v>1536</v>
      </c>
      <c r="K266" s="1" t="s">
        <v>1542</v>
      </c>
      <c r="L266" s="1" t="s">
        <v>1683</v>
      </c>
      <c r="M266" s="5" t="s">
        <v>1536</v>
      </c>
      <c r="N266" s="1" t="e">
        <f>IF(#REF!="Ja",VLOOKUP(A266,'[1]ZArtefakte aus Listen'!A:B,2,0),"")</f>
        <v>#REF!</v>
      </c>
      <c r="Q266" s="1" t="e">
        <f>IF(#REF!="Ja",VLOOKUP(A266,'[1]ZArtefakte aus Listen'!A:D,4,0),"")</f>
        <v>#REF!</v>
      </c>
    </row>
    <row r="267" spans="1:17" ht="12.6" hidden="1">
      <c r="A267" s="1" t="s">
        <v>582</v>
      </c>
      <c r="B267" s="1" t="str">
        <f>VLOOKUP(A267,'Z-Programme'!$A$2:$A$650,1,FALSE)</f>
        <v>ZFI_INTCOMP_VERDICHT</v>
      </c>
      <c r="C267" s="1" t="s">
        <v>583</v>
      </c>
      <c r="D267" s="1" t="s">
        <v>1533</v>
      </c>
      <c r="E267" s="1" t="s">
        <v>1534</v>
      </c>
      <c r="F267" s="1" t="s">
        <v>1544</v>
      </c>
      <c r="J267" s="5" t="s">
        <v>1536</v>
      </c>
      <c r="K267" s="1" t="s">
        <v>1537</v>
      </c>
      <c r="L267" s="1" t="s">
        <v>1611</v>
      </c>
      <c r="N267" s="1" t="e">
        <f>IF(#REF!="Ja",VLOOKUP(A267,'[1]ZArtefakte aus Listen'!A:B,2,0),"")</f>
        <v>#REF!</v>
      </c>
    </row>
    <row r="268" spans="1:17" ht="12.6" hidden="1">
      <c r="A268" s="1" t="s">
        <v>584</v>
      </c>
      <c r="B268" s="1" t="str">
        <f>VLOOKUP(A268,'Z-Programme'!$A$2:$A$650,1,FALSE)</f>
        <v>ZFI_IVAN_AI_DUPL</v>
      </c>
      <c r="C268" s="1" t="s">
        <v>585</v>
      </c>
      <c r="D268" s="1" t="s">
        <v>1533</v>
      </c>
      <c r="E268" s="1" t="s">
        <v>1534</v>
      </c>
      <c r="F268" s="1" t="s">
        <v>1544</v>
      </c>
      <c r="J268" s="5" t="s">
        <v>1536</v>
      </c>
      <c r="K268" s="1" t="s">
        <v>1537</v>
      </c>
      <c r="L268" s="1" t="s">
        <v>1628</v>
      </c>
      <c r="N268" s="1" t="e">
        <f>IF(#REF!="Ja",VLOOKUP(A268,'[1]ZArtefakte aus Listen'!A:B,2,0),"")</f>
        <v>#REF!</v>
      </c>
    </row>
    <row r="269" spans="1:17" ht="12.6" hidden="1">
      <c r="A269" s="1" t="s">
        <v>586</v>
      </c>
      <c r="B269" s="1" t="str">
        <f>VLOOKUP(A269,'Z-Programme'!$A$2:$A$650,1,FALSE)</f>
        <v>ZFI_IVAN_TABCHECK</v>
      </c>
      <c r="C269" s="1" t="s">
        <v>587</v>
      </c>
      <c r="D269" s="1" t="s">
        <v>1533</v>
      </c>
      <c r="E269" s="1" t="s">
        <v>1534</v>
      </c>
      <c r="F269" s="1" t="s">
        <v>1544</v>
      </c>
      <c r="J269" s="5" t="s">
        <v>1536</v>
      </c>
      <c r="K269" s="1" t="s">
        <v>1537</v>
      </c>
      <c r="L269" s="1" t="s">
        <v>1628</v>
      </c>
      <c r="N269" s="1" t="e">
        <f>IF(#REF!="Ja",VLOOKUP(A269,'[1]ZArtefakte aus Listen'!A:B,2,0),"")</f>
        <v>#REF!</v>
      </c>
    </row>
    <row r="270" spans="1:17" ht="12.6" hidden="1">
      <c r="A270" s="1" t="s">
        <v>588</v>
      </c>
      <c r="B270" s="1" t="str">
        <f>VLOOKUP(A270,'Z-Programme'!$A$2:$A$650,1,FALSE)</f>
        <v>ZFI_IVAN_UMB</v>
      </c>
      <c r="C270" s="1" t="s">
        <v>590</v>
      </c>
      <c r="D270" s="1" t="s">
        <v>1533</v>
      </c>
      <c r="E270" s="1" t="s">
        <v>1660</v>
      </c>
      <c r="F270" s="1" t="s">
        <v>1549</v>
      </c>
      <c r="J270" s="5" t="s">
        <v>1536</v>
      </c>
      <c r="K270" s="1" t="s">
        <v>1662</v>
      </c>
      <c r="L270" s="1" t="s">
        <v>1663</v>
      </c>
      <c r="N270" s="1" t="e">
        <f>IF(#REF!="Ja",VLOOKUP(A270,'[1]ZArtefakte aus Listen'!A:B,2,0),"")</f>
        <v>#REF!</v>
      </c>
    </row>
    <row r="271" spans="1:17" ht="12.6" hidden="1">
      <c r="A271" s="1" t="s">
        <v>591</v>
      </c>
      <c r="B271" s="1" t="str">
        <f>VLOOKUP(A271,'Z-Programme'!$A$2:$A$650,1,FALSE)</f>
        <v>ZFI_IVAN00</v>
      </c>
      <c r="C271" s="1" t="s">
        <v>592</v>
      </c>
      <c r="D271" s="1" t="s">
        <v>1533</v>
      </c>
      <c r="E271" s="1" t="s">
        <v>1660</v>
      </c>
      <c r="F271" s="1" t="s">
        <v>1549</v>
      </c>
      <c r="J271" s="5" t="s">
        <v>1536</v>
      </c>
      <c r="K271" s="1" t="s">
        <v>1662</v>
      </c>
      <c r="L271" s="1" t="s">
        <v>1663</v>
      </c>
      <c r="N271" s="1" t="e">
        <f>IF(#REF!="Ja",VLOOKUP(A271,'[1]ZArtefakte aus Listen'!A:B,2,0),"")</f>
        <v>#REF!</v>
      </c>
    </row>
    <row r="272" spans="1:17" ht="12.6" hidden="1">
      <c r="A272" s="1" t="s">
        <v>593</v>
      </c>
      <c r="B272" s="1" t="str">
        <f>VLOOKUP(A272,'Z-Programme'!$A$2:$A$650,1,FALSE)</f>
        <v>ZFI_KABU01</v>
      </c>
      <c r="C272" s="1" t="s">
        <v>594</v>
      </c>
      <c r="D272" s="1" t="s">
        <v>1533</v>
      </c>
      <c r="E272" s="1" t="s">
        <v>1534</v>
      </c>
      <c r="F272" s="1" t="s">
        <v>1544</v>
      </c>
      <c r="J272" s="5" t="s">
        <v>1536</v>
      </c>
      <c r="K272" s="1" t="s">
        <v>1537</v>
      </c>
      <c r="L272" s="1" t="s">
        <v>1687</v>
      </c>
      <c r="N272" s="1" t="e">
        <f>IF(#REF!="Ja",VLOOKUP(A272,'[1]ZArtefakte aus Listen'!A:B,2,0),"")</f>
        <v>#REF!</v>
      </c>
    </row>
    <row r="273" spans="1:17" ht="12.6" hidden="1">
      <c r="A273" s="1" t="s">
        <v>595</v>
      </c>
      <c r="B273" s="1" t="str">
        <f>VLOOKUP(A273,'Z-Programme'!$A$2:$A$650,1,FALSE)</f>
        <v>ZFI_KONSOLID01</v>
      </c>
      <c r="C273" s="1" t="s">
        <v>596</v>
      </c>
      <c r="D273" s="1" t="s">
        <v>1533</v>
      </c>
      <c r="E273" s="1" t="s">
        <v>1688</v>
      </c>
      <c r="F273" s="1" t="s">
        <v>1629</v>
      </c>
      <c r="G273" s="1" t="s">
        <v>1689</v>
      </c>
      <c r="H273" s="1" t="s">
        <v>1690</v>
      </c>
      <c r="I273" s="1" t="s">
        <v>1691</v>
      </c>
      <c r="J273" s="5" t="s">
        <v>1536</v>
      </c>
      <c r="K273" s="1" t="s">
        <v>1537</v>
      </c>
      <c r="L273" s="1" t="s">
        <v>1692</v>
      </c>
      <c r="N273" s="1" t="e">
        <f>IF(#REF!="Ja",VLOOKUP(A273,'[1]ZArtefakte aus Listen'!A:B,2,0),"")</f>
        <v>#REF!</v>
      </c>
    </row>
    <row r="274" spans="1:17" ht="12.6" hidden="1">
      <c r="A274" s="1" t="s">
        <v>597</v>
      </c>
      <c r="B274" s="1" t="str">
        <f>VLOOKUP(A274,'Z-Programme'!$A$2:$A$650,1,FALSE)</f>
        <v>ZFI_KRED_EPGGKTO</v>
      </c>
      <c r="C274" s="1" t="s">
        <v>599</v>
      </c>
      <c r="D274" s="1" t="s">
        <v>1533</v>
      </c>
      <c r="E274" s="1" t="s">
        <v>1558</v>
      </c>
      <c r="F274" s="1" t="s">
        <v>1616</v>
      </c>
      <c r="G274" s="1" t="s">
        <v>1617</v>
      </c>
      <c r="K274" s="58" t="s">
        <v>1573</v>
      </c>
      <c r="N274" s="1" t="e">
        <f>IF(#REF!="Ja",VLOOKUP(A274,'[1]ZArtefakte aus Listen'!A:B,2,0),"")</f>
        <v>#REF!</v>
      </c>
      <c r="P274" s="58"/>
      <c r="Q274" s="1" t="e">
        <f>IF(#REF!="Ja",VLOOKUP(A274,'[1]ZArtefakte aus Listen'!A:D,4,0),"")</f>
        <v>#REF!</v>
      </c>
    </row>
    <row r="275" spans="1:17" ht="12.6" hidden="1">
      <c r="A275" s="1" t="s">
        <v>600</v>
      </c>
      <c r="B275" s="1" t="str">
        <f>VLOOKUP(A275,'Z-Programme'!$A$2:$A$650,1,FALSE)</f>
        <v>ZFI_KUNREGV</v>
      </c>
      <c r="C275" s="1" t="s">
        <v>601</v>
      </c>
      <c r="D275" s="1" t="s">
        <v>1533</v>
      </c>
      <c r="E275" s="1" t="s">
        <v>1534</v>
      </c>
      <c r="F275" s="1" t="s">
        <v>1544</v>
      </c>
      <c r="J275" s="5" t="s">
        <v>1536</v>
      </c>
      <c r="K275" s="1" t="s">
        <v>1537</v>
      </c>
      <c r="L275" s="1" t="s">
        <v>1611</v>
      </c>
      <c r="N275" s="1" t="e">
        <f>IF(#REF!="Ja",VLOOKUP(A275,'[1]ZArtefakte aus Listen'!A:B,2,0),"")</f>
        <v>#REF!</v>
      </c>
    </row>
    <row r="276" spans="1:17" ht="12.6" hidden="1">
      <c r="A276" s="1" t="s">
        <v>602</v>
      </c>
      <c r="B276" s="1" t="str">
        <f>VLOOKUP(A276,'Z-Programme'!$A$2:$A$650,1,FALSE)</f>
        <v>ZFI_LAEX01</v>
      </c>
      <c r="C276" s="1" t="s">
        <v>603</v>
      </c>
      <c r="D276" s="1" t="s">
        <v>1533</v>
      </c>
      <c r="E276" s="1" t="s">
        <v>1660</v>
      </c>
      <c r="F276" s="1" t="s">
        <v>1549</v>
      </c>
      <c r="J276" s="5" t="s">
        <v>1536</v>
      </c>
      <c r="K276" s="1" t="s">
        <v>1662</v>
      </c>
      <c r="L276" s="1" t="s">
        <v>1693</v>
      </c>
      <c r="N276" s="1" t="e">
        <f>IF(#REF!="Ja",VLOOKUP(A276,'[1]ZArtefakte aus Listen'!A:B,2,0),"")</f>
        <v>#REF!</v>
      </c>
    </row>
    <row r="277" spans="1:17" ht="12.6" hidden="1">
      <c r="A277" s="1" t="s">
        <v>604</v>
      </c>
      <c r="B277" s="1" t="str">
        <f>VLOOKUP(A277,'Z-Programme'!$A$2:$A$650,1,FALSE)</f>
        <v>ZFI_LAGSTA</v>
      </c>
      <c r="C277" s="1" t="s">
        <v>605</v>
      </c>
      <c r="D277" s="1" t="s">
        <v>1533</v>
      </c>
      <c r="E277" s="1" t="s">
        <v>1534</v>
      </c>
      <c r="F277" s="1" t="s">
        <v>1544</v>
      </c>
      <c r="J277" s="5" t="s">
        <v>1536</v>
      </c>
      <c r="K277" s="1" t="s">
        <v>1537</v>
      </c>
      <c r="L277" s="1" t="s">
        <v>1611</v>
      </c>
      <c r="N277" s="1" t="e">
        <f>IF(#REF!="Ja",VLOOKUP(A277,'[1]ZArtefakte aus Listen'!A:B,2,0),"")</f>
        <v>#REF!</v>
      </c>
    </row>
    <row r="278" spans="1:17" ht="12.6" hidden="1">
      <c r="A278" s="1" t="s">
        <v>606</v>
      </c>
      <c r="B278" s="1" t="str">
        <f>VLOOKUP(A278,'Z-Programme'!$A$2:$A$650,1,FALSE)</f>
        <v>ZFI_LAVA_INKASSO</v>
      </c>
      <c r="C278" s="1" t="s">
        <v>608</v>
      </c>
      <c r="D278" s="1" t="s">
        <v>1533</v>
      </c>
      <c r="E278" s="1" t="s">
        <v>1660</v>
      </c>
      <c r="F278" s="1" t="s">
        <v>1549</v>
      </c>
      <c r="J278" s="5" t="s">
        <v>1536</v>
      </c>
      <c r="K278" s="1" t="s">
        <v>1662</v>
      </c>
      <c r="L278" s="1" t="s">
        <v>1693</v>
      </c>
      <c r="N278" s="1" t="e">
        <f>IF(#REF!="Ja",VLOOKUP(A278,'[1]ZArtefakte aus Listen'!A:B,2,0),"")</f>
        <v>#REF!</v>
      </c>
    </row>
    <row r="279" spans="1:17" ht="12.6" hidden="1">
      <c r="A279" s="1" t="s">
        <v>609</v>
      </c>
      <c r="B279" s="1" t="str">
        <f>VLOOKUP(A279,'Z-Programme'!$A$2:$A$650,1,FALSE)</f>
        <v>ZFI_LAVA_RUECK</v>
      </c>
      <c r="C279" s="1" t="s">
        <v>611</v>
      </c>
      <c r="D279" s="1" t="s">
        <v>1533</v>
      </c>
      <c r="E279" s="1" t="s">
        <v>1660</v>
      </c>
      <c r="F279" s="1" t="s">
        <v>1549</v>
      </c>
      <c r="J279" s="5" t="s">
        <v>1536</v>
      </c>
      <c r="K279" s="1" t="s">
        <v>1662</v>
      </c>
      <c r="L279" s="1" t="s">
        <v>1693</v>
      </c>
      <c r="N279" s="1" t="e">
        <f>IF(#REF!="Ja",VLOOKUP(A279,'[1]ZArtefakte aus Listen'!A:B,2,0),"")</f>
        <v>#REF!</v>
      </c>
    </row>
    <row r="280" spans="1:17" ht="12.6" hidden="1">
      <c r="A280" s="1" t="s">
        <v>612</v>
      </c>
      <c r="B280" s="1" t="str">
        <f>VLOOKUP(A280,'Z-Programme'!$A$2:$A$650,1,FALSE)</f>
        <v>ZFI_LAVA01</v>
      </c>
      <c r="C280" s="1" t="s">
        <v>613</v>
      </c>
      <c r="D280" s="1" t="s">
        <v>1533</v>
      </c>
      <c r="E280" s="1" t="s">
        <v>1660</v>
      </c>
      <c r="F280" s="1" t="s">
        <v>1549</v>
      </c>
      <c r="J280" s="5" t="s">
        <v>1536</v>
      </c>
      <c r="K280" s="1" t="s">
        <v>1662</v>
      </c>
      <c r="L280" s="1" t="s">
        <v>1693</v>
      </c>
      <c r="N280" s="1" t="e">
        <f>IF(#REF!="Ja",VLOOKUP(A280,'[1]ZArtefakte aus Listen'!A:B,2,0),"")</f>
        <v>#REF!</v>
      </c>
    </row>
    <row r="281" spans="1:17" ht="12.6" hidden="1">
      <c r="A281" s="1" t="s">
        <v>614</v>
      </c>
      <c r="B281" s="1" t="str">
        <f>VLOOKUP(A281,'Z-Programme'!$A$2:$A$650,1,FALSE)</f>
        <v>ZFI_LIDE_DOP</v>
      </c>
      <c r="C281" s="1" t="s">
        <v>615</v>
      </c>
      <c r="D281" s="1" t="s">
        <v>1533</v>
      </c>
      <c r="E281" s="1" t="s">
        <v>1534</v>
      </c>
      <c r="F281" s="1" t="s">
        <v>1544</v>
      </c>
      <c r="J281" s="5" t="s">
        <v>1536</v>
      </c>
      <c r="K281" s="1" t="s">
        <v>1537</v>
      </c>
      <c r="L281" s="1" t="s">
        <v>1694</v>
      </c>
      <c r="N281" s="1" t="e">
        <f>IF(#REF!="Ja",VLOOKUP(A281,'[1]ZArtefakte aus Listen'!A:B,2,0),"")</f>
        <v>#REF!</v>
      </c>
    </row>
    <row r="282" spans="1:17" ht="12.6" hidden="1">
      <c r="A282" s="1" t="s">
        <v>616</v>
      </c>
      <c r="B282" s="1" t="str">
        <f>VLOOKUP(A282,'Z-Programme'!$A$2:$A$650,1,FALSE)</f>
        <v>ZFI_LIQUI_ARCHIV</v>
      </c>
      <c r="C282" s="1" t="s">
        <v>618</v>
      </c>
      <c r="D282" s="1" t="s">
        <v>1533</v>
      </c>
      <c r="E282" s="1" t="s">
        <v>1695</v>
      </c>
      <c r="F282" s="1" t="s">
        <v>1493</v>
      </c>
      <c r="J282" s="5" t="s">
        <v>1536</v>
      </c>
      <c r="K282" s="1" t="s">
        <v>1614</v>
      </c>
      <c r="L282" s="1" t="s">
        <v>1696</v>
      </c>
      <c r="N282" s="1" t="e">
        <f>IF(#REF!="Ja",VLOOKUP(A282,'[1]ZArtefakte aus Listen'!A:B,2,0),"")</f>
        <v>#REF!</v>
      </c>
    </row>
    <row r="283" spans="1:17" ht="12.6" hidden="1">
      <c r="A283" s="1" t="s">
        <v>619</v>
      </c>
      <c r="B283" s="1" t="str">
        <f>VLOOKUP(A283,'Z-Programme'!$A$2:$A$650,1,FALSE)</f>
        <v>ZFI_LIQUI_ARCHIV_KONTEN</v>
      </c>
      <c r="C283" s="1" t="s">
        <v>620</v>
      </c>
      <c r="D283" s="1" t="s">
        <v>1533</v>
      </c>
      <c r="E283" s="1" t="s">
        <v>1695</v>
      </c>
      <c r="F283" s="1" t="s">
        <v>1493</v>
      </c>
      <c r="J283" s="5" t="s">
        <v>1536</v>
      </c>
      <c r="K283" s="1" t="s">
        <v>1614</v>
      </c>
      <c r="L283" s="1" t="s">
        <v>1696</v>
      </c>
      <c r="N283" s="1" t="e">
        <f>IF(#REF!="Ja",VLOOKUP(A283,'[1]ZArtefakte aus Listen'!A:B,2,0),"")</f>
        <v>#REF!</v>
      </c>
    </row>
    <row r="284" spans="1:17" ht="12.6" hidden="1">
      <c r="A284" s="1" t="s">
        <v>621</v>
      </c>
      <c r="B284" s="1" t="str">
        <f>VLOOKUP(A284,'Z-Programme'!$A$2:$A$650,1,FALSE)</f>
        <v>ZFI_LIQUI_MANUELL_UPDATE</v>
      </c>
      <c r="C284" s="1" t="s">
        <v>622</v>
      </c>
      <c r="D284" s="1" t="s">
        <v>1533</v>
      </c>
      <c r="E284" s="1" t="s">
        <v>1695</v>
      </c>
      <c r="F284" s="1" t="s">
        <v>1493</v>
      </c>
      <c r="J284" s="5" t="s">
        <v>1536</v>
      </c>
      <c r="K284" s="1" t="s">
        <v>1614</v>
      </c>
      <c r="L284" s="1" t="s">
        <v>1696</v>
      </c>
      <c r="N284" s="1" t="e">
        <f>IF(#REF!="Ja",VLOOKUP(A284,'[1]ZArtefakte aus Listen'!A:B,2,0),"")</f>
        <v>#REF!</v>
      </c>
    </row>
    <row r="285" spans="1:17" ht="12.6" hidden="1">
      <c r="A285" s="1" t="s">
        <v>623</v>
      </c>
      <c r="B285" s="1" t="str">
        <f>VLOOKUP(A285,'Z-Programme'!$A$2:$A$650,1,FALSE)</f>
        <v>ZFI_LIQUI_PERFIRMA</v>
      </c>
      <c r="C285" s="1" t="s">
        <v>624</v>
      </c>
      <c r="D285" s="1" t="s">
        <v>1533</v>
      </c>
      <c r="E285" s="1" t="s">
        <v>1695</v>
      </c>
      <c r="F285" s="1" t="s">
        <v>1493</v>
      </c>
      <c r="J285" s="5" t="s">
        <v>1536</v>
      </c>
      <c r="K285" s="1" t="s">
        <v>1614</v>
      </c>
      <c r="L285" s="1" t="s">
        <v>1696</v>
      </c>
      <c r="N285" s="1" t="e">
        <f>IF(#REF!="Ja",VLOOKUP(A285,'[1]ZArtefakte aus Listen'!A:B,2,0),"")</f>
        <v>#REF!</v>
      </c>
    </row>
    <row r="286" spans="1:17" ht="12.6" hidden="1">
      <c r="A286" s="1" t="s">
        <v>625</v>
      </c>
      <c r="B286" s="1" t="str">
        <f>VLOOKUP(A286,'Z-Programme'!$A$2:$A$650,1,FALSE)</f>
        <v>ZFI_LIQUI_VALUTA_SUMMEN</v>
      </c>
      <c r="C286" s="1" t="s">
        <v>626</v>
      </c>
      <c r="D286" s="1" t="s">
        <v>1533</v>
      </c>
      <c r="E286" s="1" t="s">
        <v>1695</v>
      </c>
      <c r="F286" s="1" t="s">
        <v>1493</v>
      </c>
      <c r="J286" s="5" t="s">
        <v>1536</v>
      </c>
      <c r="K286" s="1" t="s">
        <v>1614</v>
      </c>
      <c r="L286" s="1" t="s">
        <v>1696</v>
      </c>
      <c r="N286" s="1" t="e">
        <f>IF(#REF!="Ja",VLOOKUP(A286,'[1]ZArtefakte aus Listen'!A:B,2,0),"")</f>
        <v>#REF!</v>
      </c>
    </row>
    <row r="287" spans="1:17" ht="12.6" hidden="1">
      <c r="A287" s="1" t="s">
        <v>627</v>
      </c>
      <c r="B287" s="1" t="str">
        <f>VLOOKUP(A287,'Z-Programme'!$A$2:$A$650,1,FALSE)</f>
        <v>ZFI_LIQUI_VALUTA_SUMMEN_AUFBAU</v>
      </c>
      <c r="C287" s="1" t="s">
        <v>628</v>
      </c>
      <c r="D287" s="1" t="s">
        <v>1533</v>
      </c>
      <c r="E287" s="1" t="s">
        <v>1695</v>
      </c>
      <c r="F287" s="1" t="s">
        <v>1493</v>
      </c>
      <c r="J287" s="5" t="s">
        <v>1536</v>
      </c>
      <c r="K287" s="1" t="s">
        <v>1614</v>
      </c>
      <c r="L287" s="1" t="s">
        <v>1696</v>
      </c>
      <c r="N287" s="1" t="e">
        <f>IF(#REF!="Ja",VLOOKUP(A287,'[1]ZArtefakte aus Listen'!A:B,2,0),"")</f>
        <v>#REF!</v>
      </c>
    </row>
    <row r="288" spans="1:17" ht="12.6" hidden="1">
      <c r="A288" s="1" t="s">
        <v>629</v>
      </c>
      <c r="B288" s="1" t="str">
        <f>VLOOKUP(A288,'Z-Programme'!$A$2:$A$650,1,FALSE)</f>
        <v>ZFI_LIQUIDITAET</v>
      </c>
      <c r="C288" s="1" t="s">
        <v>630</v>
      </c>
      <c r="D288" s="1" t="s">
        <v>1533</v>
      </c>
      <c r="E288" s="1" t="s">
        <v>1695</v>
      </c>
      <c r="F288" s="1" t="s">
        <v>1493</v>
      </c>
      <c r="J288" s="5" t="s">
        <v>1536</v>
      </c>
      <c r="K288" s="1" t="s">
        <v>1614</v>
      </c>
      <c r="L288" s="1" t="s">
        <v>1696</v>
      </c>
      <c r="N288" s="1" t="e">
        <f>IF(#REF!="Ja",VLOOKUP(A288,'[1]ZArtefakte aus Listen'!A:B,2,0),"")</f>
        <v>#REF!</v>
      </c>
    </row>
    <row r="289" spans="1:17" ht="12.6" hidden="1">
      <c r="A289" s="1" t="s">
        <v>631</v>
      </c>
      <c r="B289" s="1" t="str">
        <f>VLOOKUP(A289,'Z-Programme'!$A$2:$A$650,1,FALSE)</f>
        <v>ZFI_LIQUIDITAET_VALUTA_BELEGE</v>
      </c>
      <c r="C289" s="1" t="s">
        <v>632</v>
      </c>
      <c r="D289" s="1" t="s">
        <v>1533</v>
      </c>
      <c r="E289" s="1" t="s">
        <v>1695</v>
      </c>
      <c r="F289" s="1" t="s">
        <v>1493</v>
      </c>
      <c r="J289" s="5" t="s">
        <v>1536</v>
      </c>
      <c r="K289" s="1" t="s">
        <v>1614</v>
      </c>
      <c r="L289" s="1" t="s">
        <v>1696</v>
      </c>
      <c r="N289" s="1" t="e">
        <f>IF(#REF!="Ja",VLOOKUP(A289,'[1]ZArtefakte aus Listen'!A:B,2,0),"")</f>
        <v>#REF!</v>
      </c>
    </row>
    <row r="290" spans="1:17" ht="12.6" hidden="1">
      <c r="A290" s="1" t="s">
        <v>633</v>
      </c>
      <c r="B290" s="1" t="str">
        <f>VLOOKUP(A290,'Z-Programme'!$A$2:$A$650,1,FALSE)</f>
        <v>ZFI_LOGA_REISEKOSTEN</v>
      </c>
      <c r="C290" s="1" t="s">
        <v>634</v>
      </c>
      <c r="D290" s="1" t="s">
        <v>1533</v>
      </c>
      <c r="E290" s="1" t="s">
        <v>1534</v>
      </c>
      <c r="F290" s="1" t="s">
        <v>1544</v>
      </c>
      <c r="J290" s="5" t="s">
        <v>1536</v>
      </c>
      <c r="K290" s="1" t="s">
        <v>1537</v>
      </c>
      <c r="L290" s="1" t="s">
        <v>1595</v>
      </c>
      <c r="N290" s="1" t="e">
        <f>IF(#REF!="Ja",VLOOKUP(A290,'[1]ZArtefakte aus Listen'!A:B,2,0),"")</f>
        <v>#REF!</v>
      </c>
    </row>
    <row r="291" spans="1:17" ht="12.6" hidden="1">
      <c r="A291" s="1" t="s">
        <v>635</v>
      </c>
      <c r="B291" s="1" t="str">
        <f>VLOOKUP(A291,'Z-Programme'!$A$2:$A$650,1,FALSE)</f>
        <v>ZFI_LOGA_STAMMDATEN</v>
      </c>
      <c r="C291" s="1" t="s">
        <v>636</v>
      </c>
      <c r="D291" s="1" t="s">
        <v>1533</v>
      </c>
      <c r="E291" s="1" t="s">
        <v>1534</v>
      </c>
      <c r="F291" s="1" t="s">
        <v>1544</v>
      </c>
      <c r="J291" s="5" t="s">
        <v>1536</v>
      </c>
      <c r="K291" s="1" t="s">
        <v>1537</v>
      </c>
      <c r="L291" s="1" t="s">
        <v>1595</v>
      </c>
      <c r="N291" s="1" t="e">
        <f>IF(#REF!="Ja",VLOOKUP(A291,'[1]ZArtefakte aus Listen'!A:B,2,0),"")</f>
        <v>#REF!</v>
      </c>
    </row>
    <row r="292" spans="1:17" ht="12.6" hidden="1">
      <c r="A292" s="1" t="s">
        <v>637</v>
      </c>
      <c r="B292" s="1" t="str">
        <f>VLOOKUP(A292,'Z-Programme'!$A$2:$A$650,1,FALSE)</f>
        <v>ZFI_LOGA01</v>
      </c>
      <c r="C292" s="1" t="s">
        <v>638</v>
      </c>
      <c r="D292" s="1" t="s">
        <v>1533</v>
      </c>
      <c r="E292" s="1" t="s">
        <v>1534</v>
      </c>
      <c r="F292" s="1" t="s">
        <v>1544</v>
      </c>
      <c r="J292" s="5" t="s">
        <v>1536</v>
      </c>
      <c r="K292" s="1" t="s">
        <v>1537</v>
      </c>
      <c r="L292" s="1" t="s">
        <v>1595</v>
      </c>
      <c r="N292" s="1" t="e">
        <f>IF(#REF!="Ja",VLOOKUP(A292,'[1]ZArtefakte aus Listen'!A:B,2,0),"")</f>
        <v>#REF!</v>
      </c>
    </row>
    <row r="293" spans="1:17" ht="12.6" hidden="1">
      <c r="A293" s="1" t="s">
        <v>639</v>
      </c>
      <c r="B293" s="1" t="str">
        <f>VLOOKUP(A293,'Z-Programme'!$A$2:$A$650,1,FALSE)</f>
        <v>ZFI_LRG_ANZ1</v>
      </c>
      <c r="C293" s="1" t="s">
        <v>640</v>
      </c>
      <c r="D293" s="1" t="s">
        <v>1533</v>
      </c>
      <c r="E293" s="1" t="s">
        <v>1633</v>
      </c>
      <c r="F293" s="1" t="s">
        <v>1549</v>
      </c>
      <c r="G293" s="1" t="s">
        <v>1572</v>
      </c>
      <c r="K293" s="58" t="s">
        <v>1573</v>
      </c>
      <c r="N293" s="1" t="e">
        <f>IF(#REF!="Ja",VLOOKUP(A293,'[1]ZArtefakte aus Listen'!A:B,2,0),"")</f>
        <v>#REF!</v>
      </c>
      <c r="P293" s="58"/>
      <c r="Q293" s="1" t="e">
        <f>IF(#REF!="Ja",VLOOKUP(A293,'[1]ZArtefakte aus Listen'!A:D,4,0),"")</f>
        <v>#REF!</v>
      </c>
    </row>
    <row r="294" spans="1:17" ht="12.6" hidden="1">
      <c r="A294" s="1" t="s">
        <v>641</v>
      </c>
      <c r="B294" s="1" t="str">
        <f>VLOOKUP(A294,'Z-Programme'!$A$2:$A$650,1,FALSE)</f>
        <v>ZFI_LZBKZ</v>
      </c>
      <c r="C294" s="1" t="s">
        <v>642</v>
      </c>
      <c r="D294" s="1" t="s">
        <v>1548</v>
      </c>
      <c r="E294" s="1" t="s">
        <v>1697</v>
      </c>
      <c r="F294" s="1" t="s">
        <v>1629</v>
      </c>
      <c r="J294" s="60" t="s">
        <v>1536</v>
      </c>
      <c r="K294" s="1" t="s">
        <v>1614</v>
      </c>
      <c r="L294" s="1" t="s">
        <v>1698</v>
      </c>
      <c r="M294" s="5" t="s">
        <v>1536</v>
      </c>
      <c r="N294" s="1" t="e">
        <f>IF(#REF!="Ja",VLOOKUP(A294,'[1]ZArtefakte aus Listen'!A:B,2,0),"")</f>
        <v>#REF!</v>
      </c>
      <c r="Q294" s="1" t="e">
        <f>IF(#REF!="Ja",VLOOKUP(A294,'[1]ZArtefakte aus Listen'!A:D,4,0),"")</f>
        <v>#REF!</v>
      </c>
    </row>
    <row r="295" spans="1:17" ht="12.6" hidden="1">
      <c r="A295" s="1" t="s">
        <v>643</v>
      </c>
      <c r="B295" s="1" t="str">
        <f>VLOOKUP(A295,'Z-Programme'!$A$2:$A$650,1,FALSE)</f>
        <v>ZFI_LZBKZ_BELEGE_CHECK</v>
      </c>
      <c r="C295" s="1" t="s">
        <v>645</v>
      </c>
      <c r="D295" s="1" t="s">
        <v>1533</v>
      </c>
      <c r="E295" s="1" t="s">
        <v>1697</v>
      </c>
      <c r="F295" s="1" t="s">
        <v>1616</v>
      </c>
      <c r="G295" s="1" t="s">
        <v>1617</v>
      </c>
      <c r="K295" s="58" t="s">
        <v>1573</v>
      </c>
      <c r="N295" s="1" t="e">
        <f>IF(#REF!="Ja",VLOOKUP(A295,'[1]ZArtefakte aus Listen'!A:B,2,0),"")</f>
        <v>#REF!</v>
      </c>
      <c r="P295" s="58"/>
      <c r="Q295" s="1" t="e">
        <f>IF(#REF!="Ja",VLOOKUP(A295,'[1]ZArtefakte aus Listen'!A:D,4,0),"")</f>
        <v>#REF!</v>
      </c>
    </row>
    <row r="296" spans="1:17" ht="12.6" hidden="1">
      <c r="A296" s="1" t="s">
        <v>646</v>
      </c>
      <c r="B296" s="1" t="str">
        <f>VLOOKUP(A296,'Z-Programme'!$A$2:$A$650,1,FALSE)</f>
        <v>ZFI_MAHNABR_ILV</v>
      </c>
      <c r="C296" s="1" t="s">
        <v>647</v>
      </c>
      <c r="D296" s="1" t="s">
        <v>1533</v>
      </c>
      <c r="E296" s="1" t="s">
        <v>1534</v>
      </c>
      <c r="F296" s="1" t="s">
        <v>1544</v>
      </c>
      <c r="J296" s="5" t="s">
        <v>1536</v>
      </c>
      <c r="K296" s="1" t="s">
        <v>1537</v>
      </c>
      <c r="L296" s="1" t="s">
        <v>1611</v>
      </c>
      <c r="N296" s="1" t="e">
        <f>IF(#REF!="Ja",VLOOKUP(A296,'[1]ZArtefakte aus Listen'!A:B,2,0),"")</f>
        <v>#REF!</v>
      </c>
      <c r="Q296" s="1" t="e">
        <f>IF(#REF!="Ja",VLOOKUP(A296,'[1]ZArtefakte aus Listen'!A:D,4,0),"")</f>
        <v>#REF!</v>
      </c>
    </row>
    <row r="297" spans="1:17" ht="12.6" hidden="1">
      <c r="A297" s="1" t="s">
        <v>648</v>
      </c>
      <c r="B297" s="1" t="str">
        <f>VLOOKUP(A297,'Z-Programme'!$A$2:$A$650,1,FALSE)</f>
        <v>ZFI_MAHNHIST_ALV</v>
      </c>
      <c r="C297" s="1" t="s">
        <v>649</v>
      </c>
      <c r="D297" s="1" t="s">
        <v>1533</v>
      </c>
      <c r="E297" s="1" t="s">
        <v>1534</v>
      </c>
      <c r="F297" s="1" t="s">
        <v>1544</v>
      </c>
      <c r="J297" s="5" t="s">
        <v>1536</v>
      </c>
      <c r="K297" s="1" t="s">
        <v>1537</v>
      </c>
      <c r="L297" s="1" t="s">
        <v>1611</v>
      </c>
      <c r="N297" s="1" t="e">
        <f>IF(#REF!="Ja",VLOOKUP(A297,'[1]ZArtefakte aus Listen'!A:B,2,0),"")</f>
        <v>#REF!</v>
      </c>
      <c r="Q297" s="1" t="e">
        <f>IF(#REF!="Ja",VLOOKUP(A297,'[1]ZArtefakte aus Listen'!A:D,4,0),"")</f>
        <v>#REF!</v>
      </c>
    </row>
    <row r="298" spans="1:17" ht="12.6" hidden="1">
      <c r="A298" s="1" t="s">
        <v>650</v>
      </c>
      <c r="B298" s="1" t="str">
        <f>VLOOKUP(A298,'Z-Programme'!$A$2:$A$650,1,FALSE)</f>
        <v>ZFI_MAHNRHYTHMUS</v>
      </c>
      <c r="C298" s="1" t="s">
        <v>651</v>
      </c>
      <c r="D298" s="1" t="s">
        <v>1533</v>
      </c>
      <c r="E298" s="1" t="s">
        <v>1534</v>
      </c>
      <c r="F298" s="1" t="s">
        <v>1544</v>
      </c>
      <c r="J298" s="5" t="s">
        <v>1536</v>
      </c>
      <c r="K298" s="1" t="s">
        <v>1537</v>
      </c>
      <c r="L298" s="1" t="s">
        <v>1628</v>
      </c>
      <c r="N298" s="1" t="e">
        <f>IF(#REF!="Ja",VLOOKUP(A298,'[1]ZArtefakte aus Listen'!A:B,2,0),"")</f>
        <v>#REF!</v>
      </c>
    </row>
    <row r="299" spans="1:17" ht="12.6" hidden="1">
      <c r="A299" s="1" t="s">
        <v>652</v>
      </c>
      <c r="B299" s="1" t="str">
        <f>VLOOKUP(A299,'Z-Programme'!$A$2:$A$650,1,FALSE)</f>
        <v>ZFI_MAHNS_LOESCH</v>
      </c>
      <c r="C299" s="1" t="s">
        <v>1570</v>
      </c>
      <c r="D299" s="1" t="s">
        <v>1533</v>
      </c>
      <c r="E299" s="1" t="s">
        <v>1558</v>
      </c>
      <c r="F299" s="1" t="s">
        <v>1549</v>
      </c>
      <c r="G299" s="1" t="s">
        <v>1699</v>
      </c>
      <c r="K299" s="58" t="s">
        <v>1573</v>
      </c>
      <c r="N299" s="1" t="e">
        <f>IF(#REF!="Ja",VLOOKUP(A299,'[1]ZArtefakte aus Listen'!A:B,2,0),"")</f>
        <v>#REF!</v>
      </c>
      <c r="P299" s="58"/>
      <c r="Q299" s="1" t="e">
        <f>IF(#REF!="Ja",VLOOKUP(A299,'[1]ZArtefakte aus Listen'!A:D,4,0),"")</f>
        <v>#REF!</v>
      </c>
    </row>
    <row r="300" spans="1:17" ht="12.6" hidden="1">
      <c r="A300" s="1" t="s">
        <v>654</v>
      </c>
      <c r="B300" s="1" t="str">
        <f>VLOOKUP(A300,'Z-Programme'!$A$2:$A$650,1,FALSE)</f>
        <v>ZFI_MAHNS_LOESCH2</v>
      </c>
      <c r="C300" s="1" t="s">
        <v>655</v>
      </c>
      <c r="D300" s="1" t="s">
        <v>1533</v>
      </c>
      <c r="E300" s="1" t="s">
        <v>1558</v>
      </c>
      <c r="F300" s="1" t="s">
        <v>1700</v>
      </c>
      <c r="J300" s="5" t="s">
        <v>1536</v>
      </c>
      <c r="K300" s="1" t="s">
        <v>1542</v>
      </c>
      <c r="L300" s="1" t="s">
        <v>1560</v>
      </c>
      <c r="M300" s="5" t="s">
        <v>1536</v>
      </c>
      <c r="N300" s="1" t="e">
        <f>IF(#REF!="Ja",VLOOKUP(A300,'[1]ZArtefakte aus Listen'!A:B,2,0),"")</f>
        <v>#REF!</v>
      </c>
      <c r="Q300" s="1" t="e">
        <f>IF(#REF!="Ja",VLOOKUP(A300,'[1]ZArtefakte aus Listen'!A:D,4,0),"")</f>
        <v>#REF!</v>
      </c>
    </row>
    <row r="301" spans="1:17" ht="12.6" hidden="1">
      <c r="A301" s="1" t="s">
        <v>656</v>
      </c>
      <c r="B301" s="1" t="str">
        <f>VLOOKUP(A301,'Z-Programme'!$A$2:$A$650,1,FALSE)</f>
        <v>ZFI_MAHNS_MAHNV</v>
      </c>
      <c r="C301" s="1" t="s">
        <v>657</v>
      </c>
      <c r="D301" s="1" t="s">
        <v>1533</v>
      </c>
      <c r="E301" s="1" t="s">
        <v>1558</v>
      </c>
      <c r="F301" s="1" t="s">
        <v>1549</v>
      </c>
      <c r="G301" s="1" t="s">
        <v>1699</v>
      </c>
      <c r="K301" s="58" t="s">
        <v>1573</v>
      </c>
      <c r="N301" s="1" t="e">
        <f>IF(#REF!="Ja",VLOOKUP(A301,'[1]ZArtefakte aus Listen'!A:B,2,0),"")</f>
        <v>#REF!</v>
      </c>
      <c r="P301" s="58"/>
      <c r="Q301" s="1" t="e">
        <f>IF(#REF!="Ja",VLOOKUP(A301,'[1]ZArtefakte aus Listen'!A:D,4,0),"")</f>
        <v>#REF!</v>
      </c>
    </row>
    <row r="302" spans="1:17" ht="12.6" hidden="1">
      <c r="A302" s="1" t="s">
        <v>658</v>
      </c>
      <c r="B302" s="1" t="str">
        <f>VLOOKUP(A302,'Z-Programme'!$A$2:$A$650,1,FALSE)</f>
        <v>ZFI_MAHNSTAPEL</v>
      </c>
      <c r="C302" s="1" t="s">
        <v>659</v>
      </c>
      <c r="D302" s="1" t="s">
        <v>1533</v>
      </c>
      <c r="E302" s="1" t="s">
        <v>1558</v>
      </c>
      <c r="F302" s="1" t="s">
        <v>1549</v>
      </c>
      <c r="G302" s="1" t="s">
        <v>1701</v>
      </c>
      <c r="K302" s="58" t="s">
        <v>1573</v>
      </c>
      <c r="N302" s="1" t="e">
        <f>IF(#REF!="Ja",VLOOKUP(A302,'[1]ZArtefakte aus Listen'!A:B,2,0),"")</f>
        <v>#REF!</v>
      </c>
      <c r="P302" s="58"/>
      <c r="Q302" s="1" t="e">
        <f>IF(#REF!="Ja",VLOOKUP(A302,'[1]ZArtefakte aus Listen'!A:D,4,0),"")</f>
        <v>#REF!</v>
      </c>
    </row>
    <row r="303" spans="1:17" ht="12.6" hidden="1">
      <c r="A303" s="1" t="s">
        <v>660</v>
      </c>
      <c r="B303" s="1" t="str">
        <f>VLOOKUP(A303,'Z-Programme'!$A$2:$A$650,1,FALSE)</f>
        <v>ZFI_MAHNSTATISTIK</v>
      </c>
      <c r="C303" s="1" t="s">
        <v>661</v>
      </c>
      <c r="D303" s="1" t="s">
        <v>1533</v>
      </c>
      <c r="E303" s="1" t="s">
        <v>1534</v>
      </c>
      <c r="F303" s="1" t="s">
        <v>1544</v>
      </c>
      <c r="J303" s="5" t="s">
        <v>1536</v>
      </c>
      <c r="K303" s="1" t="s">
        <v>1537</v>
      </c>
      <c r="L303" s="1" t="s">
        <v>1611</v>
      </c>
      <c r="N303" s="1" t="e">
        <f>IF(#REF!="Ja",VLOOKUP(A303,'[1]ZArtefakte aus Listen'!A:B,2,0),"")</f>
        <v>#REF!</v>
      </c>
      <c r="Q303" s="1" t="e">
        <f>IF(#REF!="Ja",VLOOKUP(A303,'[1]ZArtefakte aus Listen'!A:D,4,0),"")</f>
        <v>#REF!</v>
      </c>
    </row>
    <row r="304" spans="1:17" ht="12.6" hidden="1">
      <c r="A304" s="1" t="s">
        <v>662</v>
      </c>
      <c r="B304" s="1" t="str">
        <f>VLOOKUP(A304,'Z-Programme'!$A$2:$A$650,1,FALSE)</f>
        <v>ZFI_MAHNSTOPP</v>
      </c>
      <c r="C304" s="1" t="s">
        <v>663</v>
      </c>
      <c r="D304" s="1" t="s">
        <v>1533</v>
      </c>
      <c r="E304" s="1" t="s">
        <v>1558</v>
      </c>
      <c r="F304" s="1" t="s">
        <v>1549</v>
      </c>
      <c r="G304" s="1" t="s">
        <v>1699</v>
      </c>
      <c r="K304" s="58" t="s">
        <v>1573</v>
      </c>
      <c r="N304" s="1" t="e">
        <f>IF(#REF!="Ja",VLOOKUP(A304,'[1]ZArtefakte aus Listen'!A:B,2,0),"")</f>
        <v>#REF!</v>
      </c>
      <c r="P304" s="58"/>
      <c r="Q304" s="1" t="e">
        <f>IF(#REF!="Ja",VLOOKUP(A304,'[1]ZArtefakte aus Listen'!A:D,4,0),"")</f>
        <v>#REF!</v>
      </c>
    </row>
    <row r="305" spans="1:17" ht="12.6" hidden="1">
      <c r="A305" s="1" t="s">
        <v>664</v>
      </c>
      <c r="B305" s="1" t="str">
        <f>VLOOKUP(A305,'Z-Programme'!$A$2:$A$650,1,FALSE)</f>
        <v>ZFI_MAHNSTOPP_ABZUG</v>
      </c>
      <c r="C305" s="1" t="s">
        <v>665</v>
      </c>
      <c r="D305" s="1" t="s">
        <v>1533</v>
      </c>
      <c r="E305" s="1" t="s">
        <v>1558</v>
      </c>
      <c r="F305" s="1" t="s">
        <v>1549</v>
      </c>
      <c r="G305" s="1" t="s">
        <v>1699</v>
      </c>
      <c r="K305" s="58" t="s">
        <v>1573</v>
      </c>
      <c r="N305" s="1" t="e">
        <f>IF(#REF!="Ja",VLOOKUP(A305,'[1]ZArtefakte aus Listen'!A:B,2,0),"")</f>
        <v>#REF!</v>
      </c>
      <c r="P305" s="58"/>
      <c r="Q305" s="1" t="e">
        <f>IF(#REF!="Ja",VLOOKUP(A305,'[1]ZArtefakte aus Listen'!A:D,4,0),"")</f>
        <v>#REF!</v>
      </c>
    </row>
    <row r="306" spans="1:17" ht="12.6" hidden="1">
      <c r="A306" s="1" t="s">
        <v>666</v>
      </c>
      <c r="B306" s="1" t="str">
        <f>VLOOKUP(A306,'Z-Programme'!$A$2:$A$650,1,FALSE)</f>
        <v>ZFI_MAHNSTOPP_SETZEN</v>
      </c>
      <c r="C306" s="1" t="s">
        <v>1570</v>
      </c>
      <c r="D306" s="1" t="s">
        <v>1533</v>
      </c>
      <c r="E306" s="1" t="s">
        <v>1558</v>
      </c>
      <c r="F306" s="1" t="s">
        <v>1549</v>
      </c>
      <c r="G306" s="1" t="s">
        <v>1699</v>
      </c>
      <c r="K306" s="58" t="s">
        <v>1573</v>
      </c>
      <c r="N306" s="1" t="e">
        <f>IF(#REF!="Ja",VLOOKUP(A306,'[1]ZArtefakte aus Listen'!A:B,2,0),"")</f>
        <v>#REF!</v>
      </c>
      <c r="P306" s="58"/>
      <c r="Q306" s="1" t="e">
        <f>IF(#REF!="Ja",VLOOKUP(A306,'[1]ZArtefakte aus Listen'!A:D,4,0),"")</f>
        <v>#REF!</v>
      </c>
    </row>
    <row r="307" spans="1:17" ht="12.6" hidden="1">
      <c r="A307" s="1" t="s">
        <v>667</v>
      </c>
      <c r="B307" s="1" t="str">
        <f>VLOOKUP(A307,'Z-Programme'!$A$2:$A$650,1,FALSE)</f>
        <v>ZFI_MAHNSTOPP2</v>
      </c>
      <c r="C307" s="1" t="s">
        <v>663</v>
      </c>
      <c r="D307" s="1" t="s">
        <v>1533</v>
      </c>
      <c r="E307" s="1" t="s">
        <v>1558</v>
      </c>
      <c r="F307" s="1" t="s">
        <v>1549</v>
      </c>
      <c r="G307" s="1" t="s">
        <v>1699</v>
      </c>
      <c r="K307" s="58" t="s">
        <v>1573</v>
      </c>
      <c r="N307" s="1" t="e">
        <f>IF(#REF!="Ja",VLOOKUP(A307,'[1]ZArtefakte aus Listen'!A:B,2,0),"")</f>
        <v>#REF!</v>
      </c>
      <c r="P307" s="58"/>
      <c r="Q307" s="1" t="e">
        <f>IF(#REF!="Ja",VLOOKUP(A307,'[1]ZArtefakte aus Listen'!A:D,4,0),"")</f>
        <v>#REF!</v>
      </c>
    </row>
    <row r="308" spans="1:17" ht="12.6" hidden="1">
      <c r="A308" s="1" t="s">
        <v>668</v>
      </c>
      <c r="B308" s="1" t="str">
        <f>VLOOKUP(A308,'Z-Programme'!$A$2:$A$650,1,FALSE)</f>
        <v>ZFI_MAHNVORSCHLAG</v>
      </c>
      <c r="C308" s="1" t="s">
        <v>670</v>
      </c>
      <c r="D308" s="1" t="s">
        <v>1533</v>
      </c>
      <c r="E308" s="1" t="s">
        <v>1558</v>
      </c>
      <c r="F308" s="1" t="s">
        <v>1549</v>
      </c>
      <c r="G308" s="1" t="s">
        <v>1702</v>
      </c>
      <c r="I308" s="1" t="s">
        <v>1703</v>
      </c>
      <c r="K308" s="58" t="s">
        <v>1573</v>
      </c>
      <c r="N308" s="1" t="e">
        <f>IF(#REF!="Ja",VLOOKUP(A308,'[1]ZArtefakte aus Listen'!A:B,2,0),"")</f>
        <v>#REF!</v>
      </c>
      <c r="P308" s="58"/>
      <c r="Q308" s="1" t="e">
        <f>IF(#REF!="Ja",VLOOKUP(A308,'[1]ZArtefakte aus Listen'!A:D,4,0),"")</f>
        <v>#REF!</v>
      </c>
    </row>
    <row r="309" spans="1:17" ht="12.6" hidden="1">
      <c r="A309" s="1" t="s">
        <v>671</v>
      </c>
      <c r="B309" s="1" t="str">
        <f>VLOOKUP(A309,'Z-Programme'!$A$2:$A$650,1,FALSE)</f>
        <v>ZFI_MASSENAENDERUNG_VERTDAT</v>
      </c>
      <c r="C309" s="1" t="s">
        <v>672</v>
      </c>
      <c r="D309" s="1" t="s">
        <v>1533</v>
      </c>
      <c r="E309" s="1" t="s">
        <v>1534</v>
      </c>
      <c r="F309" s="1" t="s">
        <v>1544</v>
      </c>
      <c r="J309" s="5" t="s">
        <v>1536</v>
      </c>
      <c r="K309" s="1" t="s">
        <v>1537</v>
      </c>
      <c r="L309" s="1" t="s">
        <v>1620</v>
      </c>
      <c r="N309" s="1" t="e">
        <f>IF(#REF!="Ja",VLOOKUP(A309,'[1]ZArtefakte aus Listen'!A:B,2,0),"")</f>
        <v>#REF!</v>
      </c>
      <c r="Q309" s="1" t="e">
        <f>IF(#REF!="Ja",VLOOKUP(A309,'[1]ZArtefakte aus Listen'!A:D,4,0),"")</f>
        <v>#REF!</v>
      </c>
    </row>
    <row r="310" spans="1:17" ht="12.6" hidden="1">
      <c r="A310" s="1" t="s">
        <v>673</v>
      </c>
      <c r="B310" s="1" t="str">
        <f>VLOOKUP(A310,'Z-Programme'!$A$2:$A$650,1,FALSE)</f>
        <v>ZFI_MAUS10</v>
      </c>
      <c r="C310" s="1" t="s">
        <v>674</v>
      </c>
      <c r="D310" s="1" t="s">
        <v>1533</v>
      </c>
      <c r="E310" s="1" t="s">
        <v>1534</v>
      </c>
      <c r="F310" s="1" t="s">
        <v>1544</v>
      </c>
      <c r="J310" s="5" t="s">
        <v>1536</v>
      </c>
      <c r="K310" s="1" t="s">
        <v>1537</v>
      </c>
      <c r="L310" s="1" t="s">
        <v>1611</v>
      </c>
      <c r="N310" s="1" t="e">
        <f>IF(#REF!="Ja",VLOOKUP(A310,'[1]ZArtefakte aus Listen'!A:B,2,0),"")</f>
        <v>#REF!</v>
      </c>
      <c r="Q310" s="1" t="e">
        <f>IF(#REF!="Ja",VLOOKUP(A310,'[1]ZArtefakte aus Listen'!A:D,4,0),"")</f>
        <v>#REF!</v>
      </c>
    </row>
    <row r="311" spans="1:17" ht="12.6" hidden="1">
      <c r="A311" s="1" t="s">
        <v>675</v>
      </c>
      <c r="B311" s="1" t="str">
        <f>VLOOKUP(A311,'Z-Programme'!$A$2:$A$650,1,FALSE)</f>
        <v>ZFI_MONATSABSCHLUSS_UPLOAD</v>
      </c>
      <c r="C311" s="1" t="s">
        <v>676</v>
      </c>
      <c r="D311" s="1" t="s">
        <v>1533</v>
      </c>
      <c r="E311" s="1" t="s">
        <v>1534</v>
      </c>
      <c r="F311" s="1" t="s">
        <v>1544</v>
      </c>
      <c r="J311" s="5" t="s">
        <v>1536</v>
      </c>
      <c r="K311" s="1" t="s">
        <v>1537</v>
      </c>
      <c r="L311" s="1" t="s">
        <v>1611</v>
      </c>
      <c r="N311" s="1" t="e">
        <f>IF(#REF!="Ja",VLOOKUP(A311,'[1]ZArtefakte aus Listen'!A:B,2,0),"")</f>
        <v>#REF!</v>
      </c>
      <c r="Q311" s="1" t="e">
        <f>IF(#REF!="Ja",VLOOKUP(A311,'[1]ZArtefakte aus Listen'!A:D,4,0),"")</f>
        <v>#REF!</v>
      </c>
    </row>
    <row r="312" spans="1:17" ht="12.6" hidden="1">
      <c r="A312" s="1" t="s">
        <v>677</v>
      </c>
      <c r="B312" s="1" t="str">
        <f>VLOOKUP(A312,'Z-Programme'!$A$2:$A$650,1,FALSE)</f>
        <v>ZFI_NEUBAU_ANLAGENLIST</v>
      </c>
      <c r="C312" s="1" t="s">
        <v>678</v>
      </c>
      <c r="D312" s="1" t="s">
        <v>1533</v>
      </c>
      <c r="E312" s="1" t="s">
        <v>1534</v>
      </c>
      <c r="F312" s="1" t="s">
        <v>1544</v>
      </c>
      <c r="J312" s="5" t="s">
        <v>1536</v>
      </c>
      <c r="K312" s="1" t="s">
        <v>1537</v>
      </c>
      <c r="L312" s="1" t="s">
        <v>1611</v>
      </c>
      <c r="N312" s="1" t="e">
        <f>IF(#REF!="Ja",VLOOKUP(A312,'[1]ZArtefakte aus Listen'!A:B,2,0),"")</f>
        <v>#REF!</v>
      </c>
      <c r="Q312" s="1" t="e">
        <f>IF(#REF!="Ja",VLOOKUP(A312,'[1]ZArtefakte aus Listen'!A:D,4,0),"")</f>
        <v>#REF!</v>
      </c>
    </row>
    <row r="313" spans="1:17" ht="12.6" hidden="1">
      <c r="A313" s="1" t="s">
        <v>679</v>
      </c>
      <c r="B313" s="1" t="str">
        <f>VLOOKUP(A313,'Z-Programme'!$A$2:$A$650,1,FALSE)</f>
        <v>ZFI_NEUBAU_ANLIST_GJ</v>
      </c>
      <c r="C313" s="1" t="s">
        <v>680</v>
      </c>
      <c r="D313" s="1" t="s">
        <v>1533</v>
      </c>
      <c r="E313" s="1" t="s">
        <v>1534</v>
      </c>
      <c r="F313" s="1" t="s">
        <v>1544</v>
      </c>
      <c r="J313" s="5" t="s">
        <v>1536</v>
      </c>
      <c r="K313" s="1" t="s">
        <v>1537</v>
      </c>
      <c r="L313" s="1" t="s">
        <v>1611</v>
      </c>
      <c r="N313" s="1" t="e">
        <f>IF(#REF!="Ja",VLOOKUP(A313,'[1]ZArtefakte aus Listen'!A:B,2,0),"")</f>
        <v>#REF!</v>
      </c>
      <c r="Q313" s="1" t="e">
        <f>IF(#REF!="Ja",VLOOKUP(A313,'[1]ZArtefakte aus Listen'!A:D,4,0),"")</f>
        <v>#REF!</v>
      </c>
    </row>
    <row r="314" spans="1:17" ht="12.6" hidden="1">
      <c r="A314" s="1" t="s">
        <v>681</v>
      </c>
      <c r="B314" s="1" t="str">
        <f>VLOOKUP(A314,'Z-Programme'!$A$2:$A$650,1,FALSE)</f>
        <v>ZFI_NR_STAND_KOPIEREN</v>
      </c>
      <c r="C314" s="1" t="s">
        <v>682</v>
      </c>
      <c r="D314" s="1" t="s">
        <v>1533</v>
      </c>
      <c r="E314" s="1" t="s">
        <v>1624</v>
      </c>
      <c r="F314" s="1" t="s">
        <v>1704</v>
      </c>
      <c r="G314" s="1" t="s">
        <v>1626</v>
      </c>
      <c r="J314" s="5"/>
      <c r="K314" s="1" t="s">
        <v>1542</v>
      </c>
      <c r="L314" s="1" t="s">
        <v>1619</v>
      </c>
      <c r="M314" s="5" t="s">
        <v>1536</v>
      </c>
      <c r="N314" s="1" t="e">
        <f>IF(#REF!="Ja",VLOOKUP(A314,'[1]ZArtefakte aus Listen'!A:B,2,0),"")</f>
        <v>#REF!</v>
      </c>
      <c r="Q314" s="1" t="e">
        <f>IF(#REF!="Ja",VLOOKUP(A314,'[1]ZArtefakte aus Listen'!A:D,4,0),"")</f>
        <v>#REF!</v>
      </c>
    </row>
    <row r="315" spans="1:17" ht="12.6" hidden="1">
      <c r="A315" s="1" t="s">
        <v>686</v>
      </c>
      <c r="B315" s="1" t="str">
        <f>VLOOKUP(A315,'Z-Programme'!$A$2:$A$650,1,FALSE)</f>
        <v>ZFI_PAYPAL</v>
      </c>
      <c r="C315" s="1" t="s">
        <v>688</v>
      </c>
      <c r="D315" s="1" t="s">
        <v>1533</v>
      </c>
      <c r="E315" s="1" t="s">
        <v>1558</v>
      </c>
      <c r="F315" s="1" t="s">
        <v>1705</v>
      </c>
      <c r="G315" s="1" t="s">
        <v>1646</v>
      </c>
      <c r="I315" s="1" t="s">
        <v>1635</v>
      </c>
      <c r="J315" s="5" t="s">
        <v>1536</v>
      </c>
      <c r="K315" s="1" t="s">
        <v>1542</v>
      </c>
      <c r="L315" s="1" t="s">
        <v>1647</v>
      </c>
      <c r="M315" s="5" t="s">
        <v>1536</v>
      </c>
      <c r="N315" s="1" t="e">
        <f>IF(#REF!="Ja",VLOOKUP(A315,'[1]ZArtefakte aus Listen'!A:B,2,0),"")</f>
        <v>#REF!</v>
      </c>
      <c r="Q315" s="1" t="e">
        <f>IF(#REF!="Ja",VLOOKUP(A315,'[1]ZArtefakte aus Listen'!A:D,4,0),"")</f>
        <v>#REF!</v>
      </c>
    </row>
    <row r="316" spans="1:17" ht="12.6" hidden="1">
      <c r="A316" s="1" t="s">
        <v>689</v>
      </c>
      <c r="B316" s="1" t="str">
        <f>VLOOKUP(A316,'Z-Programme'!$A$2:$A$650,1,FALSE)</f>
        <v>ZFI_PDF_REISEKOSTEN</v>
      </c>
      <c r="C316" s="1" t="s">
        <v>691</v>
      </c>
      <c r="D316" s="1" t="s">
        <v>1533</v>
      </c>
      <c r="E316" s="1" t="s">
        <v>1540</v>
      </c>
      <c r="F316" s="1" t="s">
        <v>1629</v>
      </c>
      <c r="J316" s="5" t="s">
        <v>1536</v>
      </c>
      <c r="K316" s="1" t="s">
        <v>1542</v>
      </c>
      <c r="L316" s="1" t="s">
        <v>1706</v>
      </c>
      <c r="N316" s="1" t="e">
        <f>IF(#REF!="Ja",VLOOKUP(A316,'[1]ZArtefakte aus Listen'!A:B,2,0),"")</f>
        <v>#REF!</v>
      </c>
      <c r="Q316" s="1" t="e">
        <f>IF(#REF!="Ja",VLOOKUP(A316,'[1]ZArtefakte aus Listen'!A:D,4,0),"")</f>
        <v>#REF!</v>
      </c>
    </row>
    <row r="317" spans="1:17" ht="12.6" hidden="1">
      <c r="A317" s="1" t="s">
        <v>692</v>
      </c>
      <c r="B317" s="1" t="str">
        <f>VLOOKUP(A317,'Z-Programme'!$A$2:$A$650,1,FALSE)</f>
        <v>ZFI_PERBIT</v>
      </c>
      <c r="C317" s="1" t="s">
        <v>693</v>
      </c>
      <c r="D317" s="1" t="s">
        <v>1533</v>
      </c>
      <c r="E317" s="1" t="s">
        <v>1534</v>
      </c>
      <c r="F317" s="1" t="s">
        <v>1544</v>
      </c>
      <c r="J317" s="5" t="s">
        <v>1536</v>
      </c>
      <c r="K317" s="1" t="s">
        <v>1537</v>
      </c>
      <c r="L317" s="1" t="s">
        <v>1664</v>
      </c>
      <c r="N317" s="1" t="e">
        <f>IF(#REF!="Ja",VLOOKUP(A317,'[1]ZArtefakte aus Listen'!A:B,2,0),"")</f>
        <v>#REF!</v>
      </c>
      <c r="Q317" s="1" t="e">
        <f>IF(#REF!="Ja",VLOOKUP(A317,'[1]ZArtefakte aus Listen'!A:D,4,0),"")</f>
        <v>#REF!</v>
      </c>
    </row>
    <row r="318" spans="1:17" ht="12.6" hidden="1">
      <c r="A318" s="1" t="s">
        <v>694</v>
      </c>
      <c r="B318" s="1" t="str">
        <f>VLOOKUP(A318,'Z-Programme'!$A$2:$A$650,1,FALSE)</f>
        <v>ZFI_PHONE_ABRECHNUNG</v>
      </c>
      <c r="C318" s="1" t="s">
        <v>695</v>
      </c>
      <c r="D318" s="1" t="s">
        <v>1533</v>
      </c>
      <c r="E318" s="1" t="s">
        <v>1534</v>
      </c>
      <c r="F318" s="1" t="s">
        <v>1544</v>
      </c>
      <c r="J318" s="5" t="s">
        <v>1536</v>
      </c>
      <c r="K318" s="1" t="s">
        <v>1537</v>
      </c>
      <c r="L318" s="1" t="s">
        <v>1611</v>
      </c>
      <c r="N318" s="1" t="e">
        <f>IF(#REF!="Ja",VLOOKUP(A318,'[1]ZArtefakte aus Listen'!A:B,2,0),"")</f>
        <v>#REF!</v>
      </c>
      <c r="Q318" s="1" t="e">
        <f>IF(#REF!="Ja",VLOOKUP(A318,'[1]ZArtefakte aus Listen'!A:D,4,0),"")</f>
        <v>#REF!</v>
      </c>
    </row>
    <row r="319" spans="1:17" ht="12.6" hidden="1">
      <c r="A319" s="1" t="s">
        <v>696</v>
      </c>
      <c r="B319" s="1" t="str">
        <f>VLOOKUP(A319,'Z-Programme'!$A$2:$A$650,1,FALSE)</f>
        <v>ZFI_PLZORT</v>
      </c>
      <c r="C319" s="1" t="s">
        <v>697</v>
      </c>
      <c r="D319" s="1" t="s">
        <v>1533</v>
      </c>
      <c r="E319" s="1" t="s">
        <v>1534</v>
      </c>
      <c r="F319" s="1" t="s">
        <v>1544</v>
      </c>
      <c r="J319" s="5" t="s">
        <v>1536</v>
      </c>
      <c r="K319" s="1" t="s">
        <v>1537</v>
      </c>
      <c r="L319" s="1" t="s">
        <v>1687</v>
      </c>
      <c r="N319" s="1" t="e">
        <f>IF(#REF!="Ja",VLOOKUP(A319,'[1]ZArtefakte aus Listen'!A:B,2,0),"")</f>
        <v>#REF!</v>
      </c>
      <c r="Q319" s="1" t="e">
        <f>IF(#REF!="Ja",VLOOKUP(A319,'[1]ZArtefakte aus Listen'!A:D,4,0),"")</f>
        <v>#REF!</v>
      </c>
    </row>
    <row r="320" spans="1:17" ht="12.6" hidden="1">
      <c r="A320" s="1" t="s">
        <v>698</v>
      </c>
      <c r="B320" s="1" t="str">
        <f>VLOOKUP(A320,'Z-Programme'!$A$2:$A$650,1,FALSE)</f>
        <v>ZFI_PORTA_01</v>
      </c>
      <c r="C320" s="1" t="s">
        <v>699</v>
      </c>
      <c r="D320" s="1" t="s">
        <v>1533</v>
      </c>
      <c r="E320" s="1" t="s">
        <v>1633</v>
      </c>
      <c r="F320" s="1" t="s">
        <v>1616</v>
      </c>
      <c r="G320" s="1" t="s">
        <v>1617</v>
      </c>
      <c r="K320" s="58" t="s">
        <v>1573</v>
      </c>
      <c r="N320" s="1" t="e">
        <f>IF(#REF!="Ja",VLOOKUP(A320,'[1]ZArtefakte aus Listen'!A:B,2,0),"")</f>
        <v>#REF!</v>
      </c>
      <c r="P320" s="58"/>
      <c r="Q320" s="1" t="e">
        <f>IF(#REF!="Ja",VLOOKUP(A320,'[1]ZArtefakte aus Listen'!A:D,4,0),"")</f>
        <v>#REF!</v>
      </c>
    </row>
    <row r="321" spans="1:17" ht="12.6" hidden="1">
      <c r="A321" s="1" t="s">
        <v>700</v>
      </c>
      <c r="B321" s="1" t="str">
        <f>VLOOKUP(A321,'Z-Programme'!$A$2:$A$650,1,FALSE)</f>
        <v>ZFI_PRINT_INVOICE</v>
      </c>
      <c r="C321" s="1" t="s">
        <v>701</v>
      </c>
      <c r="D321" s="1" t="s">
        <v>1533</v>
      </c>
      <c r="E321" s="1" t="s">
        <v>1660</v>
      </c>
      <c r="F321" s="1" t="s">
        <v>1549</v>
      </c>
      <c r="J321" s="5" t="s">
        <v>1536</v>
      </c>
      <c r="K321" s="1" t="s">
        <v>1662</v>
      </c>
      <c r="L321" s="1" t="s">
        <v>1707</v>
      </c>
      <c r="N321" s="1" t="e">
        <f>IF(#REF!="Ja",VLOOKUP(A321,'[1]ZArtefakte aus Listen'!A:B,2,0),"")</f>
        <v>#REF!</v>
      </c>
    </row>
    <row r="322" spans="1:17" ht="12.6" hidden="1">
      <c r="A322" s="1" t="s">
        <v>702</v>
      </c>
      <c r="B322" s="1" t="str">
        <f>VLOOKUP(A322,'Z-Programme'!$A$2:$A$650,1,FALSE)</f>
        <v>ZFI_PRISMA_AGW</v>
      </c>
      <c r="C322" s="1" t="s">
        <v>703</v>
      </c>
      <c r="D322" s="1" t="s">
        <v>1533</v>
      </c>
      <c r="E322" s="1" t="s">
        <v>1534</v>
      </c>
      <c r="F322" s="1" t="s">
        <v>1544</v>
      </c>
      <c r="J322" s="5" t="s">
        <v>1536</v>
      </c>
      <c r="K322" s="1" t="s">
        <v>1537</v>
      </c>
      <c r="L322" s="1" t="s">
        <v>1680</v>
      </c>
      <c r="N322" s="1" t="e">
        <f>IF(#REF!="Ja",VLOOKUP(A322,'[1]ZArtefakte aus Listen'!A:B,2,0),"")</f>
        <v>#REF!</v>
      </c>
      <c r="Q322" s="1" t="e">
        <f>IF(#REF!="Ja",VLOOKUP(A322,'[1]ZArtefakte aus Listen'!A:D,4,0),"")</f>
        <v>#REF!</v>
      </c>
    </row>
    <row r="323" spans="1:17" ht="12.6" hidden="1">
      <c r="A323" s="1" t="s">
        <v>704</v>
      </c>
      <c r="B323" s="1" t="str">
        <f>VLOOKUP(A323,'Z-Programme'!$A$2:$A$650,1,FALSE)</f>
        <v>ZFI_RAPS_ABSTIMMUNG</v>
      </c>
      <c r="C323" s="1" t="s">
        <v>705</v>
      </c>
      <c r="D323" s="1" t="s">
        <v>1533</v>
      </c>
      <c r="E323" s="1" t="s">
        <v>1633</v>
      </c>
      <c r="F323" s="1" t="s">
        <v>1616</v>
      </c>
      <c r="G323" s="1" t="s">
        <v>1617</v>
      </c>
      <c r="K323" s="58" t="s">
        <v>1573</v>
      </c>
      <c r="N323" s="1" t="e">
        <f>IF(#REF!="Ja",VLOOKUP(A323,'[1]ZArtefakte aus Listen'!A:B,2,0),"")</f>
        <v>#REF!</v>
      </c>
      <c r="P323" s="58"/>
      <c r="Q323" s="1" t="e">
        <f>IF(#REF!="Ja",VLOOKUP(A323,'[1]ZArtefakte aus Listen'!A:D,4,0),"")</f>
        <v>#REF!</v>
      </c>
    </row>
    <row r="324" spans="1:17" ht="12.6" hidden="1">
      <c r="A324" s="1" t="s">
        <v>706</v>
      </c>
      <c r="B324" s="1" t="str">
        <f>VLOOKUP(A324,'Z-Programme'!$A$2:$A$650,1,FALSE)</f>
        <v>ZFI_RAPS01</v>
      </c>
      <c r="C324" s="1" t="s">
        <v>707</v>
      </c>
      <c r="D324" s="1" t="s">
        <v>1533</v>
      </c>
      <c r="E324" s="1" t="s">
        <v>1633</v>
      </c>
      <c r="F324" s="1" t="s">
        <v>1616</v>
      </c>
      <c r="G324" s="1" t="s">
        <v>1617</v>
      </c>
      <c r="K324" s="58" t="s">
        <v>1573</v>
      </c>
      <c r="N324" s="1" t="e">
        <f>IF(#REF!="Ja",VLOOKUP(A324,'[1]ZArtefakte aus Listen'!A:B,2,0),"")</f>
        <v>#REF!</v>
      </c>
      <c r="P324" s="58"/>
      <c r="Q324" s="1" t="e">
        <f>IF(#REF!="Ja",VLOOKUP(A324,'[1]ZArtefakte aus Listen'!A:D,4,0),"")</f>
        <v>#REF!</v>
      </c>
    </row>
    <row r="325" spans="1:17" ht="12.6" hidden="1">
      <c r="A325" s="1" t="s">
        <v>708</v>
      </c>
      <c r="B325" s="1" t="str">
        <f>VLOOKUP(A325,'Z-Programme'!$A$2:$A$650,1,FALSE)</f>
        <v>ZFI_RATE01</v>
      </c>
      <c r="C325" s="1" t="s">
        <v>709</v>
      </c>
      <c r="D325" s="1" t="s">
        <v>1533</v>
      </c>
      <c r="E325" s="1" t="s">
        <v>1558</v>
      </c>
      <c r="F325" s="1" t="s">
        <v>1549</v>
      </c>
      <c r="G325" s="1" t="s">
        <v>1684</v>
      </c>
      <c r="K325" s="58" t="s">
        <v>1573</v>
      </c>
      <c r="N325" s="1" t="e">
        <f>IF(#REF!="Ja",VLOOKUP(A325,'[1]ZArtefakte aus Listen'!A:B,2,0),"")</f>
        <v>#REF!</v>
      </c>
      <c r="P325" s="58"/>
      <c r="Q325" s="1" t="e">
        <f>IF(#REF!="Ja",VLOOKUP(A325,'[1]ZArtefakte aus Listen'!A:D,4,0),"")</f>
        <v>#REF!</v>
      </c>
    </row>
    <row r="326" spans="1:17" ht="12.6" hidden="1">
      <c r="A326" s="1" t="s">
        <v>710</v>
      </c>
      <c r="B326" s="1" t="str">
        <f>VLOOKUP(A326,'Z-Programme'!$A$2:$A$650,1,FALSE)</f>
        <v>ZFI_RATEN_RUECK01</v>
      </c>
      <c r="C326" s="1" t="s">
        <v>711</v>
      </c>
      <c r="D326" s="1" t="s">
        <v>1533</v>
      </c>
      <c r="E326" s="1" t="s">
        <v>1558</v>
      </c>
      <c r="F326" s="1" t="s">
        <v>1549</v>
      </c>
      <c r="G326" s="1" t="s">
        <v>1684</v>
      </c>
      <c r="K326" s="58" t="s">
        <v>1573</v>
      </c>
      <c r="N326" s="1" t="e">
        <f>IF(#REF!="Ja",VLOOKUP(A326,'[1]ZArtefakte aus Listen'!A:B,2,0),"")</f>
        <v>#REF!</v>
      </c>
      <c r="P326" s="58"/>
      <c r="Q326" s="1" t="e">
        <f>IF(#REF!="Ja",VLOOKUP(A326,'[1]ZArtefakte aus Listen'!A:D,4,0),"")</f>
        <v>#REF!</v>
      </c>
    </row>
    <row r="327" spans="1:17" ht="12.6" hidden="1">
      <c r="A327" s="1" t="s">
        <v>712</v>
      </c>
      <c r="B327" s="1" t="str">
        <f>VLOOKUP(A327,'Z-Programme'!$A$2:$A$650,1,FALSE)</f>
        <v>ZFI_RATEN_UEBERGABE</v>
      </c>
      <c r="C327" s="1" t="s">
        <v>712</v>
      </c>
      <c r="D327" s="1" t="s">
        <v>1533</v>
      </c>
      <c r="E327" s="1" t="s">
        <v>1558</v>
      </c>
      <c r="F327" s="1" t="s">
        <v>1549</v>
      </c>
      <c r="G327" s="1" t="s">
        <v>1684</v>
      </c>
      <c r="K327" s="58" t="s">
        <v>1573</v>
      </c>
      <c r="N327" s="1" t="e">
        <f>IF(#REF!="Ja",VLOOKUP(A327,'[1]ZArtefakte aus Listen'!A:B,2,0),"")</f>
        <v>#REF!</v>
      </c>
      <c r="P327" s="58"/>
      <c r="Q327" s="1" t="e">
        <f>IF(#REF!="Ja",VLOOKUP(A327,'[1]ZArtefakte aus Listen'!A:D,4,0),"")</f>
        <v>#REF!</v>
      </c>
    </row>
    <row r="328" spans="1:17" ht="12.6" hidden="1">
      <c r="A328" s="1" t="s">
        <v>713</v>
      </c>
      <c r="B328" s="1" t="str">
        <f>VLOOKUP(A328,'Z-Programme'!$A$2:$A$650,1,FALSE)</f>
        <v>ZFI_RATENZINS</v>
      </c>
      <c r="C328" s="1" t="s">
        <v>714</v>
      </c>
      <c r="D328" s="1" t="s">
        <v>1533</v>
      </c>
      <c r="E328" s="1" t="s">
        <v>1534</v>
      </c>
      <c r="F328" s="1" t="s">
        <v>1544</v>
      </c>
      <c r="J328" s="5" t="s">
        <v>1536</v>
      </c>
      <c r="K328" s="1" t="s">
        <v>1537</v>
      </c>
      <c r="L328" s="1" t="s">
        <v>1628</v>
      </c>
      <c r="N328" s="1" t="e">
        <f>IF(#REF!="Ja",VLOOKUP(A328,'[1]ZArtefakte aus Listen'!A:B,2,0),"")</f>
        <v>#REF!</v>
      </c>
    </row>
    <row r="329" spans="1:17" ht="12.6" hidden="1">
      <c r="A329" s="1" t="s">
        <v>715</v>
      </c>
      <c r="B329" s="1" t="str">
        <f>VLOOKUP(A329,'Z-Programme'!$A$2:$A$650,1,FALSE)</f>
        <v>ZFI_RATENZINS_DRUCKPGM</v>
      </c>
      <c r="C329" s="1" t="s">
        <v>716</v>
      </c>
      <c r="D329" s="1" t="s">
        <v>1533</v>
      </c>
      <c r="E329" s="1" t="s">
        <v>1534</v>
      </c>
      <c r="F329" s="1" t="s">
        <v>1544</v>
      </c>
      <c r="J329" s="5" t="s">
        <v>1536</v>
      </c>
      <c r="K329" s="1" t="s">
        <v>1537</v>
      </c>
      <c r="L329" s="1" t="s">
        <v>1628</v>
      </c>
      <c r="N329" s="1" t="e">
        <f>IF(#REF!="Ja",VLOOKUP(A329,'[1]ZArtefakte aus Listen'!A:B,2,0),"")</f>
        <v>#REF!</v>
      </c>
    </row>
    <row r="330" spans="1:17" ht="12.6" hidden="1">
      <c r="A330" s="1" t="s">
        <v>717</v>
      </c>
      <c r="B330" s="1" t="str">
        <f>VLOOKUP(A330,'Z-Programme'!$A$2:$A$650,1,FALSE)</f>
        <v>ZFI_REB_CHECK</v>
      </c>
      <c r="C330" s="1" t="s">
        <v>718</v>
      </c>
      <c r="D330" s="1" t="s">
        <v>1533</v>
      </c>
      <c r="E330" s="1" t="s">
        <v>1534</v>
      </c>
      <c r="F330" s="1" t="s">
        <v>1544</v>
      </c>
      <c r="J330" s="5" t="s">
        <v>1536</v>
      </c>
      <c r="K330" s="1" t="s">
        <v>1537</v>
      </c>
      <c r="L330" s="1" t="s">
        <v>1611</v>
      </c>
      <c r="N330" s="1" t="e">
        <f>IF(#REF!="Ja",VLOOKUP(A330,'[1]ZArtefakte aus Listen'!A:B,2,0),"")</f>
        <v>#REF!</v>
      </c>
      <c r="Q330" s="1" t="e">
        <f>IF(#REF!="Ja",VLOOKUP(A330,'[1]ZArtefakte aus Listen'!A:D,4,0),"")</f>
        <v>#REF!</v>
      </c>
    </row>
    <row r="331" spans="1:17" ht="12.6" hidden="1">
      <c r="A331" s="1" t="s">
        <v>719</v>
      </c>
      <c r="B331" s="1" t="str">
        <f>VLOOKUP(A331,'Z-Programme'!$A$2:$A$650,1,FALSE)</f>
        <v>ZFI_REB_DISPIMAGE</v>
      </c>
      <c r="C331" s="1" t="s">
        <v>720</v>
      </c>
      <c r="D331" s="1" t="s">
        <v>1533</v>
      </c>
      <c r="E331" s="1" t="s">
        <v>1534</v>
      </c>
      <c r="F331" s="1" t="s">
        <v>1544</v>
      </c>
      <c r="J331" s="5" t="s">
        <v>1536</v>
      </c>
      <c r="K331" s="1" t="s">
        <v>1537</v>
      </c>
      <c r="L331" s="1" t="s">
        <v>1611</v>
      </c>
      <c r="N331" s="1" t="e">
        <f>IF(#REF!="Ja",VLOOKUP(A331,'[1]ZArtefakte aus Listen'!A:B,2,0),"")</f>
        <v>#REF!</v>
      </c>
      <c r="Q331" s="1" t="e">
        <f>IF(#REF!="Ja",VLOOKUP(A331,'[1]ZArtefakte aus Listen'!A:D,4,0),"")</f>
        <v>#REF!</v>
      </c>
    </row>
    <row r="332" spans="1:17" ht="12.6" hidden="1">
      <c r="A332" s="1" t="s">
        <v>721</v>
      </c>
      <c r="B332" s="1" t="str">
        <f>VLOOKUP(A332,'Z-Programme'!$A$2:$A$650,1,FALSE)</f>
        <v>ZFI_REB_P_ARCH_PROC_SHEETS</v>
      </c>
      <c r="C332" s="1" t="s">
        <v>722</v>
      </c>
      <c r="D332" s="1" t="s">
        <v>1533</v>
      </c>
      <c r="E332" s="1" t="s">
        <v>1534</v>
      </c>
      <c r="F332" s="1" t="s">
        <v>1544</v>
      </c>
      <c r="J332" s="5" t="s">
        <v>1536</v>
      </c>
      <c r="K332" s="1" t="s">
        <v>1537</v>
      </c>
      <c r="L332" s="1" t="s">
        <v>1611</v>
      </c>
      <c r="N332" s="1" t="e">
        <f>IF(#REF!="Ja",VLOOKUP(A332,'[1]ZArtefakte aus Listen'!A:B,2,0),"")</f>
        <v>#REF!</v>
      </c>
      <c r="Q332" s="1" t="e">
        <f>IF(#REF!="Ja",VLOOKUP(A332,'[1]ZArtefakte aus Listen'!A:D,4,0),"")</f>
        <v>#REF!</v>
      </c>
    </row>
    <row r="333" spans="1:17" ht="12.6" hidden="1">
      <c r="A333" s="1" t="s">
        <v>723</v>
      </c>
      <c r="B333" s="1" t="str">
        <f>VLOOKUP(A333,'Z-Programme'!$A$2:$A$650,1,FALSE)</f>
        <v>ZFI_REB_P_ARCHIVE_LEDGER</v>
      </c>
      <c r="C333" s="1" t="s">
        <v>724</v>
      </c>
      <c r="D333" s="1" t="s">
        <v>1533</v>
      </c>
      <c r="E333" s="1" t="s">
        <v>1534</v>
      </c>
      <c r="F333" s="1" t="s">
        <v>1544</v>
      </c>
      <c r="J333" s="5" t="s">
        <v>1536</v>
      </c>
      <c r="K333" s="1" t="s">
        <v>1537</v>
      </c>
      <c r="L333" s="1" t="s">
        <v>1611</v>
      </c>
      <c r="N333" s="1" t="e">
        <f>IF(#REF!="Ja",VLOOKUP(A333,'[1]ZArtefakte aus Listen'!A:B,2,0),"")</f>
        <v>#REF!</v>
      </c>
      <c r="Q333" s="1" t="e">
        <f>IF(#REF!="Ja",VLOOKUP(A333,'[1]ZArtefakte aus Listen'!A:D,4,0),"")</f>
        <v>#REF!</v>
      </c>
    </row>
    <row r="334" spans="1:17" ht="12.6" hidden="1">
      <c r="A334" s="1" t="s">
        <v>725</v>
      </c>
      <c r="B334" s="1" t="str">
        <f>VLOOKUP(A334,'Z-Programme'!$A$2:$A$650,1,FALSE)</f>
        <v>ZFI_REB_P_ARCHIVE_LEDGER_DEL</v>
      </c>
      <c r="C334" s="1" t="s">
        <v>724</v>
      </c>
      <c r="D334" s="1" t="s">
        <v>1533</v>
      </c>
      <c r="E334" s="1" t="s">
        <v>1534</v>
      </c>
      <c r="F334" s="1" t="s">
        <v>1544</v>
      </c>
      <c r="J334" s="5" t="s">
        <v>1536</v>
      </c>
      <c r="K334" s="1" t="s">
        <v>1537</v>
      </c>
      <c r="L334" s="1" t="s">
        <v>1611</v>
      </c>
      <c r="N334" s="1" t="e">
        <f>IF(#REF!="Ja",VLOOKUP(A334,'[1]ZArtefakte aus Listen'!A:B,2,0),"")</f>
        <v>#REF!</v>
      </c>
      <c r="Q334" s="1" t="e">
        <f>IF(#REF!="Ja",VLOOKUP(A334,'[1]ZArtefakte aus Listen'!A:D,4,0),"")</f>
        <v>#REF!</v>
      </c>
    </row>
    <row r="335" spans="1:17" ht="12.6" hidden="1">
      <c r="A335" s="1" t="s">
        <v>726</v>
      </c>
      <c r="B335" s="1" t="str">
        <f>VLOOKUP(A335,'Z-Programme'!$A$2:$A$650,1,FALSE)</f>
        <v>ZFI_REB_P_ARCHIVE_SHEETS</v>
      </c>
      <c r="C335" s="1" t="s">
        <v>727</v>
      </c>
      <c r="D335" s="1" t="s">
        <v>1533</v>
      </c>
      <c r="E335" s="1" t="s">
        <v>1534</v>
      </c>
      <c r="F335" s="1" t="s">
        <v>1544</v>
      </c>
      <c r="J335" s="5" t="s">
        <v>1536</v>
      </c>
      <c r="K335" s="1" t="s">
        <v>1537</v>
      </c>
      <c r="L335" s="1" t="s">
        <v>1611</v>
      </c>
      <c r="N335" s="1" t="e">
        <f>IF(#REF!="Ja",VLOOKUP(A335,'[1]ZArtefakte aus Listen'!A:B,2,0),"")</f>
        <v>#REF!</v>
      </c>
      <c r="Q335" s="1" t="e">
        <f>IF(#REF!="Ja",VLOOKUP(A335,'[1]ZArtefakte aus Listen'!A:D,4,0),"")</f>
        <v>#REF!</v>
      </c>
    </row>
    <row r="336" spans="1:17" ht="12.6" hidden="1">
      <c r="A336" s="1" t="s">
        <v>728</v>
      </c>
      <c r="B336" s="1" t="str">
        <f>VLOOKUP(A336,'Z-Programme'!$A$2:$A$650,1,FALSE)</f>
        <v>ZFI_REB_P_CHANGE_DEVCL</v>
      </c>
      <c r="C336" s="1" t="s">
        <v>729</v>
      </c>
      <c r="D336" s="1" t="s">
        <v>1533</v>
      </c>
      <c r="E336" s="1" t="s">
        <v>1534</v>
      </c>
      <c r="F336" s="1" t="s">
        <v>1544</v>
      </c>
      <c r="J336" s="5" t="s">
        <v>1536</v>
      </c>
      <c r="K336" s="1" t="s">
        <v>1537</v>
      </c>
      <c r="L336" s="1" t="s">
        <v>1611</v>
      </c>
      <c r="N336" s="1" t="e">
        <f>IF(#REF!="Ja",VLOOKUP(A336,'[1]ZArtefakte aus Listen'!A:B,2,0),"")</f>
        <v>#REF!</v>
      </c>
      <c r="Q336" s="1" t="e">
        <f>IF(#REF!="Ja",VLOOKUP(A336,'[1]ZArtefakte aus Listen'!A:D,4,0),"")</f>
        <v>#REF!</v>
      </c>
    </row>
    <row r="337" spans="1:17" ht="12.6" hidden="1">
      <c r="A337" s="1" t="s">
        <v>730</v>
      </c>
      <c r="B337" s="1" t="str">
        <f>VLOOKUP(A337,'Z-Programme'!$A$2:$A$650,1,FALSE)</f>
        <v>ZFI_REB_P_CONNECTION_REB</v>
      </c>
      <c r="C337" s="1" t="s">
        <v>731</v>
      </c>
      <c r="D337" s="1" t="s">
        <v>1533</v>
      </c>
      <c r="E337" s="1" t="s">
        <v>1534</v>
      </c>
      <c r="F337" s="1" t="s">
        <v>1544</v>
      </c>
      <c r="J337" s="5" t="s">
        <v>1536</v>
      </c>
      <c r="K337" s="1" t="s">
        <v>1537</v>
      </c>
      <c r="L337" s="1" t="s">
        <v>1611</v>
      </c>
      <c r="N337" s="1" t="e">
        <f>IF(#REF!="Ja",VLOOKUP(A337,'[1]ZArtefakte aus Listen'!A:B,2,0),"")</f>
        <v>#REF!</v>
      </c>
      <c r="Q337" s="1" t="e">
        <f>IF(#REF!="Ja",VLOOKUP(A337,'[1]ZArtefakte aus Listen'!A:D,4,0),"")</f>
        <v>#REF!</v>
      </c>
    </row>
    <row r="338" spans="1:17" ht="12.6" hidden="1">
      <c r="A338" s="1" t="s">
        <v>732</v>
      </c>
      <c r="B338" s="1" t="str">
        <f>VLOOKUP(A338,'Z-Programme'!$A$2:$A$650,1,FALSE)</f>
        <v>ZFI_REB_P_DOC_CHECK</v>
      </c>
      <c r="C338" s="1" t="s">
        <v>733</v>
      </c>
      <c r="D338" s="1" t="s">
        <v>1533</v>
      </c>
      <c r="E338" s="1" t="s">
        <v>1534</v>
      </c>
      <c r="F338" s="1" t="s">
        <v>1544</v>
      </c>
      <c r="J338" s="5" t="s">
        <v>1536</v>
      </c>
      <c r="K338" s="1" t="s">
        <v>1537</v>
      </c>
      <c r="L338" s="1" t="s">
        <v>1611</v>
      </c>
      <c r="N338" s="1" t="e">
        <f>IF(#REF!="Ja",VLOOKUP(A338,'[1]ZArtefakte aus Listen'!A:B,2,0),"")</f>
        <v>#REF!</v>
      </c>
      <c r="Q338" s="1" t="e">
        <f>IF(#REF!="Ja",VLOOKUP(A338,'[1]ZArtefakte aus Listen'!A:D,4,0),"")</f>
        <v>#REF!</v>
      </c>
    </row>
    <row r="339" spans="1:17" ht="12.6" hidden="1">
      <c r="A339" s="1" t="s">
        <v>734</v>
      </c>
      <c r="B339" s="1" t="str">
        <f>VLOOKUP(A339,'Z-Programme'!$A$2:$A$650,1,FALSE)</f>
        <v>ZFI_REB_P_DOC_CHECK2</v>
      </c>
      <c r="C339" s="1" t="s">
        <v>735</v>
      </c>
      <c r="D339" s="1" t="s">
        <v>1533</v>
      </c>
      <c r="E339" s="1" t="s">
        <v>1534</v>
      </c>
      <c r="F339" s="1" t="s">
        <v>1544</v>
      </c>
      <c r="J339" s="5" t="s">
        <v>1536</v>
      </c>
      <c r="K339" s="1" t="s">
        <v>1537</v>
      </c>
      <c r="L339" s="1" t="s">
        <v>1611</v>
      </c>
      <c r="N339" s="1" t="e">
        <f>IF(#REF!="Ja",VLOOKUP(A339,'[1]ZArtefakte aus Listen'!A:B,2,0),"")</f>
        <v>#REF!</v>
      </c>
      <c r="Q339" s="1" t="e">
        <f>IF(#REF!="Ja",VLOOKUP(A339,'[1]ZArtefakte aus Listen'!A:D,4,0),"")</f>
        <v>#REF!</v>
      </c>
    </row>
    <row r="340" spans="1:17" ht="12.6" hidden="1">
      <c r="A340" s="1" t="s">
        <v>736</v>
      </c>
      <c r="B340" s="1" t="str">
        <f>VLOOKUP(A340,'Z-Programme'!$A$2:$A$650,1,FALSE)</f>
        <v>ZFI_REB_P_LEDGER</v>
      </c>
      <c r="C340" s="1" t="s">
        <v>737</v>
      </c>
      <c r="D340" s="1" t="s">
        <v>1533</v>
      </c>
      <c r="E340" s="1" t="s">
        <v>1534</v>
      </c>
      <c r="F340" s="1" t="s">
        <v>1544</v>
      </c>
      <c r="J340" s="5" t="s">
        <v>1536</v>
      </c>
      <c r="K340" s="1" t="s">
        <v>1537</v>
      </c>
      <c r="L340" s="1" t="s">
        <v>1611</v>
      </c>
      <c r="N340" s="1" t="e">
        <f>IF(#REF!="Ja",VLOOKUP(A340,'[1]ZArtefakte aus Listen'!A:B,2,0),"")</f>
        <v>#REF!</v>
      </c>
      <c r="Q340" s="1" t="e">
        <f>IF(#REF!="Ja",VLOOKUP(A340,'[1]ZArtefakte aus Listen'!A:D,4,0),"")</f>
        <v>#REF!</v>
      </c>
    </row>
    <row r="341" spans="1:17" ht="12.6" hidden="1">
      <c r="A341" s="1" t="s">
        <v>738</v>
      </c>
      <c r="B341" s="1" t="str">
        <f>VLOOKUP(A341,'Z-Programme'!$A$2:$A$650,1,FALSE)</f>
        <v>ZFI_REB_P_LEDGER_CALL</v>
      </c>
      <c r="C341" s="1" t="s">
        <v>739</v>
      </c>
      <c r="D341" s="1" t="s">
        <v>1533</v>
      </c>
      <c r="E341" s="1" t="s">
        <v>1534</v>
      </c>
      <c r="F341" s="1" t="s">
        <v>1544</v>
      </c>
      <c r="J341" s="5" t="s">
        <v>1536</v>
      </c>
      <c r="K341" s="1" t="s">
        <v>1537</v>
      </c>
      <c r="L341" s="1" t="s">
        <v>1611</v>
      </c>
      <c r="N341" s="1" t="e">
        <f>IF(#REF!="Ja",VLOOKUP(A341,'[1]ZArtefakte aus Listen'!A:B,2,0),"")</f>
        <v>#REF!</v>
      </c>
      <c r="Q341" s="1" t="e">
        <f>IF(#REF!="Ja",VLOOKUP(A341,'[1]ZArtefakte aus Listen'!A:D,4,0),"")</f>
        <v>#REF!</v>
      </c>
    </row>
    <row r="342" spans="1:17" ht="12.6" hidden="1">
      <c r="A342" s="1" t="s">
        <v>740</v>
      </c>
      <c r="B342" s="1" t="str">
        <f>VLOOKUP(A342,'Z-Programme'!$A$2:$A$650,1,FALSE)</f>
        <v>ZFI_REB_P_UPDATE_ZAHLLAUF</v>
      </c>
      <c r="C342" s="1" t="s">
        <v>741</v>
      </c>
      <c r="D342" s="1" t="s">
        <v>1533</v>
      </c>
      <c r="E342" s="1" t="s">
        <v>1534</v>
      </c>
      <c r="F342" s="1" t="s">
        <v>1544</v>
      </c>
      <c r="J342" s="5" t="s">
        <v>1536</v>
      </c>
      <c r="K342" s="1" t="s">
        <v>1537</v>
      </c>
      <c r="L342" s="1" t="s">
        <v>1611</v>
      </c>
      <c r="N342" s="1" t="e">
        <f>IF(#REF!="Ja",VLOOKUP(A342,'[1]ZArtefakte aus Listen'!A:B,2,0),"")</f>
        <v>#REF!</v>
      </c>
      <c r="Q342" s="1" t="e">
        <f>IF(#REF!="Ja",VLOOKUP(A342,'[1]ZArtefakte aus Listen'!A:D,4,0),"")</f>
        <v>#REF!</v>
      </c>
    </row>
    <row r="343" spans="1:17" ht="12.6" hidden="1">
      <c r="A343" s="1" t="s">
        <v>742</v>
      </c>
      <c r="B343" s="1" t="str">
        <f>VLOOKUP(A343,'Z-Programme'!$A$2:$A$650,1,FALSE)</f>
        <v>ZFI_REBHIS_ARCHCHECK</v>
      </c>
      <c r="C343" s="1" t="s">
        <v>743</v>
      </c>
      <c r="D343" s="1" t="s">
        <v>1533</v>
      </c>
      <c r="E343" s="1" t="s">
        <v>1534</v>
      </c>
      <c r="F343" s="1" t="s">
        <v>1544</v>
      </c>
      <c r="J343" s="5" t="s">
        <v>1536</v>
      </c>
      <c r="K343" s="1" t="s">
        <v>1537</v>
      </c>
      <c r="L343" s="1" t="s">
        <v>1611</v>
      </c>
      <c r="N343" s="1" t="e">
        <f>IF(#REF!="Ja",VLOOKUP(A343,'[1]ZArtefakte aus Listen'!A:B,2,0),"")</f>
        <v>#REF!</v>
      </c>
      <c r="Q343" s="1" t="e">
        <f>IF(#REF!="Ja",VLOOKUP(A343,'[1]ZArtefakte aus Listen'!A:D,4,0),"")</f>
        <v>#REF!</v>
      </c>
    </row>
    <row r="344" spans="1:17" ht="12.6" hidden="1">
      <c r="A344" s="1" t="s">
        <v>744</v>
      </c>
      <c r="B344" s="1" t="str">
        <f>VLOOKUP(A344,'Z-Programme'!$A$2:$A$650,1,FALSE)</f>
        <v>ZFI_RECHNUNG_WUERTH</v>
      </c>
      <c r="C344" s="1" t="s">
        <v>746</v>
      </c>
      <c r="D344" s="1" t="s">
        <v>1533</v>
      </c>
      <c r="E344" s="1" t="s">
        <v>1534</v>
      </c>
      <c r="F344" s="1" t="s">
        <v>1544</v>
      </c>
      <c r="G344" s="1" t="s">
        <v>1617</v>
      </c>
      <c r="H344" s="58" t="s">
        <v>1708</v>
      </c>
      <c r="I344" s="58" t="s">
        <v>1556</v>
      </c>
      <c r="K344" s="58" t="s">
        <v>1573</v>
      </c>
      <c r="L344" s="1" t="s">
        <v>1709</v>
      </c>
      <c r="N344" s="1" t="e">
        <f>IF(#REF!="Ja",VLOOKUP(A344,'[1]ZArtefakte aus Listen'!A:B,2,0),"")</f>
        <v>#REF!</v>
      </c>
      <c r="P344" s="58"/>
      <c r="Q344" s="1" t="e">
        <f>IF(#REF!="Ja",VLOOKUP(A344,'[1]ZArtefakte aus Listen'!A:D,4,0),"")</f>
        <v>#REF!</v>
      </c>
    </row>
    <row r="345" spans="1:17" ht="12.6" hidden="1">
      <c r="A345" s="1" t="s">
        <v>747</v>
      </c>
      <c r="B345" s="1" t="str">
        <f>VLOOKUP(A345,'Z-Programme'!$A$2:$A$650,1,FALSE)</f>
        <v>ZFI_REGZAHL</v>
      </c>
      <c r="C345" s="1" t="s">
        <v>749</v>
      </c>
      <c r="D345" s="1" t="s">
        <v>1533</v>
      </c>
      <c r="E345" s="1" t="s">
        <v>1558</v>
      </c>
      <c r="F345" s="1" t="s">
        <v>1549</v>
      </c>
      <c r="G345" s="1" t="s">
        <v>1710</v>
      </c>
      <c r="K345" s="58" t="s">
        <v>1573</v>
      </c>
      <c r="N345" s="1" t="e">
        <f>IF(#REF!="Ja",VLOOKUP(A345,'[1]ZArtefakte aus Listen'!A:B,2,0),"")</f>
        <v>#REF!</v>
      </c>
      <c r="P345" s="58"/>
      <c r="Q345" s="1" t="e">
        <f>IF(#REF!="Ja",VLOOKUP(A345,'[1]ZArtefakte aus Listen'!A:D,4,0),"")</f>
        <v>#REF!</v>
      </c>
    </row>
    <row r="346" spans="1:17" ht="12.6" hidden="1">
      <c r="A346" s="1" t="s">
        <v>750</v>
      </c>
      <c r="B346" s="1" t="str">
        <f>VLOOKUP(A346,'Z-Programme'!$A$2:$A$650,1,FALSE)</f>
        <v>ZFI_RFAWVZ40_OHNE_LZBKZ</v>
      </c>
      <c r="C346" s="1" t="s">
        <v>751</v>
      </c>
      <c r="D346" s="1" t="s">
        <v>1533</v>
      </c>
      <c r="E346" s="1" t="s">
        <v>1534</v>
      </c>
      <c r="F346" s="1" t="s">
        <v>1544</v>
      </c>
      <c r="J346" s="5" t="s">
        <v>1536</v>
      </c>
      <c r="K346" s="1" t="s">
        <v>1537</v>
      </c>
      <c r="L346" s="1" t="s">
        <v>1611</v>
      </c>
      <c r="N346" s="1" t="e">
        <f>IF(#REF!="Ja",VLOOKUP(A346,'[1]ZArtefakte aus Listen'!A:B,2,0),"")</f>
        <v>#REF!</v>
      </c>
    </row>
    <row r="347" spans="1:17" ht="12.6" hidden="1">
      <c r="A347" s="1" t="s">
        <v>752</v>
      </c>
      <c r="B347" s="1" t="str">
        <f>VLOOKUP(A347,'Z-Programme'!$A$2:$A$650,1,FALSE)</f>
        <v>ZFI_RFBABL00</v>
      </c>
      <c r="C347" s="1" t="s">
        <v>753</v>
      </c>
      <c r="D347" s="1" t="s">
        <v>1533</v>
      </c>
      <c r="E347" s="1" t="s">
        <v>1534</v>
      </c>
      <c r="F347" s="1" t="s">
        <v>1544</v>
      </c>
      <c r="J347" s="5" t="s">
        <v>1536</v>
      </c>
      <c r="K347" s="1" t="s">
        <v>1537</v>
      </c>
      <c r="L347" s="1" t="s">
        <v>1611</v>
      </c>
      <c r="N347" s="1" t="e">
        <f>IF(#REF!="Ja",VLOOKUP(A347,'[1]ZArtefakte aus Listen'!A:B,2,0),"")</f>
        <v>#REF!</v>
      </c>
      <c r="Q347" s="1" t="e">
        <f>IF(#REF!="Ja",VLOOKUP(A347,'[1]ZArtefakte aus Listen'!A:D,4,0),"")</f>
        <v>#REF!</v>
      </c>
    </row>
    <row r="348" spans="1:17" ht="12.6" hidden="1">
      <c r="A348" s="8" t="s">
        <v>754</v>
      </c>
      <c r="B348" s="1" t="str">
        <f>VLOOKUP(A348,'Z-Programme'!$A$2:$A$650,1,FALSE)</f>
        <v>ZFI_RFBILA00</v>
      </c>
      <c r="C348" s="1" t="s">
        <v>755</v>
      </c>
      <c r="D348" s="1" t="s">
        <v>1533</v>
      </c>
      <c r="E348" s="1" t="s">
        <v>1558</v>
      </c>
      <c r="F348" s="1" t="s">
        <v>1629</v>
      </c>
      <c r="G348" s="1" t="s">
        <v>1689</v>
      </c>
      <c r="I348" s="1" t="s">
        <v>1635</v>
      </c>
      <c r="J348" s="5" t="s">
        <v>1536</v>
      </c>
      <c r="K348" s="1" t="s">
        <v>1542</v>
      </c>
      <c r="L348" s="1" t="s">
        <v>1711</v>
      </c>
      <c r="N348" s="1" t="e">
        <f>IF(#REF!="Ja",VLOOKUP(A348,'[1]ZArtefakte aus Listen'!A:B,2,0),"")</f>
        <v>#REF!</v>
      </c>
    </row>
    <row r="349" spans="1:17" ht="12.6" hidden="1">
      <c r="A349" s="1" t="s">
        <v>756</v>
      </c>
      <c r="B349" s="1" t="str">
        <f>VLOOKUP(A349,'Z-Programme'!$A$2:$A$650,1,FALSE)</f>
        <v>ZFI_RFCASH20</v>
      </c>
      <c r="C349" s="1" t="s">
        <v>757</v>
      </c>
      <c r="D349" s="1" t="s">
        <v>1533</v>
      </c>
      <c r="E349" s="1" t="s">
        <v>1534</v>
      </c>
      <c r="F349" s="1" t="s">
        <v>1544</v>
      </c>
      <c r="J349" s="5" t="s">
        <v>1536</v>
      </c>
      <c r="K349" s="1" t="s">
        <v>1537</v>
      </c>
      <c r="L349" s="1" t="s">
        <v>1628</v>
      </c>
      <c r="N349" s="1" t="e">
        <f>IF(#REF!="Ja",VLOOKUP(A349,'[1]ZArtefakte aus Listen'!A:B,2,0),"")</f>
        <v>#REF!</v>
      </c>
    </row>
    <row r="350" spans="1:17" ht="12.6" hidden="1">
      <c r="A350" s="1" t="s">
        <v>758</v>
      </c>
      <c r="B350" s="1" t="str">
        <f>VLOOKUP(A350,'Z-Programme'!$A$2:$A$650,1,FALSE)</f>
        <v>ZFI_RFDABL00</v>
      </c>
      <c r="C350" s="1" t="s">
        <v>759</v>
      </c>
      <c r="D350" s="1" t="s">
        <v>1533</v>
      </c>
      <c r="E350" s="1" t="s">
        <v>1534</v>
      </c>
      <c r="F350" s="1" t="s">
        <v>1544</v>
      </c>
      <c r="J350" s="5" t="s">
        <v>1536</v>
      </c>
      <c r="K350" s="1" t="s">
        <v>1537</v>
      </c>
      <c r="L350" s="1" t="s">
        <v>1611</v>
      </c>
      <c r="N350" s="1" t="e">
        <f>IF(#REF!="Ja",VLOOKUP(A350,'[1]ZArtefakte aus Listen'!A:B,2,0),"")</f>
        <v>#REF!</v>
      </c>
      <c r="Q350" s="1" t="e">
        <f>IF(#REF!="Ja",VLOOKUP(A350,'[1]ZArtefakte aus Listen'!A:D,4,0),"")</f>
        <v>#REF!</v>
      </c>
    </row>
    <row r="351" spans="1:17" ht="12.6" hidden="1">
      <c r="A351" s="1" t="s">
        <v>760</v>
      </c>
      <c r="B351" s="1" t="str">
        <f>VLOOKUP(A351,'Z-Programme'!$A$2:$A$650,1,FALSE)</f>
        <v>ZFI_RFDABL00_ALT</v>
      </c>
      <c r="C351" s="1" t="s">
        <v>761</v>
      </c>
      <c r="D351" s="1" t="s">
        <v>1533</v>
      </c>
      <c r="E351" s="1" t="s">
        <v>1534</v>
      </c>
      <c r="F351" s="1" t="s">
        <v>1544</v>
      </c>
      <c r="J351" s="5" t="s">
        <v>1536</v>
      </c>
      <c r="K351" s="1" t="s">
        <v>1537</v>
      </c>
      <c r="L351" s="1" t="s">
        <v>1712</v>
      </c>
      <c r="N351" s="1" t="e">
        <f>IF(#REF!="Ja",VLOOKUP(A351,'[1]ZArtefakte aus Listen'!A:B,2,0),"")</f>
        <v>#REF!</v>
      </c>
      <c r="Q351" s="1" t="e">
        <f>IF(#REF!="Ja",VLOOKUP(A351,'[1]ZArtefakte aus Listen'!A:D,4,0),"")</f>
        <v>#REF!</v>
      </c>
    </row>
    <row r="352" spans="1:17" ht="12.6" hidden="1">
      <c r="A352" s="1" t="s">
        <v>762</v>
      </c>
      <c r="B352" s="1" t="str">
        <f>VLOOKUP(A352,'Z-Programme'!$A$2:$A$650,1,FALSE)</f>
        <v>ZFI_RFKABL00</v>
      </c>
      <c r="C352" s="1" t="s">
        <v>764</v>
      </c>
      <c r="D352" s="1" t="s">
        <v>1533</v>
      </c>
      <c r="E352" s="1" t="s">
        <v>1534</v>
      </c>
      <c r="F352" s="1" t="s">
        <v>1544</v>
      </c>
      <c r="G352" s="1" t="s">
        <v>1617</v>
      </c>
      <c r="H352" s="58" t="s">
        <v>1708</v>
      </c>
      <c r="I352" s="58" t="s">
        <v>1556</v>
      </c>
      <c r="K352" s="58" t="s">
        <v>1573</v>
      </c>
      <c r="L352" s="1" t="s">
        <v>1713</v>
      </c>
      <c r="N352" s="1" t="e">
        <f>IF(#REF!="Ja",VLOOKUP(A352,'[1]ZArtefakte aus Listen'!A:B,2,0),"")</f>
        <v>#REF!</v>
      </c>
      <c r="P352" s="58"/>
      <c r="Q352" s="1" t="e">
        <f>IF(#REF!="Ja",VLOOKUP(A352,'[1]ZArtefakte aus Listen'!A:D,4,0),"")</f>
        <v>#REF!</v>
      </c>
    </row>
    <row r="353" spans="1:17" ht="12.6" hidden="1">
      <c r="A353" s="1" t="s">
        <v>765</v>
      </c>
      <c r="B353" s="1" t="str">
        <f>VLOOKUP(A353,'Z-Programme'!$A$2:$A$650,1,FALSE)</f>
        <v>ZFI_RFSEPA02</v>
      </c>
      <c r="C353" s="1" t="s">
        <v>766</v>
      </c>
      <c r="D353" s="1" t="s">
        <v>1533</v>
      </c>
      <c r="E353" s="1" t="s">
        <v>1558</v>
      </c>
      <c r="F353" s="1" t="s">
        <v>1549</v>
      </c>
      <c r="J353" s="5" t="s">
        <v>1536</v>
      </c>
      <c r="K353" s="1" t="s">
        <v>1542</v>
      </c>
      <c r="L353" s="1" t="s">
        <v>1714</v>
      </c>
      <c r="M353" s="5" t="s">
        <v>1536</v>
      </c>
      <c r="N353" s="1" t="e">
        <f>IF(#REF!="Ja",VLOOKUP(A353,'[1]ZArtefakte aus Listen'!A:B,2,0),"")</f>
        <v>#REF!</v>
      </c>
    </row>
    <row r="354" spans="1:17" ht="12.6" hidden="1">
      <c r="A354" s="1" t="s">
        <v>767</v>
      </c>
      <c r="B354" s="1" t="str">
        <f>VLOOKUP(A354,'Z-Programme'!$A$2:$A$650,1,FALSE)</f>
        <v>ZFI_RSTTAB</v>
      </c>
      <c r="C354" s="1" t="s">
        <v>768</v>
      </c>
      <c r="D354" s="1" t="s">
        <v>1533</v>
      </c>
      <c r="E354" s="1" t="s">
        <v>1534</v>
      </c>
      <c r="F354" s="1" t="s">
        <v>1544</v>
      </c>
      <c r="J354" s="5" t="s">
        <v>1536</v>
      </c>
      <c r="K354" s="1" t="s">
        <v>1537</v>
      </c>
      <c r="L354" s="1" t="s">
        <v>1628</v>
      </c>
      <c r="N354" s="1" t="e">
        <f>IF(#REF!="Ja",VLOOKUP(A354,'[1]ZArtefakte aus Listen'!A:B,2,0),"")</f>
        <v>#REF!</v>
      </c>
    </row>
    <row r="355" spans="1:17" ht="12.6" hidden="1">
      <c r="A355" s="1" t="s">
        <v>769</v>
      </c>
      <c r="B355" s="1" t="str">
        <f>VLOOKUP(A355,'Z-Programme'!$A$2:$A$650,1,FALSE)</f>
        <v>ZFI_SAKO_IMMO</v>
      </c>
      <c r="C355" s="1" t="s">
        <v>771</v>
      </c>
      <c r="D355" s="1" t="s">
        <v>1533</v>
      </c>
      <c r="E355" s="1" t="s">
        <v>1540</v>
      </c>
      <c r="F355" s="1" t="s">
        <v>1715</v>
      </c>
      <c r="J355" s="5" t="s">
        <v>1536</v>
      </c>
      <c r="K355" s="1" t="s">
        <v>1542</v>
      </c>
      <c r="L355" s="1" t="s">
        <v>1619</v>
      </c>
      <c r="N355" s="1" t="e">
        <f>IF(#REF!="Ja",VLOOKUP(A355,'[1]ZArtefakte aus Listen'!A:B,2,0),"")</f>
        <v>#REF!</v>
      </c>
    </row>
    <row r="356" spans="1:17" ht="12.6" hidden="1">
      <c r="A356" s="1" t="s">
        <v>772</v>
      </c>
      <c r="B356" s="1" t="str">
        <f>VLOOKUP(A356,'Z-Programme'!$A$2:$A$650,1,FALSE)</f>
        <v>ZFI_SALDEN_CLUBS</v>
      </c>
      <c r="C356" s="1" t="s">
        <v>773</v>
      </c>
      <c r="D356" s="1" t="s">
        <v>1533</v>
      </c>
      <c r="E356" s="1" t="s">
        <v>1534</v>
      </c>
      <c r="F356" s="1" t="s">
        <v>1544</v>
      </c>
      <c r="J356" s="5" t="s">
        <v>1536</v>
      </c>
      <c r="K356" s="1" t="s">
        <v>1537</v>
      </c>
      <c r="L356" s="1" t="s">
        <v>1611</v>
      </c>
      <c r="N356" s="1" t="e">
        <f>IF(#REF!="Ja",VLOOKUP(A356,'[1]ZArtefakte aus Listen'!A:B,2,0),"")</f>
        <v>#REF!</v>
      </c>
      <c r="Q356" s="1" t="e">
        <f>IF(#REF!="Ja",VLOOKUP(A356,'[1]ZArtefakte aus Listen'!A:D,4,0),"")</f>
        <v>#REF!</v>
      </c>
    </row>
    <row r="357" spans="1:17" ht="12.6" hidden="1">
      <c r="A357" s="1" t="s">
        <v>774</v>
      </c>
      <c r="B357" s="1" t="str">
        <f>VLOOKUP(A357,'Z-Programme'!$A$2:$A$650,1,FALSE)</f>
        <v>ZFI_SALDEN_GLT0_TO_GLT3</v>
      </c>
      <c r="C357" s="1" t="s">
        <v>775</v>
      </c>
      <c r="D357" s="1" t="s">
        <v>1533</v>
      </c>
      <c r="E357" s="1" t="s">
        <v>1534</v>
      </c>
      <c r="F357" s="1" t="s">
        <v>1544</v>
      </c>
      <c r="J357" s="5" t="s">
        <v>1536</v>
      </c>
      <c r="K357" s="1" t="s">
        <v>1537</v>
      </c>
      <c r="L357" s="1" t="s">
        <v>1611</v>
      </c>
      <c r="N357" s="1" t="e">
        <f>IF(#REF!="Ja",VLOOKUP(A357,'[1]ZArtefakte aus Listen'!A:B,2,0),"")</f>
        <v>#REF!</v>
      </c>
      <c r="Q357" s="1" t="e">
        <f>IF(#REF!="Ja",VLOOKUP(A357,'[1]ZArtefakte aus Listen'!A:D,4,0),"")</f>
        <v>#REF!</v>
      </c>
    </row>
    <row r="358" spans="1:17" ht="12.6" hidden="1">
      <c r="A358" s="1" t="s">
        <v>776</v>
      </c>
      <c r="B358" s="1" t="str">
        <f>VLOOKUP(A358,'Z-Programme'!$A$2:$A$650,1,FALSE)</f>
        <v>ZFI_SALDEN_MITBUCHKONTO</v>
      </c>
      <c r="C358" s="1" t="s">
        <v>777</v>
      </c>
      <c r="D358" s="1" t="s">
        <v>1533</v>
      </c>
      <c r="E358" s="1" t="s">
        <v>1534</v>
      </c>
      <c r="F358" s="1" t="s">
        <v>1544</v>
      </c>
      <c r="J358" s="5" t="s">
        <v>1536</v>
      </c>
      <c r="K358" s="1" t="s">
        <v>1537</v>
      </c>
      <c r="L358" s="1" t="s">
        <v>1611</v>
      </c>
      <c r="N358" s="1" t="e">
        <f>IF(#REF!="Ja",VLOOKUP(A358,'[1]ZArtefakte aus Listen'!A:B,2,0),"")</f>
        <v>#REF!</v>
      </c>
      <c r="Q358" s="1" t="e">
        <f>IF(#REF!="Ja",VLOOKUP(A358,'[1]ZArtefakte aus Listen'!A:D,4,0),"")</f>
        <v>#REF!</v>
      </c>
    </row>
    <row r="359" spans="1:17" ht="12.6" hidden="1">
      <c r="A359" s="1" t="s">
        <v>778</v>
      </c>
      <c r="B359" s="1" t="str">
        <f>VLOOKUP(A359,'Z-Programme'!$A$2:$A$650,1,FALSE)</f>
        <v>ZFI_SAM_VBR_LISTE</v>
      </c>
      <c r="C359" s="1" t="s">
        <v>780</v>
      </c>
      <c r="D359" s="1" t="s">
        <v>1533</v>
      </c>
      <c r="E359" s="1" t="s">
        <v>1540</v>
      </c>
      <c r="F359" s="1" t="s">
        <v>1716</v>
      </c>
      <c r="J359" s="5" t="s">
        <v>1536</v>
      </c>
      <c r="K359" s="1" t="s">
        <v>1542</v>
      </c>
      <c r="L359" s="1" t="s">
        <v>1717</v>
      </c>
      <c r="N359" s="1" t="e">
        <f>IF(#REF!="Ja",VLOOKUP(A359,'[1]ZArtefakte aus Listen'!A:B,2,0),"")</f>
        <v>#REF!</v>
      </c>
    </row>
    <row r="360" spans="1:17" ht="12.6" hidden="1">
      <c r="A360" s="1" t="s">
        <v>781</v>
      </c>
      <c r="B360" s="1" t="str">
        <f>VLOOKUP(A360,'Z-Programme'!$A$2:$A$650,1,FALSE)</f>
        <v>ZFI_SAPF150D2</v>
      </c>
      <c r="C360" s="1" t="s">
        <v>782</v>
      </c>
      <c r="D360" s="1" t="s">
        <v>1533</v>
      </c>
      <c r="E360" s="1" t="s">
        <v>1534</v>
      </c>
      <c r="F360" s="1" t="s">
        <v>1544</v>
      </c>
      <c r="J360" s="5" t="s">
        <v>1536</v>
      </c>
      <c r="K360" s="1" t="s">
        <v>1537</v>
      </c>
      <c r="L360" s="1" t="s">
        <v>1611</v>
      </c>
      <c r="N360" s="1" t="e">
        <f>IF(#REF!="Ja",VLOOKUP(A360,'[1]ZArtefakte aus Listen'!A:B,2,0),"")</f>
        <v>#REF!</v>
      </c>
    </row>
    <row r="361" spans="1:17" ht="12.6" hidden="1">
      <c r="A361" s="1" t="s">
        <v>783</v>
      </c>
      <c r="B361" s="1" t="str">
        <f>VLOOKUP(A361,'Z-Programme'!$A$2:$A$650,1,FALSE)</f>
        <v>ZFI_SAPF150D2_OLD</v>
      </c>
      <c r="C361" s="1" t="s">
        <v>782</v>
      </c>
      <c r="D361" s="1" t="s">
        <v>1533</v>
      </c>
      <c r="E361" s="1" t="s">
        <v>1534</v>
      </c>
      <c r="F361" s="1" t="s">
        <v>1544</v>
      </c>
      <c r="J361" s="5" t="s">
        <v>1536</v>
      </c>
      <c r="K361" s="1" t="s">
        <v>1537</v>
      </c>
      <c r="L361" s="1" t="s">
        <v>1687</v>
      </c>
      <c r="N361" s="1" t="e">
        <f>IF(#REF!="Ja",VLOOKUP(A361,'[1]ZArtefakte aus Listen'!A:B,2,0),"")</f>
        <v>#REF!</v>
      </c>
    </row>
    <row r="362" spans="1:17" ht="12.6" hidden="1">
      <c r="A362" s="1" t="s">
        <v>784</v>
      </c>
      <c r="B362" s="1" t="str">
        <f>VLOOKUP(A362,'Z-Programme'!$A$2:$A$650,1,FALSE)</f>
        <v>ZFI_SCHECKDB</v>
      </c>
      <c r="C362" s="1" t="s">
        <v>786</v>
      </c>
      <c r="D362" s="1" t="s">
        <v>1533</v>
      </c>
      <c r="E362" s="1" t="s">
        <v>1558</v>
      </c>
      <c r="F362" s="1" t="s">
        <v>1718</v>
      </c>
      <c r="J362" s="5" t="s">
        <v>1536</v>
      </c>
      <c r="K362" s="1" t="s">
        <v>1542</v>
      </c>
      <c r="L362" s="1" t="s">
        <v>1560</v>
      </c>
      <c r="M362" s="5" t="s">
        <v>1536</v>
      </c>
      <c r="N362" s="1" t="e">
        <f>IF(#REF!="Ja",VLOOKUP(A362,'[1]ZArtefakte aus Listen'!A:B,2,0),"")</f>
        <v>#REF!</v>
      </c>
      <c r="Q362" s="1" t="e">
        <f>IF(#REF!="Ja",VLOOKUP(A362,'[1]ZArtefakte aus Listen'!A:D,4,0),"")</f>
        <v>#REF!</v>
      </c>
    </row>
    <row r="363" spans="1:17" ht="12.6" hidden="1">
      <c r="A363" s="1" t="s">
        <v>787</v>
      </c>
      <c r="B363" s="1" t="str">
        <f>VLOOKUP(A363,'Z-Programme'!$A$2:$A$650,1,FALSE)</f>
        <v>ZFI_SD_UM</v>
      </c>
      <c r="C363" s="1" t="s">
        <v>789</v>
      </c>
      <c r="D363" s="1" t="s">
        <v>1533</v>
      </c>
      <c r="E363" s="1" t="s">
        <v>1558</v>
      </c>
      <c r="F363" s="1" t="s">
        <v>1719</v>
      </c>
      <c r="J363" s="5" t="s">
        <v>1536</v>
      </c>
      <c r="K363" s="1" t="s">
        <v>1542</v>
      </c>
      <c r="L363" s="1" t="s">
        <v>1720</v>
      </c>
      <c r="M363" s="5" t="s">
        <v>1536</v>
      </c>
      <c r="N363" s="1" t="e">
        <f>IF(#REF!="Ja",VLOOKUP(A363,'[1]ZArtefakte aus Listen'!A:B,2,0),"")</f>
        <v>#REF!</v>
      </c>
    </row>
    <row r="364" spans="1:17" ht="12.6" hidden="1">
      <c r="A364" s="1" t="s">
        <v>790</v>
      </c>
      <c r="B364" s="1" t="str">
        <f>VLOOKUP(A364,'Z-Programme'!$A$2:$A$650,1,FALSE)</f>
        <v>ZFI_SEPA_MIG_IBAN</v>
      </c>
      <c r="C364" s="1" t="s">
        <v>791</v>
      </c>
      <c r="D364" s="1" t="s">
        <v>1533</v>
      </c>
      <c r="E364" s="1" t="s">
        <v>1534</v>
      </c>
      <c r="F364" s="1" t="s">
        <v>1544</v>
      </c>
      <c r="J364" s="5" t="s">
        <v>1536</v>
      </c>
      <c r="K364" s="1" t="s">
        <v>1537</v>
      </c>
      <c r="L364" s="1" t="s">
        <v>1611</v>
      </c>
      <c r="N364" s="1" t="e">
        <f>IF(#REF!="Ja",VLOOKUP(A364,'[1]ZArtefakte aus Listen'!A:B,2,0),"")</f>
        <v>#REF!</v>
      </c>
    </row>
    <row r="365" spans="1:17" ht="12.6" hidden="1">
      <c r="A365" s="1" t="s">
        <v>792</v>
      </c>
      <c r="B365" s="1" t="str">
        <f>VLOOKUP(A365,'Z-Programme'!$A$2:$A$650,1,FALSE)</f>
        <v>ZFI_SEPA_PRENOTE</v>
      </c>
      <c r="C365" s="1" t="s">
        <v>793</v>
      </c>
      <c r="D365" s="1" t="s">
        <v>1533</v>
      </c>
      <c r="E365" s="1" t="s">
        <v>1534</v>
      </c>
      <c r="F365" s="1" t="s">
        <v>1544</v>
      </c>
      <c r="J365" s="5" t="s">
        <v>1536</v>
      </c>
      <c r="K365" s="1" t="s">
        <v>1537</v>
      </c>
      <c r="L365" s="1" t="s">
        <v>1611</v>
      </c>
      <c r="N365" s="1" t="e">
        <f>IF(#REF!="Ja",VLOOKUP(A365,'[1]ZArtefakte aus Listen'!A:B,2,0),"")</f>
        <v>#REF!</v>
      </c>
    </row>
    <row r="366" spans="1:17" ht="12.6" hidden="1">
      <c r="A366" s="1" t="s">
        <v>795</v>
      </c>
      <c r="B366" s="1" t="str">
        <f>VLOOKUP(A366,'Z-Programme'!$A$2:$A$650,1,FALSE)</f>
        <v>ZFI_SGSS_EXPORT</v>
      </c>
      <c r="C366" s="1" t="s">
        <v>797</v>
      </c>
      <c r="D366" s="1" t="s">
        <v>1533</v>
      </c>
      <c r="E366" s="1" t="s">
        <v>1540</v>
      </c>
      <c r="F366" s="1" t="s">
        <v>1721</v>
      </c>
      <c r="J366" s="5" t="s">
        <v>1536</v>
      </c>
      <c r="K366" s="1" t="s">
        <v>1542</v>
      </c>
      <c r="L366" s="1" t="s">
        <v>1720</v>
      </c>
      <c r="N366" s="1" t="e">
        <f>IF(#REF!="Ja",VLOOKUP(A366,'[1]ZArtefakte aus Listen'!A:B,2,0),"")</f>
        <v>#REF!</v>
      </c>
    </row>
    <row r="367" spans="1:17" ht="12.6" hidden="1">
      <c r="A367" s="1" t="s">
        <v>798</v>
      </c>
      <c r="B367" s="1" t="str">
        <f>VLOOKUP(A367,'Z-Programme'!$A$2:$A$650,1,FALSE)</f>
        <v>ZFI_SGSS_IMPORT</v>
      </c>
      <c r="C367" s="1" t="s">
        <v>799</v>
      </c>
      <c r="D367" s="1" t="s">
        <v>1533</v>
      </c>
      <c r="E367" s="1" t="s">
        <v>1540</v>
      </c>
      <c r="F367" s="1" t="s">
        <v>1721</v>
      </c>
      <c r="J367" s="5" t="s">
        <v>1536</v>
      </c>
      <c r="K367" s="1" t="s">
        <v>1542</v>
      </c>
      <c r="L367" s="1" t="s">
        <v>1722</v>
      </c>
      <c r="N367" s="1" t="e">
        <f>IF(#REF!="Ja",VLOOKUP(A367,'[1]ZArtefakte aus Listen'!A:B,2,0),"")</f>
        <v>#REF!</v>
      </c>
    </row>
    <row r="368" spans="1:17" ht="12.6" hidden="1">
      <c r="A368" s="1" t="s">
        <v>800</v>
      </c>
      <c r="B368" s="1" t="str">
        <f>VLOOKUP(A368,'Z-Programme'!$A$2:$A$650,1,FALSE)</f>
        <v>ZFI_SOLVENCY_BIL</v>
      </c>
      <c r="C368" s="1" t="s">
        <v>801</v>
      </c>
      <c r="D368" s="1" t="s">
        <v>1533</v>
      </c>
      <c r="E368" s="1" t="s">
        <v>1534</v>
      </c>
      <c r="F368" s="1" t="s">
        <v>1544</v>
      </c>
      <c r="J368" s="5" t="s">
        <v>1536</v>
      </c>
      <c r="K368" s="1" t="s">
        <v>1537</v>
      </c>
      <c r="L368" s="1" t="s">
        <v>1664</v>
      </c>
      <c r="N368" s="1" t="e">
        <f>IF(#REF!="Ja",VLOOKUP(A368,'[1]ZArtefakte aus Listen'!A:B,2,0),"")</f>
        <v>#REF!</v>
      </c>
    </row>
    <row r="369" spans="1:17" ht="12.6" hidden="1">
      <c r="A369" s="1" t="s">
        <v>802</v>
      </c>
      <c r="B369" s="1" t="str">
        <f>VLOOKUP(A369,'Z-Programme'!$A$2:$A$650,1,FALSE)</f>
        <v>ZFI_SPIDER_BESTELLNR_GET_FI</v>
      </c>
      <c r="C369" s="1" t="s">
        <v>804</v>
      </c>
      <c r="D369" s="1" t="s">
        <v>1533</v>
      </c>
      <c r="E369" s="1" t="s">
        <v>1558</v>
      </c>
      <c r="F369" s="1" t="s">
        <v>1616</v>
      </c>
      <c r="G369" s="1" t="s">
        <v>1590</v>
      </c>
      <c r="J369" s="5"/>
      <c r="K369" s="1" t="s">
        <v>1542</v>
      </c>
      <c r="L369" s="1" t="s">
        <v>1723</v>
      </c>
      <c r="M369" s="5" t="s">
        <v>1536</v>
      </c>
      <c r="N369" s="1" t="e">
        <f>IF(#REF!="Ja",VLOOKUP(A369,'[1]ZArtefakte aus Listen'!A:B,2,0),"")</f>
        <v>#REF!</v>
      </c>
    </row>
    <row r="370" spans="1:17" ht="12.6" hidden="1">
      <c r="A370" s="1" t="s">
        <v>805</v>
      </c>
      <c r="B370" s="1" t="str">
        <f>VLOOKUP(A370,'Z-Programme'!$A$2:$A$650,1,FALSE)</f>
        <v>ZFI_SPIDER_DOCID_GET_FI</v>
      </c>
      <c r="C370" s="1" t="s">
        <v>806</v>
      </c>
      <c r="D370" s="1" t="s">
        <v>1533</v>
      </c>
      <c r="E370" s="1" t="s">
        <v>1558</v>
      </c>
      <c r="F370" s="1" t="s">
        <v>1616</v>
      </c>
      <c r="G370" s="1" t="s">
        <v>1590</v>
      </c>
      <c r="J370" s="5"/>
      <c r="K370" s="1" t="s">
        <v>1542</v>
      </c>
      <c r="L370" s="1" t="s">
        <v>1723</v>
      </c>
      <c r="M370" s="5" t="s">
        <v>1536</v>
      </c>
      <c r="N370" s="1" t="e">
        <f>IF(#REF!="Ja",VLOOKUP(A370,'[1]ZArtefakte aus Listen'!A:B,2,0),"")</f>
        <v>#REF!</v>
      </c>
    </row>
    <row r="371" spans="1:17" ht="12.6" hidden="1">
      <c r="A371" s="1" t="s">
        <v>807</v>
      </c>
      <c r="B371" s="1" t="str">
        <f>VLOOKUP(A371,'Z-Programme'!$A$2:$A$650,1,FALSE)</f>
        <v>ZFI_SPOOL_PDF</v>
      </c>
      <c r="C371" s="1" t="s">
        <v>808</v>
      </c>
      <c r="D371" s="1" t="s">
        <v>1533</v>
      </c>
      <c r="E371" s="1" t="s">
        <v>1558</v>
      </c>
      <c r="F371" s="1" t="s">
        <v>1549</v>
      </c>
      <c r="G371" s="1" t="s">
        <v>1572</v>
      </c>
      <c r="K371" s="58" t="s">
        <v>1573</v>
      </c>
      <c r="N371" s="1" t="e">
        <f>IF(#REF!="Ja",VLOOKUP(A371,'[1]ZArtefakte aus Listen'!A:B,2,0),"")</f>
        <v>#REF!</v>
      </c>
      <c r="P371" s="58"/>
      <c r="Q371" s="1" t="e">
        <f>IF(#REF!="Ja",VLOOKUP(A371,'[1]ZArtefakte aus Listen'!A:D,4,0),"")</f>
        <v>#REF!</v>
      </c>
    </row>
    <row r="372" spans="1:17" ht="12.6" hidden="1">
      <c r="A372" s="1" t="s">
        <v>809</v>
      </c>
      <c r="B372" s="1" t="str">
        <f>VLOOKUP(A372,'Z-Programme'!$A$2:$A$650,1,FALSE)</f>
        <v>ZFI_SPOOL_UPDATE</v>
      </c>
      <c r="C372" s="1" t="s">
        <v>810</v>
      </c>
      <c r="D372" s="1" t="s">
        <v>1533</v>
      </c>
      <c r="E372" s="1" t="s">
        <v>1558</v>
      </c>
      <c r="F372" s="1" t="s">
        <v>1549</v>
      </c>
      <c r="G372" s="1" t="s">
        <v>1655</v>
      </c>
      <c r="K372" s="58" t="s">
        <v>1573</v>
      </c>
      <c r="N372" s="1" t="e">
        <f>IF(#REF!="Ja",VLOOKUP(A372,'[1]ZArtefakte aus Listen'!A:B,2,0),"")</f>
        <v>#REF!</v>
      </c>
      <c r="P372" s="58"/>
      <c r="Q372" s="1" t="e">
        <f>IF(#REF!="Ja",VLOOKUP(A372,'[1]ZArtefakte aus Listen'!A:D,4,0),"")</f>
        <v>#REF!</v>
      </c>
    </row>
    <row r="373" spans="1:17" ht="12.6" hidden="1">
      <c r="A373" s="1" t="s">
        <v>811</v>
      </c>
      <c r="B373" s="1" t="str">
        <f>VLOOKUP(A373,'Z-Programme'!$A$2:$A$650,1,FALSE)</f>
        <v>ZFI_SS_BEGRU</v>
      </c>
      <c r="C373" s="1" t="s">
        <v>813</v>
      </c>
      <c r="D373" s="1" t="s">
        <v>1533</v>
      </c>
      <c r="E373" s="1" t="s">
        <v>1534</v>
      </c>
      <c r="F373" s="1" t="s">
        <v>1544</v>
      </c>
      <c r="J373" s="5" t="s">
        <v>1536</v>
      </c>
      <c r="K373" s="1" t="s">
        <v>1537</v>
      </c>
      <c r="L373" s="1" t="s">
        <v>1724</v>
      </c>
      <c r="N373" s="1" t="e">
        <f>IF(#REF!="Ja",VLOOKUP(A373,'[1]ZArtefakte aus Listen'!A:B,2,0),"")</f>
        <v>#REF!</v>
      </c>
    </row>
    <row r="374" spans="1:17" ht="12.6" hidden="1">
      <c r="A374" s="1" t="s">
        <v>814</v>
      </c>
      <c r="B374" s="1" t="str">
        <f>VLOOKUP(A374,'Z-Programme'!$A$2:$A$650,1,FALSE)</f>
        <v>ZFI_SS_CONVERT_KUNNR</v>
      </c>
      <c r="C374" s="1" t="s">
        <v>815</v>
      </c>
      <c r="D374" s="1" t="s">
        <v>1533</v>
      </c>
      <c r="E374" s="1" t="s">
        <v>1558</v>
      </c>
      <c r="F374" s="1" t="s">
        <v>1725</v>
      </c>
      <c r="J374" s="5" t="s">
        <v>1536</v>
      </c>
      <c r="K374" s="1" t="s">
        <v>1542</v>
      </c>
      <c r="L374" s="1" t="s">
        <v>1560</v>
      </c>
      <c r="M374" s="5" t="s">
        <v>1536</v>
      </c>
      <c r="N374" s="1" t="e">
        <f>IF(#REF!="Ja",VLOOKUP(A374,'[1]ZArtefakte aus Listen'!A:B,2,0),"")</f>
        <v>#REF!</v>
      </c>
      <c r="Q374" s="1" t="e">
        <f>IF(#REF!="Ja",VLOOKUP(A374,'[1]ZArtefakte aus Listen'!A:D,4,0),"")</f>
        <v>#REF!</v>
      </c>
    </row>
    <row r="375" spans="1:17" ht="12.6" hidden="1">
      <c r="A375" s="1" t="s">
        <v>816</v>
      </c>
      <c r="B375" s="1" t="str">
        <f>VLOOKUP(A375,'Z-Programme'!$A$2:$A$650,1,FALSE)</f>
        <v>ZFI_SS_FB01</v>
      </c>
      <c r="C375" s="1" t="s">
        <v>817</v>
      </c>
      <c r="D375" s="1" t="s">
        <v>1533</v>
      </c>
      <c r="E375" s="1" t="s">
        <v>1534</v>
      </c>
      <c r="F375" s="1" t="s">
        <v>1544</v>
      </c>
      <c r="J375" s="5" t="s">
        <v>1536</v>
      </c>
      <c r="K375" s="1" t="s">
        <v>1537</v>
      </c>
      <c r="L375" s="1" t="s">
        <v>1664</v>
      </c>
      <c r="N375" s="1" t="e">
        <f>IF(#REF!="Ja",VLOOKUP(A375,'[1]ZArtefakte aus Listen'!A:B,2,0),"")</f>
        <v>#REF!</v>
      </c>
    </row>
    <row r="376" spans="1:17" ht="12.6" hidden="1">
      <c r="A376" s="1" t="s">
        <v>818</v>
      </c>
      <c r="B376" s="1" t="str">
        <f>VLOOKUP(A376,'Z-Programme'!$A$2:$A$650,1,FALSE)</f>
        <v>ZFI_SS_FB0100</v>
      </c>
      <c r="C376" s="1" t="s">
        <v>817</v>
      </c>
      <c r="D376" s="1" t="s">
        <v>1533</v>
      </c>
      <c r="E376" s="1" t="s">
        <v>1534</v>
      </c>
      <c r="F376" s="1" t="s">
        <v>1544</v>
      </c>
      <c r="J376" s="5" t="s">
        <v>1536</v>
      </c>
      <c r="K376" s="1" t="s">
        <v>1537</v>
      </c>
      <c r="L376" s="1" t="s">
        <v>1664</v>
      </c>
      <c r="N376" s="1" t="e">
        <f>IF(#REF!="Ja",VLOOKUP(A376,'[1]ZArtefakte aus Listen'!A:B,2,0),"")</f>
        <v>#REF!</v>
      </c>
    </row>
    <row r="377" spans="1:17" ht="12.6" hidden="1">
      <c r="A377" s="1" t="s">
        <v>819</v>
      </c>
      <c r="B377" s="1" t="str">
        <f>VLOOKUP(A377,'Z-Programme'!$A$2:$A$650,1,FALSE)</f>
        <v>ZFI_SS_FB0101</v>
      </c>
      <c r="C377" s="1" t="s">
        <v>820</v>
      </c>
      <c r="D377" s="1" t="s">
        <v>1533</v>
      </c>
      <c r="E377" s="1" t="s">
        <v>1534</v>
      </c>
      <c r="F377" s="1" t="s">
        <v>1544</v>
      </c>
      <c r="J377" s="5" t="s">
        <v>1536</v>
      </c>
      <c r="K377" s="1" t="s">
        <v>1537</v>
      </c>
      <c r="L377" s="1" t="s">
        <v>1664</v>
      </c>
      <c r="N377" s="1" t="e">
        <f>IF(#REF!="Ja",VLOOKUP(A377,'[1]ZArtefakte aus Listen'!A:B,2,0),"")</f>
        <v>#REF!</v>
      </c>
    </row>
    <row r="378" spans="1:17" ht="12.6" hidden="1">
      <c r="A378" s="1" t="s">
        <v>821</v>
      </c>
      <c r="B378" s="1" t="str">
        <f>VLOOKUP(A378,'Z-Programme'!$A$2:$A$650,1,FALSE)</f>
        <v>ZFI_SS_FB01P2</v>
      </c>
      <c r="C378" s="1" t="s">
        <v>822</v>
      </c>
      <c r="D378" s="1" t="s">
        <v>1533</v>
      </c>
      <c r="E378" s="1" t="s">
        <v>1534</v>
      </c>
      <c r="F378" s="1" t="s">
        <v>1544</v>
      </c>
      <c r="J378" s="5" t="s">
        <v>1536</v>
      </c>
      <c r="K378" s="1" t="s">
        <v>1537</v>
      </c>
      <c r="L378" s="1" t="s">
        <v>1664</v>
      </c>
      <c r="N378" s="1" t="e">
        <f>IF(#REF!="Ja",VLOOKUP(A378,'[1]ZArtefakte aus Listen'!A:B,2,0),"")</f>
        <v>#REF!</v>
      </c>
    </row>
    <row r="379" spans="1:17" ht="12.6" hidden="1">
      <c r="A379" s="1" t="s">
        <v>823</v>
      </c>
      <c r="B379" s="1" t="str">
        <f>VLOOKUP(A379,'Z-Programme'!$A$2:$A$650,1,FALSE)</f>
        <v>ZFI_SS_FB01P3</v>
      </c>
      <c r="C379" s="1" t="s">
        <v>824</v>
      </c>
      <c r="D379" s="1" t="s">
        <v>1533</v>
      </c>
      <c r="E379" s="1" t="s">
        <v>1534</v>
      </c>
      <c r="F379" s="1" t="s">
        <v>1544</v>
      </c>
      <c r="J379" s="5" t="s">
        <v>1536</v>
      </c>
      <c r="K379" s="1" t="s">
        <v>1537</v>
      </c>
      <c r="L379" s="1" t="s">
        <v>1664</v>
      </c>
      <c r="N379" s="1" t="e">
        <f>IF(#REF!="Ja",VLOOKUP(A379,'[1]ZArtefakte aus Listen'!A:B,2,0),"")</f>
        <v>#REF!</v>
      </c>
    </row>
    <row r="380" spans="1:17" ht="12.6" hidden="1">
      <c r="A380" s="1" t="s">
        <v>825</v>
      </c>
      <c r="B380" s="1" t="str">
        <f>VLOOKUP(A380,'Z-Programme'!$A$2:$A$650,1,FALSE)</f>
        <v>ZFI_SS_FB01PT</v>
      </c>
      <c r="C380" s="1" t="s">
        <v>826</v>
      </c>
      <c r="D380" s="1" t="s">
        <v>1533</v>
      </c>
      <c r="E380" s="1" t="s">
        <v>1534</v>
      </c>
      <c r="F380" s="1" t="s">
        <v>1544</v>
      </c>
      <c r="J380" s="5" t="s">
        <v>1536</v>
      </c>
      <c r="K380" s="1" t="s">
        <v>1537</v>
      </c>
      <c r="L380" s="1" t="s">
        <v>1664</v>
      </c>
      <c r="N380" s="1" t="e">
        <f>IF(#REF!="Ja",VLOOKUP(A380,'[1]ZArtefakte aus Listen'!A:B,2,0),"")</f>
        <v>#REF!</v>
      </c>
    </row>
    <row r="381" spans="1:17" ht="12.6" hidden="1">
      <c r="A381" s="1" t="s">
        <v>827</v>
      </c>
      <c r="B381" s="1" t="str">
        <f>VLOOKUP(A381,'Z-Programme'!$A$2:$A$650,1,FALSE)</f>
        <v>ZFI_SS_FX01</v>
      </c>
      <c r="C381" s="1" t="s">
        <v>828</v>
      </c>
      <c r="D381" s="1" t="s">
        <v>1533</v>
      </c>
      <c r="E381" s="1" t="s">
        <v>1534</v>
      </c>
      <c r="F381" s="1" t="s">
        <v>1544</v>
      </c>
      <c r="J381" s="5" t="s">
        <v>1536</v>
      </c>
      <c r="K381" s="1" t="s">
        <v>1537</v>
      </c>
      <c r="L381" s="1" t="s">
        <v>1664</v>
      </c>
      <c r="N381" s="1" t="e">
        <f>IF(#REF!="Ja",VLOOKUP(A381,'[1]ZArtefakte aus Listen'!A:B,2,0),"")</f>
        <v>#REF!</v>
      </c>
    </row>
    <row r="382" spans="1:17" ht="12.6" hidden="1">
      <c r="A382" s="1" t="s">
        <v>829</v>
      </c>
      <c r="B382" s="1" t="str">
        <f>VLOOKUP(A382,'Z-Programme'!$A$2:$A$650,1,FALSE)</f>
        <v>ZFI_SS_SEPAMAND</v>
      </c>
      <c r="C382" s="1" t="s">
        <v>830</v>
      </c>
      <c r="D382" s="1" t="s">
        <v>1533</v>
      </c>
      <c r="E382" s="1" t="s">
        <v>1534</v>
      </c>
      <c r="F382" s="1" t="s">
        <v>1544</v>
      </c>
      <c r="J382" s="5" t="s">
        <v>1536</v>
      </c>
      <c r="K382" s="1" t="s">
        <v>1537</v>
      </c>
      <c r="L382" s="1" t="s">
        <v>1724</v>
      </c>
      <c r="N382" s="1" t="e">
        <f>IF(#REF!="Ja",VLOOKUP(A382,'[1]ZArtefakte aus Listen'!A:B,2,0),"")</f>
        <v>#REF!</v>
      </c>
    </row>
    <row r="383" spans="1:17" ht="12.6" hidden="1">
      <c r="A383" s="1" t="s">
        <v>831</v>
      </c>
      <c r="B383" s="1" t="str">
        <f>VLOOKUP(A383,'Z-Programme'!$A$2:$A$650,1,FALSE)</f>
        <v>ZFI_SS_TSFBLO</v>
      </c>
      <c r="C383" s="1" t="s">
        <v>832</v>
      </c>
      <c r="D383" s="1" t="s">
        <v>1533</v>
      </c>
      <c r="E383" s="1" t="s">
        <v>1534</v>
      </c>
      <c r="F383" s="1" t="s">
        <v>1544</v>
      </c>
      <c r="J383" s="5" t="s">
        <v>1536</v>
      </c>
      <c r="K383" s="1" t="s">
        <v>1537</v>
      </c>
      <c r="L383" s="1" t="s">
        <v>1680</v>
      </c>
      <c r="N383" s="1" t="e">
        <f>IF(#REF!="Ja",VLOOKUP(A383,'[1]ZArtefakte aus Listen'!A:B,2,0),"")</f>
        <v>#REF!</v>
      </c>
    </row>
    <row r="384" spans="1:17" ht="12.6" hidden="1">
      <c r="A384" s="1" t="s">
        <v>833</v>
      </c>
      <c r="B384" s="1" t="str">
        <f>VLOOKUP(A384,'Z-Programme'!$A$2:$A$650,1,FALSE)</f>
        <v>ZFI_SS_TSXX00</v>
      </c>
      <c r="C384" s="1" t="s">
        <v>834</v>
      </c>
      <c r="D384" s="1" t="s">
        <v>1533</v>
      </c>
      <c r="E384" s="1" t="s">
        <v>1534</v>
      </c>
      <c r="F384" s="1" t="s">
        <v>1544</v>
      </c>
      <c r="J384" s="5" t="s">
        <v>1536</v>
      </c>
      <c r="K384" s="1" t="s">
        <v>1537</v>
      </c>
      <c r="L384" s="1" t="s">
        <v>1680</v>
      </c>
      <c r="N384" s="1" t="e">
        <f>IF(#REF!="Ja",VLOOKUP(A384,'[1]ZArtefakte aus Listen'!A:B,2,0),"")</f>
        <v>#REF!</v>
      </c>
      <c r="Q384" s="1" t="e">
        <f>IF(#REF!="Ja",VLOOKUP(A384,'[1]ZArtefakte aus Listen'!A:D,4,0),"")</f>
        <v>#REF!</v>
      </c>
    </row>
    <row r="385" spans="1:17" ht="12.6" hidden="1">
      <c r="A385" s="1" t="s">
        <v>835</v>
      </c>
      <c r="B385" s="1" t="str">
        <f>VLOOKUP(A385,'Z-Programme'!$A$2:$A$650,1,FALSE)</f>
        <v>ZFI_SS_TSXX01</v>
      </c>
      <c r="C385" s="1" t="s">
        <v>836</v>
      </c>
      <c r="D385" s="1" t="s">
        <v>1533</v>
      </c>
      <c r="E385" s="1" t="s">
        <v>1534</v>
      </c>
      <c r="F385" s="1" t="s">
        <v>1544</v>
      </c>
      <c r="J385" s="5" t="s">
        <v>1536</v>
      </c>
      <c r="K385" s="1" t="s">
        <v>1537</v>
      </c>
      <c r="L385" s="1" t="s">
        <v>1664</v>
      </c>
      <c r="N385" s="1" t="e">
        <f>IF(#REF!="Ja",VLOOKUP(A385,'[1]ZArtefakte aus Listen'!A:B,2,0),"")</f>
        <v>#REF!</v>
      </c>
      <c r="Q385" s="1" t="e">
        <f>IF(#REF!="Ja",VLOOKUP(A385,'[1]ZArtefakte aus Listen'!A:D,4,0),"")</f>
        <v>#REF!</v>
      </c>
    </row>
    <row r="386" spans="1:17" ht="12.6" hidden="1">
      <c r="A386" s="1" t="s">
        <v>837</v>
      </c>
      <c r="B386" s="1" t="str">
        <f>VLOOKUP(A386,'Z-Programme'!$A$2:$A$650,1,FALSE)</f>
        <v>ZFI_STEUER_ANL_VIEW</v>
      </c>
      <c r="C386" s="1" t="s">
        <v>838</v>
      </c>
      <c r="D386" s="1" t="s">
        <v>1533</v>
      </c>
      <c r="E386" s="1" t="s">
        <v>1534</v>
      </c>
      <c r="F386" s="1" t="s">
        <v>1544</v>
      </c>
      <c r="J386" s="5" t="s">
        <v>1536</v>
      </c>
      <c r="K386" s="1" t="s">
        <v>1537</v>
      </c>
      <c r="L386" s="1" t="s">
        <v>1628</v>
      </c>
      <c r="N386" s="1" t="e">
        <f>IF(#REF!="Ja",VLOOKUP(A386,'[1]ZArtefakte aus Listen'!A:B,2,0),"")</f>
        <v>#REF!</v>
      </c>
    </row>
    <row r="387" spans="1:17" ht="12.6" hidden="1">
      <c r="A387" s="1" t="s">
        <v>839</v>
      </c>
      <c r="B387" s="1" t="str">
        <f>VLOOKUP(A387,'Z-Programme'!$A$2:$A$650,1,FALSE)</f>
        <v>ZFI_SWA_LIEF_GUT</v>
      </c>
      <c r="C387" s="1" t="s">
        <v>840</v>
      </c>
      <c r="D387" s="1" t="s">
        <v>1533</v>
      </c>
      <c r="E387" s="1" t="s">
        <v>1633</v>
      </c>
      <c r="F387" s="1" t="s">
        <v>1616</v>
      </c>
      <c r="G387" s="1" t="s">
        <v>1617</v>
      </c>
      <c r="K387" s="58" t="s">
        <v>1573</v>
      </c>
      <c r="N387" s="1" t="e">
        <f>IF(#REF!="Ja",VLOOKUP(A387,'[1]ZArtefakte aus Listen'!A:B,2,0),"")</f>
        <v>#REF!</v>
      </c>
      <c r="P387" s="58"/>
      <c r="Q387" s="1" t="e">
        <f>IF(#REF!="Ja",VLOOKUP(A387,'[1]ZArtefakte aus Listen'!A:D,4,0),"")</f>
        <v>#REF!</v>
      </c>
    </row>
    <row r="388" spans="1:17" ht="12.6" hidden="1">
      <c r="A388" s="1" t="s">
        <v>841</v>
      </c>
      <c r="B388" s="1" t="str">
        <f>VLOOKUP(A388,'Z-Programme'!$A$2:$A$650,1,FALSE)</f>
        <v>ZFI_SWA_LIEF_RUECK</v>
      </c>
      <c r="C388" s="1" t="s">
        <v>842</v>
      </c>
      <c r="D388" s="1" t="s">
        <v>1533</v>
      </c>
      <c r="E388" s="1" t="s">
        <v>1534</v>
      </c>
      <c r="F388" s="1" t="s">
        <v>1544</v>
      </c>
      <c r="J388" s="5" t="s">
        <v>1536</v>
      </c>
      <c r="K388" s="1" t="s">
        <v>1537</v>
      </c>
      <c r="L388" s="1" t="s">
        <v>1611</v>
      </c>
      <c r="N388" s="1" t="e">
        <f>IF(#REF!="Ja",VLOOKUP(A388,'[1]ZArtefakte aus Listen'!A:B,2,0),"")</f>
        <v>#REF!</v>
      </c>
      <c r="Q388" s="1" t="e">
        <f>IF(#REF!="Ja",VLOOKUP(A388,'[1]ZArtefakte aus Listen'!A:D,4,0),"")</f>
        <v>#REF!</v>
      </c>
    </row>
    <row r="389" spans="1:17" ht="12.6" hidden="1">
      <c r="A389" s="1" t="s">
        <v>843</v>
      </c>
      <c r="B389" s="1" t="str">
        <f>VLOOKUP(A389,'Z-Programme'!$A$2:$A$650,1,FALSE)</f>
        <v>ZFI_SYNC_STAMMDATEN</v>
      </c>
      <c r="C389" s="1" t="s">
        <v>844</v>
      </c>
      <c r="D389" s="1" t="s">
        <v>1533</v>
      </c>
      <c r="F389" s="1" t="s">
        <v>1616</v>
      </c>
      <c r="J389" s="5"/>
      <c r="K389" s="1" t="s">
        <v>1542</v>
      </c>
      <c r="L389" s="1" t="s">
        <v>1726</v>
      </c>
      <c r="N389" s="1" t="e">
        <f>IF(#REF!="Ja",VLOOKUP(A389,'[1]ZArtefakte aus Listen'!A:B,2,0),"")</f>
        <v>#REF!</v>
      </c>
      <c r="Q389" s="1" t="e">
        <f>IF(#REF!="Ja",VLOOKUP(A389,'[1]ZArtefakte aus Listen'!A:D,4,0),"")</f>
        <v>#REF!</v>
      </c>
    </row>
    <row r="390" spans="1:17" ht="12.6" hidden="1">
      <c r="A390" s="1" t="s">
        <v>845</v>
      </c>
      <c r="B390" s="1" t="str">
        <f>VLOOKUP(A390,'Z-Programme'!$A$2:$A$650,1,FALSE)</f>
        <v>ZFI_T27CHECK</v>
      </c>
      <c r="C390" s="1" t="s">
        <v>846</v>
      </c>
      <c r="D390" s="1" t="s">
        <v>1533</v>
      </c>
      <c r="E390" s="1" t="s">
        <v>1534</v>
      </c>
      <c r="F390" s="1" t="s">
        <v>1544</v>
      </c>
      <c r="J390" s="5" t="s">
        <v>1536</v>
      </c>
      <c r="K390" s="1" t="s">
        <v>1537</v>
      </c>
      <c r="L390" s="1" t="s">
        <v>1611</v>
      </c>
      <c r="N390" s="1" t="e">
        <f>IF(#REF!="Ja",VLOOKUP(A390,'[1]ZArtefakte aus Listen'!A:B,2,0),"")</f>
        <v>#REF!</v>
      </c>
      <c r="Q390" s="1" t="e">
        <f>IF(#REF!="Ja",VLOOKUP(A390,'[1]ZArtefakte aus Listen'!A:D,4,0),"")</f>
        <v>#REF!</v>
      </c>
    </row>
    <row r="391" spans="1:17" ht="12.6" hidden="1">
      <c r="A391" s="1" t="s">
        <v>847</v>
      </c>
      <c r="B391" s="1" t="str">
        <f>VLOOKUP(A391,'Z-Programme'!$A$2:$A$650,1,FALSE)</f>
        <v>ZFI_T27CHECK_MIG</v>
      </c>
      <c r="C391" s="1" t="s">
        <v>846</v>
      </c>
      <c r="D391" s="1" t="s">
        <v>1533</v>
      </c>
      <c r="E391" s="1" t="s">
        <v>1534</v>
      </c>
      <c r="F391" s="1" t="s">
        <v>1544</v>
      </c>
      <c r="J391" s="5" t="s">
        <v>1536</v>
      </c>
      <c r="K391" s="1" t="s">
        <v>1537</v>
      </c>
      <c r="L391" s="1" t="s">
        <v>1611</v>
      </c>
      <c r="N391" s="1" t="e">
        <f>IF(#REF!="Ja",VLOOKUP(A391,'[1]ZArtefakte aus Listen'!A:B,2,0),"")</f>
        <v>#REF!</v>
      </c>
      <c r="Q391" s="1" t="e">
        <f>IF(#REF!="Ja",VLOOKUP(A391,'[1]ZArtefakte aus Listen'!A:D,4,0),"")</f>
        <v>#REF!</v>
      </c>
    </row>
    <row r="392" spans="1:17" ht="12.6" hidden="1">
      <c r="A392" s="1" t="s">
        <v>848</v>
      </c>
      <c r="B392" s="1" t="str">
        <f>VLOOKUP(A392,'Z-Programme'!$A$2:$A$650,1,FALSE)</f>
        <v>ZFI_T29CHECK</v>
      </c>
      <c r="C392" s="1" t="s">
        <v>849</v>
      </c>
      <c r="D392" s="1" t="s">
        <v>1533</v>
      </c>
      <c r="E392" s="1" t="s">
        <v>1534</v>
      </c>
      <c r="F392" s="1" t="s">
        <v>1544</v>
      </c>
      <c r="J392" s="5" t="s">
        <v>1536</v>
      </c>
      <c r="K392" s="1" t="s">
        <v>1537</v>
      </c>
      <c r="L392" s="1" t="s">
        <v>1611</v>
      </c>
      <c r="N392" s="1" t="e">
        <f>IF(#REF!="Ja",VLOOKUP(A392,'[1]ZArtefakte aus Listen'!A:B,2,0),"")</f>
        <v>#REF!</v>
      </c>
      <c r="Q392" s="1" t="e">
        <f>IF(#REF!="Ja",VLOOKUP(A392,'[1]ZArtefakte aus Listen'!A:D,4,0),"")</f>
        <v>#REF!</v>
      </c>
    </row>
    <row r="393" spans="1:17" ht="12.6" hidden="1">
      <c r="A393" s="58" t="s">
        <v>850</v>
      </c>
      <c r="B393" s="1" t="str">
        <f>VLOOKUP(A393,'Z-Programme'!$A$2:$A$650,1,FALSE)</f>
        <v>ZFI_TB05FO</v>
      </c>
      <c r="C393" s="1" t="s">
        <v>851</v>
      </c>
      <c r="D393" s="1" t="s">
        <v>1533</v>
      </c>
      <c r="E393" s="1" t="s">
        <v>1534</v>
      </c>
      <c r="F393" s="1" t="s">
        <v>1544</v>
      </c>
      <c r="J393" s="5" t="s">
        <v>1536</v>
      </c>
      <c r="K393" s="1" t="s">
        <v>1537</v>
      </c>
      <c r="L393" s="58" t="s">
        <v>1727</v>
      </c>
      <c r="N393" s="1" t="e">
        <f>IF(#REF!="Ja",VLOOKUP(A393,'[1]ZArtefakte aus Listen'!A:B,2,0),"")</f>
        <v>#REF!</v>
      </c>
    </row>
    <row r="394" spans="1:17" ht="12.6" hidden="1">
      <c r="A394" s="1" t="s">
        <v>852</v>
      </c>
      <c r="B394" s="1" t="str">
        <f>VLOOKUP(A394,'Z-Programme'!$A$2:$A$650,1,FALSE)</f>
        <v>ZFI_UMB_KASSENBUCH</v>
      </c>
      <c r="C394" s="1" t="s">
        <v>854</v>
      </c>
      <c r="D394" s="1" t="s">
        <v>1533</v>
      </c>
      <c r="E394" s="1" t="s">
        <v>1540</v>
      </c>
      <c r="F394" s="1" t="s">
        <v>1728</v>
      </c>
      <c r="J394" s="5" t="s">
        <v>1536</v>
      </c>
      <c r="K394" s="1" t="s">
        <v>1542</v>
      </c>
      <c r="L394" s="1" t="s">
        <v>1729</v>
      </c>
      <c r="N394" s="1" t="e">
        <f>IF(#REF!="Ja",VLOOKUP(A394,'[1]ZArtefakte aus Listen'!A:B,2,0),"")</f>
        <v>#REF!</v>
      </c>
    </row>
    <row r="395" spans="1:17" ht="12.6" hidden="1">
      <c r="A395" s="1" t="s">
        <v>855</v>
      </c>
      <c r="B395" s="1" t="str">
        <f>VLOOKUP(A395,'Z-Programme'!$A$2:$A$650,1,FALSE)</f>
        <v>ZFI_UPD_RATEN</v>
      </c>
      <c r="C395" s="1" t="s">
        <v>856</v>
      </c>
      <c r="D395" s="1" t="s">
        <v>1533</v>
      </c>
      <c r="E395" s="1" t="s">
        <v>1534</v>
      </c>
      <c r="F395" s="1" t="s">
        <v>1544</v>
      </c>
      <c r="J395" s="5" t="s">
        <v>1536</v>
      </c>
      <c r="K395" s="1" t="s">
        <v>1537</v>
      </c>
      <c r="L395" s="1" t="s">
        <v>1611</v>
      </c>
      <c r="N395" s="1" t="e">
        <f>IF(#REF!="Ja",VLOOKUP(A395,'[1]ZArtefakte aus Listen'!A:B,2,0),"")</f>
        <v>#REF!</v>
      </c>
      <c r="Q395" s="1" t="e">
        <f>IF(#REF!="Ja",VLOOKUP(A395,'[1]ZArtefakte aus Listen'!A:D,4,0),"")</f>
        <v>#REF!</v>
      </c>
    </row>
    <row r="396" spans="1:17" ht="12.6" hidden="1">
      <c r="A396" s="1" t="s">
        <v>857</v>
      </c>
      <c r="B396" s="1" t="str">
        <f>VLOOKUP(A396,'Z-Programme'!$A$2:$A$650,1,FALSE)</f>
        <v>ZFI_UPDATE_COCKPIT_ZAHLUNG</v>
      </c>
      <c r="C396" s="1" t="s">
        <v>858</v>
      </c>
      <c r="D396" s="1" t="s">
        <v>1533</v>
      </c>
      <c r="E396" s="1" t="s">
        <v>1558</v>
      </c>
      <c r="F396" s="1" t="s">
        <v>1730</v>
      </c>
      <c r="J396" s="5" t="s">
        <v>1536</v>
      </c>
      <c r="K396" s="1" t="s">
        <v>1542</v>
      </c>
      <c r="L396" s="1" t="s">
        <v>1731</v>
      </c>
      <c r="M396" s="5" t="s">
        <v>1536</v>
      </c>
      <c r="N396" s="1" t="e">
        <f>IF(#REF!="Ja",VLOOKUP(A396,'[1]ZArtefakte aus Listen'!A:B,2,0),"")</f>
        <v>#REF!</v>
      </c>
    </row>
    <row r="397" spans="1:17" ht="12.6" hidden="1">
      <c r="A397" s="1" t="s">
        <v>859</v>
      </c>
      <c r="B397" s="1" t="str">
        <f>VLOOKUP(A397,'Z-Programme'!$A$2:$A$650,1,FALSE)</f>
        <v>ZFI_UPDATE_ZFBDT</v>
      </c>
      <c r="C397" s="1" t="s">
        <v>860</v>
      </c>
      <c r="D397" s="1" t="s">
        <v>1533</v>
      </c>
      <c r="E397" s="1" t="s">
        <v>1534</v>
      </c>
      <c r="F397" s="1" t="s">
        <v>1544</v>
      </c>
      <c r="J397" s="5" t="s">
        <v>1536</v>
      </c>
      <c r="K397" s="1" t="s">
        <v>1537</v>
      </c>
      <c r="L397" s="1" t="s">
        <v>1611</v>
      </c>
      <c r="N397" s="1" t="e">
        <f>IF(#REF!="Ja",VLOOKUP(A397,'[1]ZArtefakte aus Listen'!A:B,2,0),"")</f>
        <v>#REF!</v>
      </c>
      <c r="Q397" s="1" t="e">
        <f>IF(#REF!="Ja",VLOOKUP(A397,'[1]ZArtefakte aus Listen'!A:D,4,0),"")</f>
        <v>#REF!</v>
      </c>
    </row>
    <row r="398" spans="1:17" ht="12.6" hidden="1">
      <c r="A398" s="1" t="s">
        <v>861</v>
      </c>
      <c r="B398" s="1" t="str">
        <f>VLOOKUP(A398,'Z-Programme'!$A$2:$A$650,1,FALSE)</f>
        <v>ZFI_UPLOAD_ADAMTAB_MIG</v>
      </c>
      <c r="C398" s="1" t="s">
        <v>862</v>
      </c>
      <c r="D398" s="1" t="s">
        <v>1533</v>
      </c>
      <c r="E398" s="1" t="s">
        <v>1534</v>
      </c>
      <c r="F398" s="1" t="s">
        <v>1544</v>
      </c>
      <c r="J398" s="5" t="s">
        <v>1536</v>
      </c>
      <c r="K398" s="1" t="s">
        <v>1537</v>
      </c>
      <c r="L398" s="1" t="s">
        <v>1611</v>
      </c>
      <c r="N398" s="1" t="e">
        <f>IF(#REF!="Ja",VLOOKUP(A398,'[1]ZArtefakte aus Listen'!A:B,2,0),"")</f>
        <v>#REF!</v>
      </c>
      <c r="Q398" s="1" t="e">
        <f>IF(#REF!="Ja",VLOOKUP(A398,'[1]ZArtefakte aus Listen'!A:D,4,0),"")</f>
        <v>#REF!</v>
      </c>
    </row>
    <row r="399" spans="1:17" ht="12.6" hidden="1">
      <c r="A399" s="1" t="s">
        <v>863</v>
      </c>
      <c r="B399" s="1" t="str">
        <f>VLOOKUP(A399,'Z-Programme'!$A$2:$A$650,1,FALSE)</f>
        <v>ZFI_UPLOAD_IVANTAB</v>
      </c>
      <c r="C399" s="1" t="s">
        <v>864</v>
      </c>
      <c r="D399" s="1" t="s">
        <v>1533</v>
      </c>
      <c r="E399" s="1" t="s">
        <v>1660</v>
      </c>
      <c r="F399" s="1" t="s">
        <v>1732</v>
      </c>
      <c r="J399" s="5" t="s">
        <v>1536</v>
      </c>
      <c r="K399" s="1" t="s">
        <v>1662</v>
      </c>
      <c r="L399" s="58" t="s">
        <v>1733</v>
      </c>
      <c r="N399" s="1" t="e">
        <f>IF(#REF!="Ja",VLOOKUP(A399,'[1]ZArtefakte aus Listen'!A:B,2,0),"")</f>
        <v>#REF!</v>
      </c>
      <c r="Q399" s="1" t="e">
        <f>IF(#REF!="Ja",VLOOKUP(A399,'[1]ZArtefakte aus Listen'!A:D,4,0),"")</f>
        <v>#REF!</v>
      </c>
    </row>
    <row r="400" spans="1:17" ht="12.6" hidden="1">
      <c r="A400" s="1" t="s">
        <v>865</v>
      </c>
      <c r="B400" s="1" t="str">
        <f>VLOOKUP(A400,'Z-Programme'!$A$2:$A$650,1,FALSE)</f>
        <v>ZFI_VARTA_GUT</v>
      </c>
      <c r="C400" s="1" t="s">
        <v>867</v>
      </c>
      <c r="D400" s="1" t="s">
        <v>1533</v>
      </c>
      <c r="E400" s="1" t="s">
        <v>1540</v>
      </c>
      <c r="F400" s="1" t="s">
        <v>1616</v>
      </c>
      <c r="J400" s="5" t="s">
        <v>1536</v>
      </c>
      <c r="K400" s="1" t="s">
        <v>1542</v>
      </c>
      <c r="L400" s="1" t="s">
        <v>1734</v>
      </c>
      <c r="N400" s="1" t="e">
        <f>IF(#REF!="Ja",VLOOKUP(A400,'[1]ZArtefakte aus Listen'!A:B,2,0),"")</f>
        <v>#REF!</v>
      </c>
    </row>
    <row r="401" spans="1:17" ht="12.6" hidden="1">
      <c r="A401" s="1" t="s">
        <v>868</v>
      </c>
      <c r="B401" s="1" t="str">
        <f>VLOOKUP(A401,'Z-Programme'!$A$2:$A$650,1,FALSE)</f>
        <v>ZFI_VARTA_LIFNR</v>
      </c>
      <c r="C401" s="1" t="s">
        <v>869</v>
      </c>
      <c r="D401" s="1" t="s">
        <v>1533</v>
      </c>
      <c r="E401" s="1" t="s">
        <v>1534</v>
      </c>
      <c r="F401" s="1" t="s">
        <v>1544</v>
      </c>
      <c r="J401" s="5" t="s">
        <v>1536</v>
      </c>
      <c r="K401" s="1" t="s">
        <v>1537</v>
      </c>
      <c r="L401" s="1" t="s">
        <v>1611</v>
      </c>
      <c r="N401" s="1" t="e">
        <f>IF(#REF!="Ja",VLOOKUP(A401,'[1]ZArtefakte aus Listen'!A:B,2,0),"")</f>
        <v>#REF!</v>
      </c>
      <c r="Q401" s="1" t="e">
        <f>IF(#REF!="Ja",VLOOKUP(A401,'[1]ZArtefakte aus Listen'!A:D,4,0),"")</f>
        <v>#REF!</v>
      </c>
    </row>
    <row r="402" spans="1:17" ht="12.6" hidden="1">
      <c r="A402" s="1" t="s">
        <v>870</v>
      </c>
      <c r="B402" s="1" t="str">
        <f>VLOOKUP(A402,'Z-Programme'!$A$2:$A$650,1,FALSE)</f>
        <v>ZFI_VBUND_ADRESS</v>
      </c>
      <c r="C402" s="1" t="s">
        <v>871</v>
      </c>
      <c r="D402" s="1" t="s">
        <v>1533</v>
      </c>
      <c r="E402" s="1" t="s">
        <v>1534</v>
      </c>
      <c r="F402" s="1" t="s">
        <v>1544</v>
      </c>
      <c r="J402" s="5" t="s">
        <v>1536</v>
      </c>
      <c r="K402" s="1" t="s">
        <v>1537</v>
      </c>
      <c r="L402" s="1" t="s">
        <v>1611</v>
      </c>
      <c r="N402" s="1" t="e">
        <f>IF(#REF!="Ja",VLOOKUP(A402,'[1]ZArtefakte aus Listen'!A:B,2,0),"")</f>
        <v>#REF!</v>
      </c>
      <c r="Q402" s="1" t="e">
        <f>IF(#REF!="Ja",VLOOKUP(A402,'[1]ZArtefakte aus Listen'!A:D,4,0),"")</f>
        <v>#REF!</v>
      </c>
    </row>
    <row r="403" spans="1:17" ht="12.6" hidden="1">
      <c r="A403" s="1" t="s">
        <v>872</v>
      </c>
      <c r="B403" s="1" t="str">
        <f>VLOOKUP(A403,'Z-Programme'!$A$2:$A$650,1,FALSE)</f>
        <v>ZFI_VERLAG_AMA</v>
      </c>
      <c r="C403" s="1" t="s">
        <v>873</v>
      </c>
      <c r="D403" s="1" t="s">
        <v>1533</v>
      </c>
      <c r="E403" s="1" t="s">
        <v>1534</v>
      </c>
      <c r="F403" s="1" t="s">
        <v>1544</v>
      </c>
      <c r="J403" s="5" t="s">
        <v>1536</v>
      </c>
      <c r="K403" s="1" t="s">
        <v>1537</v>
      </c>
      <c r="L403" s="1" t="s">
        <v>1680</v>
      </c>
      <c r="N403" s="1" t="e">
        <f>IF(#REF!="Ja",VLOOKUP(A403,'[1]ZArtefakte aus Listen'!A:B,2,0),"")</f>
        <v>#REF!</v>
      </c>
      <c r="Q403" s="1" t="e">
        <f>IF(#REF!="Ja",VLOOKUP(A403,'[1]ZArtefakte aus Listen'!A:D,4,0),"")</f>
        <v>#REF!</v>
      </c>
    </row>
    <row r="404" spans="1:17" ht="12.6" hidden="1">
      <c r="A404" s="1" t="s">
        <v>874</v>
      </c>
      <c r="B404" s="1" t="str">
        <f>VLOOKUP(A404,'Z-Programme'!$A$2:$A$650,1,FALSE)</f>
        <v>ZFI_VERLAG_THM</v>
      </c>
      <c r="C404" s="1" t="s">
        <v>875</v>
      </c>
      <c r="D404" s="1" t="s">
        <v>1533</v>
      </c>
      <c r="E404" s="1" t="s">
        <v>1534</v>
      </c>
      <c r="F404" s="1" t="s">
        <v>1544</v>
      </c>
      <c r="J404" s="5" t="s">
        <v>1536</v>
      </c>
      <c r="K404" s="1" t="s">
        <v>1537</v>
      </c>
      <c r="L404" s="1" t="s">
        <v>1611</v>
      </c>
      <c r="N404" s="1" t="e">
        <f>IF(#REF!="Ja",VLOOKUP(A404,'[1]ZArtefakte aus Listen'!A:B,2,0),"")</f>
        <v>#REF!</v>
      </c>
      <c r="Q404" s="1" t="e">
        <f>IF(#REF!="Ja",VLOOKUP(A404,'[1]ZArtefakte aus Listen'!A:D,4,0),"")</f>
        <v>#REF!</v>
      </c>
    </row>
    <row r="405" spans="1:17" ht="12.6" hidden="1">
      <c r="A405" s="1" t="s">
        <v>876</v>
      </c>
      <c r="B405" s="1" t="str">
        <f>VLOOKUP(A405,'Z-Programme'!$A$2:$A$650,1,FALSE)</f>
        <v>ZFI_VLSALD</v>
      </c>
      <c r="C405" s="1" t="s">
        <v>1735</v>
      </c>
      <c r="D405" s="1" t="s">
        <v>1533</v>
      </c>
      <c r="E405" s="1" t="s">
        <v>1558</v>
      </c>
      <c r="F405" s="1" t="s">
        <v>1736</v>
      </c>
      <c r="J405" s="5" t="s">
        <v>1536</v>
      </c>
      <c r="K405" s="1" t="s">
        <v>1542</v>
      </c>
      <c r="L405" s="1" t="s">
        <v>1737</v>
      </c>
      <c r="N405" s="1" t="e">
        <f>IF(#REF!="Ja",VLOOKUP(A405,'[1]ZArtefakte aus Listen'!A:B,2,0),"")</f>
        <v>#REF!</v>
      </c>
    </row>
    <row r="406" spans="1:17" ht="12.6" hidden="1">
      <c r="A406" s="1" t="s">
        <v>880</v>
      </c>
      <c r="B406" s="1" t="str">
        <f>VLOOKUP(A406,'Z-Programme'!$A$2:$A$650,1,FALSE)</f>
        <v>ZFI_VORST_AW</v>
      </c>
      <c r="C406" s="1" t="s">
        <v>882</v>
      </c>
      <c r="D406" s="1" t="s">
        <v>1533</v>
      </c>
      <c r="E406" s="1" t="s">
        <v>1738</v>
      </c>
      <c r="F406" s="1" t="s">
        <v>1739</v>
      </c>
      <c r="J406" s="5" t="s">
        <v>1536</v>
      </c>
      <c r="K406" s="1" t="s">
        <v>1740</v>
      </c>
      <c r="L406" s="1" t="s">
        <v>1741</v>
      </c>
      <c r="M406" s="5" t="s">
        <v>1536</v>
      </c>
      <c r="N406" s="1" t="e">
        <f>IF(#REF!="Ja",VLOOKUP(A406,'[1]ZArtefakte aus Listen'!A:B,2,0),"")</f>
        <v>#REF!</v>
      </c>
      <c r="Q406" s="1" t="e">
        <f>IF(#REF!="Ja",VLOOKUP(A406,'[1]ZArtefakte aus Listen'!A:D,4,0),"")</f>
        <v>#REF!</v>
      </c>
    </row>
    <row r="407" spans="1:17" ht="12.6" hidden="1">
      <c r="A407" s="1" t="s">
        <v>883</v>
      </c>
      <c r="B407" s="1" t="str">
        <f>VLOOKUP(A407,'Z-Programme'!$A$2:$A$650,1,FALSE)</f>
        <v>ZFI_VORST_UPD_ZFI_M_ZZVKV</v>
      </c>
      <c r="C407" s="1" t="s">
        <v>884</v>
      </c>
      <c r="D407" s="1" t="s">
        <v>1533</v>
      </c>
      <c r="E407" s="1" t="s">
        <v>1738</v>
      </c>
      <c r="F407" s="1" t="s">
        <v>1739</v>
      </c>
      <c r="J407" s="5" t="s">
        <v>1536</v>
      </c>
      <c r="K407" s="1" t="s">
        <v>1740</v>
      </c>
      <c r="L407" s="1" t="s">
        <v>1741</v>
      </c>
      <c r="M407" s="5" t="s">
        <v>1536</v>
      </c>
      <c r="N407" s="1" t="e">
        <f>IF(#REF!="Ja",VLOOKUP(A407,'[1]ZArtefakte aus Listen'!A:B,2,0),"")</f>
        <v>#REF!</v>
      </c>
      <c r="Q407" s="1" t="e">
        <f>IF(#REF!="Ja",VLOOKUP(A407,'[1]ZArtefakte aus Listen'!A:D,4,0),"")</f>
        <v>#REF!</v>
      </c>
    </row>
    <row r="408" spans="1:17" ht="12.6" hidden="1">
      <c r="A408" s="1" t="s">
        <v>885</v>
      </c>
      <c r="B408" s="1" t="str">
        <f>VLOOKUP(A408,'Z-Programme'!$A$2:$A$650,1,FALSE)</f>
        <v>ZFI_VORST2</v>
      </c>
      <c r="C408" s="1" t="s">
        <v>886</v>
      </c>
      <c r="D408" s="1" t="s">
        <v>1533</v>
      </c>
      <c r="E408" s="1" t="s">
        <v>1738</v>
      </c>
      <c r="F408" s="1" t="s">
        <v>1739</v>
      </c>
      <c r="J408" s="5" t="s">
        <v>1536</v>
      </c>
      <c r="K408" s="1" t="s">
        <v>1740</v>
      </c>
      <c r="L408" s="1" t="s">
        <v>1741</v>
      </c>
      <c r="M408" s="5" t="s">
        <v>1536</v>
      </c>
      <c r="N408" s="1" t="e">
        <f>IF(#REF!="Ja",VLOOKUP(A408,'[1]ZArtefakte aus Listen'!A:B,2,0),"")</f>
        <v>#REF!</v>
      </c>
      <c r="Q408" s="1" t="e">
        <f>IF(#REF!="Ja",VLOOKUP(A408,'[1]ZArtefakte aus Listen'!A:D,4,0),"")</f>
        <v>#REF!</v>
      </c>
    </row>
    <row r="409" spans="1:17" ht="12.6" hidden="1">
      <c r="A409" s="1" t="s">
        <v>887</v>
      </c>
      <c r="B409" s="1" t="str">
        <f>VLOOKUP(A409,'Z-Programme'!$A$2:$A$650,1,FALSE)</f>
        <v>ZFI_VORST3</v>
      </c>
      <c r="C409" s="1" t="s">
        <v>888</v>
      </c>
      <c r="D409" s="1" t="s">
        <v>1533</v>
      </c>
      <c r="E409" s="1" t="s">
        <v>1738</v>
      </c>
      <c r="F409" s="1" t="s">
        <v>1739</v>
      </c>
      <c r="J409" s="5" t="s">
        <v>1536</v>
      </c>
      <c r="K409" s="1" t="s">
        <v>1740</v>
      </c>
      <c r="L409" s="1" t="s">
        <v>1741</v>
      </c>
      <c r="M409" s="5" t="s">
        <v>1536</v>
      </c>
      <c r="N409" s="1" t="e">
        <f>IF(#REF!="Ja",VLOOKUP(A409,'[1]ZArtefakte aus Listen'!A:B,2,0),"")</f>
        <v>#REF!</v>
      </c>
      <c r="Q409" s="1" t="e">
        <f>IF(#REF!="Ja",VLOOKUP(A409,'[1]ZArtefakte aus Listen'!A:D,4,0),"")</f>
        <v>#REF!</v>
      </c>
    </row>
    <row r="410" spans="1:17" ht="12.6" hidden="1">
      <c r="A410" s="1" t="s">
        <v>889</v>
      </c>
      <c r="B410" s="1" t="str">
        <f>VLOOKUP(A410,'Z-Programme'!$A$2:$A$650,1,FALSE)</f>
        <v>ZFI_VORST4</v>
      </c>
      <c r="C410" s="1" t="s">
        <v>890</v>
      </c>
      <c r="D410" s="1" t="s">
        <v>1533</v>
      </c>
      <c r="E410" s="1" t="s">
        <v>1738</v>
      </c>
      <c r="F410" s="1" t="s">
        <v>1739</v>
      </c>
      <c r="J410" s="5" t="s">
        <v>1536</v>
      </c>
      <c r="K410" s="1" t="s">
        <v>1740</v>
      </c>
      <c r="L410" s="1" t="s">
        <v>1741</v>
      </c>
      <c r="M410" s="5" t="s">
        <v>1536</v>
      </c>
      <c r="N410" s="1" t="e">
        <f>IF(#REF!="Ja",VLOOKUP(A410,'[1]ZArtefakte aus Listen'!A:B,2,0),"")</f>
        <v>#REF!</v>
      </c>
      <c r="Q410" s="1" t="e">
        <f>IF(#REF!="Ja",VLOOKUP(A410,'[1]ZArtefakte aus Listen'!A:D,4,0),"")</f>
        <v>#REF!</v>
      </c>
    </row>
    <row r="411" spans="1:17" ht="12.6" hidden="1">
      <c r="A411" s="1" t="s">
        <v>891</v>
      </c>
      <c r="B411" s="1" t="str">
        <f>VLOOKUP(A411,'Z-Programme'!$A$2:$A$650,1,FALSE)</f>
        <v>ZFI_VSTKOR</v>
      </c>
      <c r="C411" s="1" t="s">
        <v>892</v>
      </c>
      <c r="D411" s="1" t="s">
        <v>1533</v>
      </c>
      <c r="E411" s="1" t="s">
        <v>1738</v>
      </c>
      <c r="F411" s="1" t="s">
        <v>1739</v>
      </c>
      <c r="J411" s="5" t="s">
        <v>1536</v>
      </c>
      <c r="K411" s="1" t="s">
        <v>1740</v>
      </c>
      <c r="L411" s="1" t="s">
        <v>1741</v>
      </c>
      <c r="M411" s="5" t="s">
        <v>1536</v>
      </c>
      <c r="N411" s="1" t="e">
        <f>IF(#REF!="Ja",VLOOKUP(A411,'[1]ZArtefakte aus Listen'!A:B,2,0),"")</f>
        <v>#REF!</v>
      </c>
      <c r="Q411" s="1" t="e">
        <f>IF(#REF!="Ja",VLOOKUP(A411,'[1]ZArtefakte aus Listen'!A:D,4,0),"")</f>
        <v>#REF!</v>
      </c>
    </row>
    <row r="412" spans="1:17" ht="12.6" hidden="1">
      <c r="A412" s="1" t="s">
        <v>893</v>
      </c>
      <c r="B412" s="1" t="str">
        <f>VLOOKUP(A412,'Z-Programme'!$A$2:$A$650,1,FALSE)</f>
        <v>ZFI_VTE_SCHLEIFE</v>
      </c>
      <c r="C412" s="1" t="s">
        <v>1742</v>
      </c>
      <c r="D412" s="1" t="s">
        <v>1533</v>
      </c>
      <c r="E412" s="1" t="s">
        <v>1738</v>
      </c>
      <c r="F412" s="1" t="s">
        <v>1739</v>
      </c>
      <c r="J412" s="5" t="s">
        <v>1536</v>
      </c>
      <c r="K412" s="1" t="s">
        <v>1740</v>
      </c>
      <c r="L412" s="1" t="s">
        <v>1741</v>
      </c>
      <c r="M412" s="5" t="s">
        <v>1536</v>
      </c>
      <c r="N412" s="1" t="e">
        <f>IF(#REF!="Ja",VLOOKUP(A412,'[1]ZArtefakte aus Listen'!A:B,2,0),"")</f>
        <v>#REF!</v>
      </c>
      <c r="Q412" s="1" t="e">
        <f>IF(#REF!="Ja",VLOOKUP(A412,'[1]ZArtefakte aus Listen'!A:D,4,0),"")</f>
        <v>#REF!</v>
      </c>
    </row>
    <row r="413" spans="1:17" ht="12.6" hidden="1">
      <c r="A413" s="1" t="s">
        <v>896</v>
      </c>
      <c r="B413" s="1" t="str">
        <f>VLOOKUP(A413,'Z-Programme'!$A$2:$A$650,1,FALSE)</f>
        <v>ZFI_WOMO_ZUORDANZ</v>
      </c>
      <c r="C413" s="1" t="s">
        <v>897</v>
      </c>
      <c r="D413" s="1" t="s">
        <v>1533</v>
      </c>
      <c r="E413" s="1" t="s">
        <v>1534</v>
      </c>
      <c r="F413" s="1" t="s">
        <v>1544</v>
      </c>
      <c r="G413" s="1" t="s">
        <v>1743</v>
      </c>
      <c r="H413" s="58" t="s">
        <v>1708</v>
      </c>
      <c r="I413" s="58" t="s">
        <v>1556</v>
      </c>
      <c r="J413" s="5" t="s">
        <v>1536</v>
      </c>
      <c r="K413" s="1" t="s">
        <v>1537</v>
      </c>
      <c r="L413" s="1" t="s">
        <v>1744</v>
      </c>
      <c r="N413" s="1" t="e">
        <f>IF(#REF!="Ja",VLOOKUP(A413,'[1]ZArtefakte aus Listen'!A:B,2,0),"")</f>
        <v>#REF!</v>
      </c>
      <c r="Q413" s="1" t="e">
        <f>IF(#REF!="Ja",VLOOKUP(A413,'[1]ZArtefakte aus Listen'!A:D,4,0),"")</f>
        <v>#REF!</v>
      </c>
    </row>
    <row r="414" spans="1:17" ht="12.6" hidden="1">
      <c r="A414" s="1" t="s">
        <v>898</v>
      </c>
      <c r="B414" s="1" t="str">
        <f>VLOOKUP(A414,'Z-Programme'!$A$2:$A$650,1,FALSE)</f>
        <v>ZFI_ZAHLLAUF_AUSWERT</v>
      </c>
      <c r="C414" s="1" t="s">
        <v>899</v>
      </c>
      <c r="D414" s="1" t="s">
        <v>1533</v>
      </c>
      <c r="E414" s="1" t="s">
        <v>1534</v>
      </c>
      <c r="F414" s="1" t="s">
        <v>1544</v>
      </c>
      <c r="J414" s="5" t="s">
        <v>1536</v>
      </c>
      <c r="K414" s="1" t="s">
        <v>1537</v>
      </c>
      <c r="L414" s="1" t="s">
        <v>1745</v>
      </c>
      <c r="N414" s="1" t="e">
        <f>IF(#REF!="Ja",VLOOKUP(A414,'[1]ZArtefakte aus Listen'!A:B,2,0),"")</f>
        <v>#REF!</v>
      </c>
      <c r="Q414" s="1" t="e">
        <f>IF(#REF!="Ja",VLOOKUP(A414,'[1]ZArtefakte aus Listen'!A:D,4,0),"")</f>
        <v>#REF!</v>
      </c>
    </row>
    <row r="415" spans="1:17" ht="12.6" hidden="1">
      <c r="A415" s="1" t="s">
        <v>900</v>
      </c>
      <c r="B415" s="1" t="str">
        <f>VLOOKUP(A415,'Z-Programme'!$A$2:$A$650,1,FALSE)</f>
        <v>ZFI_ZAHLLAUF_BETRAG</v>
      </c>
      <c r="C415" s="1" t="s">
        <v>901</v>
      </c>
      <c r="D415" s="1" t="s">
        <v>1533</v>
      </c>
      <c r="E415" s="1" t="s">
        <v>1534</v>
      </c>
      <c r="F415" s="1" t="s">
        <v>1544</v>
      </c>
      <c r="J415" s="5" t="s">
        <v>1536</v>
      </c>
      <c r="K415" s="1" t="s">
        <v>1537</v>
      </c>
      <c r="L415" s="1" t="s">
        <v>1746</v>
      </c>
      <c r="N415" s="1" t="e">
        <f>IF(#REF!="Ja",VLOOKUP(A415,'[1]ZArtefakte aus Listen'!A:B,2,0),"")</f>
        <v>#REF!</v>
      </c>
      <c r="Q415" s="1" t="e">
        <f>IF(#REF!="Ja",VLOOKUP(A415,'[1]ZArtefakte aus Listen'!A:D,4,0),"")</f>
        <v>#REF!</v>
      </c>
    </row>
    <row r="416" spans="1:17" ht="12.6" hidden="1">
      <c r="A416" s="1" t="s">
        <v>902</v>
      </c>
      <c r="B416" s="1" t="str">
        <f>VLOOKUP(A416,'Z-Programme'!$A$2:$A$650,1,FALSE)</f>
        <v>ZFI_ZAHLLAUF_SICH</v>
      </c>
      <c r="C416" s="1" t="s">
        <v>903</v>
      </c>
      <c r="D416" s="1" t="s">
        <v>1533</v>
      </c>
      <c r="E416" s="1" t="s">
        <v>1534</v>
      </c>
      <c r="F416" s="1" t="s">
        <v>1544</v>
      </c>
      <c r="J416" s="5" t="s">
        <v>1536</v>
      </c>
      <c r="K416" s="1" t="s">
        <v>1537</v>
      </c>
      <c r="L416" s="1" t="s">
        <v>1745</v>
      </c>
      <c r="N416" s="1" t="e">
        <f>IF(#REF!="Ja",VLOOKUP(A416,'[1]ZArtefakte aus Listen'!A:B,2,0),"")</f>
        <v>#REF!</v>
      </c>
      <c r="Q416" s="1" t="e">
        <f>IF(#REF!="Ja",VLOOKUP(A416,'[1]ZArtefakte aus Listen'!A:D,4,0),"")</f>
        <v>#REF!</v>
      </c>
    </row>
    <row r="417" spans="1:17" ht="12.6" hidden="1">
      <c r="A417" s="1" t="s">
        <v>904</v>
      </c>
      <c r="B417" s="1" t="str">
        <f>VLOOKUP(A417,'Z-Programme'!$A$2:$A$650,1,FALSE)</f>
        <v>ZFI_ZAHLLAUF_VORSYSTEM</v>
      </c>
      <c r="C417" s="1" t="s">
        <v>905</v>
      </c>
      <c r="D417" s="1" t="s">
        <v>1533</v>
      </c>
      <c r="E417" s="1" t="s">
        <v>1534</v>
      </c>
      <c r="F417" s="1" t="s">
        <v>1544</v>
      </c>
      <c r="J417" s="5" t="s">
        <v>1536</v>
      </c>
      <c r="K417" s="1" t="s">
        <v>1537</v>
      </c>
      <c r="L417" s="1" t="s">
        <v>1747</v>
      </c>
      <c r="N417" s="1" t="e">
        <f>IF(#REF!="Ja",VLOOKUP(A417,'[1]ZArtefakte aus Listen'!A:B,2,0),"")</f>
        <v>#REF!</v>
      </c>
      <c r="Q417" s="1" t="e">
        <f>IF(#REF!="Ja",VLOOKUP(A417,'[1]ZArtefakte aus Listen'!A:D,4,0),"")</f>
        <v>#REF!</v>
      </c>
    </row>
    <row r="418" spans="1:17" ht="12.6" hidden="1">
      <c r="A418" s="1" t="s">
        <v>906</v>
      </c>
      <c r="B418" s="1" t="str">
        <f>VLOOKUP(A418,'Z-Programme'!$A$2:$A$650,1,FALSE)</f>
        <v>ZFI_ZAHLLAUF_ZUFALL</v>
      </c>
      <c r="C418" s="1" t="s">
        <v>453</v>
      </c>
      <c r="D418" s="1" t="s">
        <v>1533</v>
      </c>
      <c r="E418" s="1" t="s">
        <v>1534</v>
      </c>
      <c r="F418" s="1" t="s">
        <v>1544</v>
      </c>
      <c r="G418" s="1" t="s">
        <v>1617</v>
      </c>
      <c r="H418" s="58" t="s">
        <v>1556</v>
      </c>
      <c r="I418" s="58" t="s">
        <v>1556</v>
      </c>
      <c r="K418" s="58" t="s">
        <v>1573</v>
      </c>
      <c r="L418" s="1" t="s">
        <v>1748</v>
      </c>
      <c r="N418" s="1" t="e">
        <f>IF(#REF!="Ja",VLOOKUP(A418,'[1]ZArtefakte aus Listen'!A:B,2,0),"")</f>
        <v>#REF!</v>
      </c>
      <c r="P418" s="58"/>
      <c r="Q418" s="1" t="e">
        <f>IF(#REF!="Ja",VLOOKUP(A418,'[1]ZArtefakte aus Listen'!A:D,4,0),"")</f>
        <v>#REF!</v>
      </c>
    </row>
    <row r="419" spans="1:17" ht="12.6" hidden="1">
      <c r="A419" s="1" t="s">
        <v>909</v>
      </c>
      <c r="B419" s="1" t="str">
        <f>VLOOKUP(A419,'Z-Programme'!$A$2:$A$650,1,FALSE)</f>
        <v>ZFI_ZAHLUNGSMITTEILUNGEN</v>
      </c>
      <c r="C419" s="1" t="s">
        <v>910</v>
      </c>
      <c r="D419" s="1" t="s">
        <v>1533</v>
      </c>
      <c r="E419" s="1" t="s">
        <v>1534</v>
      </c>
      <c r="F419" s="1" t="s">
        <v>1544</v>
      </c>
      <c r="J419" s="5" t="s">
        <v>1536</v>
      </c>
      <c r="K419" s="1" t="s">
        <v>1537</v>
      </c>
      <c r="L419" s="1" t="s">
        <v>1611</v>
      </c>
      <c r="N419" s="1" t="e">
        <f>IF(#REF!="Ja",VLOOKUP(A419,'[1]ZArtefakte aus Listen'!A:B,2,0),"")</f>
        <v>#REF!</v>
      </c>
      <c r="Q419" s="1" t="e">
        <f>IF(#REF!="Ja",VLOOKUP(A419,'[1]ZArtefakte aus Listen'!A:D,4,0),"")</f>
        <v>#REF!</v>
      </c>
    </row>
    <row r="420" spans="1:17" ht="12.6" hidden="1">
      <c r="A420" s="1" t="s">
        <v>911</v>
      </c>
      <c r="B420" s="1" t="str">
        <f>VLOOKUP(A420,'Z-Programme'!$A$2:$A$650,1,FALSE)</f>
        <v>ZFI_ZAHLV_ALV</v>
      </c>
      <c r="C420" s="1" t="s">
        <v>912</v>
      </c>
      <c r="D420" s="1" t="s">
        <v>1533</v>
      </c>
      <c r="E420" s="1" t="s">
        <v>1534</v>
      </c>
      <c r="F420" s="1" t="s">
        <v>1544</v>
      </c>
      <c r="J420" s="5" t="s">
        <v>1536</v>
      </c>
      <c r="K420" s="1" t="s">
        <v>1537</v>
      </c>
      <c r="L420" s="1" t="s">
        <v>1611</v>
      </c>
      <c r="N420" s="1" t="e">
        <f>IF(#REF!="Ja",VLOOKUP(A420,'[1]ZArtefakte aus Listen'!A:B,2,0),"")</f>
        <v>#REF!</v>
      </c>
      <c r="Q420" s="1" t="e">
        <f>IF(#REF!="Ja",VLOOKUP(A420,'[1]ZArtefakte aus Listen'!A:D,4,0),"")</f>
        <v>#REF!</v>
      </c>
    </row>
    <row r="421" spans="1:17" ht="12.6" hidden="1">
      <c r="A421" s="1" t="s">
        <v>913</v>
      </c>
      <c r="B421" s="1" t="str">
        <f>VLOOKUP(A421,'Z-Programme'!$A$2:$A$650,1,FALSE)</f>
        <v>ZFI_ZAHLV_DDF</v>
      </c>
      <c r="C421" s="1" t="s">
        <v>914</v>
      </c>
      <c r="D421" s="1" t="s">
        <v>1533</v>
      </c>
      <c r="E421" s="1" t="s">
        <v>1534</v>
      </c>
      <c r="F421" s="1" t="s">
        <v>1544</v>
      </c>
      <c r="J421" s="5" t="s">
        <v>1536</v>
      </c>
      <c r="K421" s="1" t="s">
        <v>1537</v>
      </c>
      <c r="L421" s="1" t="s">
        <v>1611</v>
      </c>
      <c r="N421" s="1" t="e">
        <f>IF(#REF!="Ja",VLOOKUP(A421,'[1]ZArtefakte aus Listen'!A:B,2,0),"")</f>
        <v>#REF!</v>
      </c>
      <c r="Q421" s="1" t="e">
        <f>IF(#REF!="Ja",VLOOKUP(A421,'[1]ZArtefakte aus Listen'!A:D,4,0),"")</f>
        <v>#REF!</v>
      </c>
    </row>
    <row r="422" spans="1:17" ht="12.6" hidden="1">
      <c r="A422" s="1" t="s">
        <v>915</v>
      </c>
      <c r="B422" s="1" t="str">
        <f>VLOOKUP(A422,'Z-Programme'!$A$2:$A$650,1,FALSE)</f>
        <v>ZFI_ZAHLV_RAHMEN</v>
      </c>
      <c r="C422" s="1" t="s">
        <v>916</v>
      </c>
      <c r="D422" s="1" t="s">
        <v>1533</v>
      </c>
      <c r="E422" s="1" t="s">
        <v>1534</v>
      </c>
      <c r="F422" s="1" t="s">
        <v>1544</v>
      </c>
      <c r="J422" s="5" t="s">
        <v>1536</v>
      </c>
      <c r="K422" s="1" t="s">
        <v>1537</v>
      </c>
      <c r="L422" s="1" t="s">
        <v>1611</v>
      </c>
      <c r="N422" s="1" t="e">
        <f>IF(#REF!="Ja",VLOOKUP(A422,'[1]ZArtefakte aus Listen'!A:B,2,0),"")</f>
        <v>#REF!</v>
      </c>
      <c r="Q422" s="1" t="e">
        <f>IF(#REF!="Ja",VLOOKUP(A422,'[1]ZArtefakte aus Listen'!A:D,4,0),"")</f>
        <v>#REF!</v>
      </c>
    </row>
    <row r="423" spans="1:17" ht="12.6" hidden="1">
      <c r="A423" s="1" t="s">
        <v>917</v>
      </c>
      <c r="B423" s="1" t="str">
        <f>VLOOKUP(A423,'Z-Programme'!$A$2:$A$650,1,FALSE)</f>
        <v>ZFI_ZAHLV_RAHMEN_FB</v>
      </c>
      <c r="C423" s="1" t="s">
        <v>918</v>
      </c>
      <c r="D423" s="1" t="s">
        <v>1533</v>
      </c>
      <c r="E423" s="1" t="s">
        <v>1534</v>
      </c>
      <c r="F423" s="1" t="s">
        <v>1544</v>
      </c>
      <c r="J423" s="5" t="s">
        <v>1536</v>
      </c>
      <c r="K423" s="1" t="s">
        <v>1537</v>
      </c>
      <c r="L423" s="1" t="s">
        <v>1611</v>
      </c>
      <c r="N423" s="1" t="e">
        <f>IF(#REF!="Ja",VLOOKUP(A423,'[1]ZArtefakte aus Listen'!A:B,2,0),"")</f>
        <v>#REF!</v>
      </c>
      <c r="Q423" s="1" t="e">
        <f>IF(#REF!="Ja",VLOOKUP(A423,'[1]ZArtefakte aus Listen'!A:D,4,0),"")</f>
        <v>#REF!</v>
      </c>
    </row>
    <row r="424" spans="1:17" ht="12.6" hidden="1">
      <c r="A424" s="1" t="s">
        <v>919</v>
      </c>
      <c r="B424" s="1" t="str">
        <f>VLOOKUP(A424,'Z-Programme'!$A$2:$A$650,1,FALSE)</f>
        <v>ZFI_ZAHLV_SEL</v>
      </c>
      <c r="C424" s="1" t="s">
        <v>914</v>
      </c>
      <c r="D424" s="1" t="s">
        <v>1533</v>
      </c>
      <c r="E424" s="1" t="s">
        <v>1534</v>
      </c>
      <c r="F424" s="1" t="s">
        <v>1544</v>
      </c>
      <c r="J424" s="5" t="s">
        <v>1536</v>
      </c>
      <c r="K424" s="1" t="s">
        <v>1537</v>
      </c>
      <c r="L424" s="1" t="s">
        <v>1611</v>
      </c>
      <c r="N424" s="1" t="e">
        <f>IF(#REF!="Ja",VLOOKUP(A424,'[1]ZArtefakte aus Listen'!A:B,2,0),"")</f>
        <v>#REF!</v>
      </c>
      <c r="Q424" s="1" t="e">
        <f>IF(#REF!="Ja",VLOOKUP(A424,'[1]ZArtefakte aus Listen'!A:D,4,0),"")</f>
        <v>#REF!</v>
      </c>
    </row>
    <row r="425" spans="1:17" ht="12.6" hidden="1">
      <c r="A425" s="1" t="s">
        <v>920</v>
      </c>
      <c r="B425" s="1" t="str">
        <f>VLOOKUP(A425,'Z-Programme'!$A$2:$A$650,1,FALSE)</f>
        <v>ZFI_ZF140_CASH</v>
      </c>
      <c r="C425" s="1" t="s">
        <v>921</v>
      </c>
      <c r="D425" s="1" t="s">
        <v>1533</v>
      </c>
      <c r="E425" s="1" t="s">
        <v>1534</v>
      </c>
      <c r="F425" s="1" t="s">
        <v>1544</v>
      </c>
      <c r="J425" s="5" t="s">
        <v>1536</v>
      </c>
      <c r="K425" s="1" t="s">
        <v>1537</v>
      </c>
      <c r="L425" s="1" t="s">
        <v>1611</v>
      </c>
      <c r="N425" s="1" t="e">
        <f>IF(#REF!="Ja",VLOOKUP(A425,'[1]ZArtefakte aus Listen'!A:B,2,0),"")</f>
        <v>#REF!</v>
      </c>
      <c r="Q425" s="1" t="e">
        <f>IF(#REF!="Ja",VLOOKUP(A425,'[1]ZArtefakte aus Listen'!A:D,4,0),"")</f>
        <v>#REF!</v>
      </c>
    </row>
    <row r="426" spans="1:17" ht="12.6" hidden="1">
      <c r="A426" s="1" t="s">
        <v>922</v>
      </c>
      <c r="B426" s="1" t="str">
        <f>VLOOKUP(A426,'Z-Programme'!$A$2:$A$650,1,FALSE)</f>
        <v>ZFI_ZML_CHECK</v>
      </c>
      <c r="C426" s="1" t="s">
        <v>1749</v>
      </c>
      <c r="D426" s="1" t="s">
        <v>1533</v>
      </c>
      <c r="E426" s="1" t="s">
        <v>1558</v>
      </c>
      <c r="F426" s="1" t="s">
        <v>1549</v>
      </c>
      <c r="G426" s="1" t="s">
        <v>1572</v>
      </c>
      <c r="K426" s="58" t="s">
        <v>1573</v>
      </c>
      <c r="N426" s="1" t="e">
        <f>IF(#REF!="Ja",VLOOKUP(A426,'[1]ZArtefakte aus Listen'!A:B,2,0),"")</f>
        <v>#REF!</v>
      </c>
      <c r="P426" s="58"/>
      <c r="Q426" s="1" t="e">
        <f>IF(#REF!="Ja",VLOOKUP(A426,'[1]ZArtefakte aus Listen'!A:D,4,0),"")</f>
        <v>#REF!</v>
      </c>
    </row>
    <row r="427" spans="1:17" ht="12.6" hidden="1">
      <c r="A427" s="1" t="s">
        <v>925</v>
      </c>
      <c r="B427" s="1" t="str">
        <f>VLOOKUP(A427,'Z-Programme'!$A$2:$A$650,1,FALSE)</f>
        <v>ZFI_ZML_COCKPIT</v>
      </c>
      <c r="C427" s="1" t="s">
        <v>926</v>
      </c>
      <c r="D427" s="1" t="s">
        <v>1533</v>
      </c>
      <c r="E427" s="1" t="s">
        <v>1558</v>
      </c>
      <c r="F427" s="1" t="s">
        <v>1549</v>
      </c>
      <c r="G427" s="1" t="s">
        <v>1572</v>
      </c>
      <c r="K427" s="58" t="s">
        <v>1573</v>
      </c>
      <c r="N427" s="1" t="e">
        <f>IF(#REF!="Ja",VLOOKUP(A427,'[1]ZArtefakte aus Listen'!A:B,2,0),"")</f>
        <v>#REF!</v>
      </c>
      <c r="P427" s="58"/>
      <c r="Q427" s="1" t="e">
        <f>IF(#REF!="Ja",VLOOKUP(A427,'[1]ZArtefakte aus Listen'!A:D,4,0),"")</f>
        <v>#REF!</v>
      </c>
    </row>
    <row r="428" spans="1:17" ht="12.6" hidden="1">
      <c r="A428" s="1" t="s">
        <v>927</v>
      </c>
      <c r="B428" s="1" t="str">
        <f>VLOOKUP(A428,'Z-Programme'!$A$2:$A$650,1,FALSE)</f>
        <v>ZFI_ZML_COPGEN</v>
      </c>
      <c r="C428" s="1" t="s">
        <v>928</v>
      </c>
      <c r="D428" s="1" t="s">
        <v>1533</v>
      </c>
      <c r="E428" s="1" t="s">
        <v>1558</v>
      </c>
      <c r="F428" s="1" t="s">
        <v>1549</v>
      </c>
      <c r="G428" s="1" t="s">
        <v>1572</v>
      </c>
      <c r="K428" s="58" t="s">
        <v>1573</v>
      </c>
      <c r="N428" s="1" t="e">
        <f>IF(#REF!="Ja",VLOOKUP(A428,'[1]ZArtefakte aus Listen'!A:B,2,0),"")</f>
        <v>#REF!</v>
      </c>
      <c r="P428" s="58"/>
      <c r="Q428" s="1" t="e">
        <f>IF(#REF!="Ja",VLOOKUP(A428,'[1]ZArtefakte aus Listen'!A:D,4,0),"")</f>
        <v>#REF!</v>
      </c>
    </row>
    <row r="429" spans="1:17" ht="12.6" hidden="1">
      <c r="A429" s="1" t="s">
        <v>929</v>
      </c>
      <c r="B429" s="1" t="str">
        <f>VLOOKUP(A429,'Z-Programme'!$A$2:$A$650,1,FALSE)</f>
        <v>ZFI_ZML_DEAKT</v>
      </c>
      <c r="C429" s="1" t="s">
        <v>930</v>
      </c>
      <c r="D429" s="1" t="s">
        <v>1533</v>
      </c>
      <c r="E429" s="1" t="s">
        <v>1558</v>
      </c>
      <c r="F429" s="1" t="s">
        <v>1549</v>
      </c>
      <c r="G429" s="1" t="s">
        <v>1572</v>
      </c>
      <c r="K429" s="58" t="s">
        <v>1573</v>
      </c>
      <c r="N429" s="1" t="e">
        <f>IF(#REF!="Ja",VLOOKUP(A429,'[1]ZArtefakte aus Listen'!A:B,2,0),"")</f>
        <v>#REF!</v>
      </c>
      <c r="P429" s="58"/>
      <c r="Q429" s="1" t="e">
        <f>IF(#REF!="Ja",VLOOKUP(A429,'[1]ZArtefakte aus Listen'!A:D,4,0),"")</f>
        <v>#REF!</v>
      </c>
    </row>
    <row r="430" spans="1:17" ht="12.6" hidden="1">
      <c r="A430" s="1" t="s">
        <v>931</v>
      </c>
      <c r="B430" s="1" t="str">
        <f>VLOOKUP(A430,'Z-Programme'!$A$2:$A$650,1,FALSE)</f>
        <v>ZFI_ZML_DEL</v>
      </c>
      <c r="C430" s="1" t="s">
        <v>932</v>
      </c>
      <c r="D430" s="1" t="s">
        <v>1533</v>
      </c>
      <c r="E430" s="1" t="s">
        <v>1558</v>
      </c>
      <c r="F430" s="1" t="s">
        <v>1549</v>
      </c>
      <c r="G430" s="1" t="s">
        <v>1572</v>
      </c>
      <c r="K430" s="58" t="s">
        <v>1573</v>
      </c>
      <c r="N430" s="1" t="e">
        <f>IF(#REF!="Ja",VLOOKUP(A430,'[1]ZArtefakte aus Listen'!A:B,2,0),"")</f>
        <v>#REF!</v>
      </c>
      <c r="P430" s="58"/>
      <c r="Q430" s="1" t="e">
        <f>IF(#REF!="Ja",VLOOKUP(A430,'[1]ZArtefakte aus Listen'!A:D,4,0),"")</f>
        <v>#REF!</v>
      </c>
    </row>
    <row r="431" spans="1:17" ht="12.6" hidden="1">
      <c r="A431" s="1" t="s">
        <v>933</v>
      </c>
      <c r="B431" s="1" t="str">
        <f>VLOOKUP(A431,'Z-Programme'!$A$2:$A$650,1,FALSE)</f>
        <v>ZFI_ZML_FILL</v>
      </c>
      <c r="C431" s="1" t="s">
        <v>934</v>
      </c>
      <c r="D431" s="1" t="s">
        <v>1533</v>
      </c>
      <c r="E431" s="1" t="s">
        <v>1558</v>
      </c>
      <c r="F431" s="1" t="s">
        <v>1549</v>
      </c>
      <c r="G431" s="1" t="s">
        <v>1572</v>
      </c>
      <c r="K431" s="58" t="s">
        <v>1573</v>
      </c>
      <c r="N431" s="1" t="e">
        <f>IF(#REF!="Ja",VLOOKUP(A431,'[1]ZArtefakte aus Listen'!A:B,2,0),"")</f>
        <v>#REF!</v>
      </c>
      <c r="P431" s="58"/>
      <c r="Q431" s="1" t="e">
        <f>IF(#REF!="Ja",VLOOKUP(A431,'[1]ZArtefakte aus Listen'!A:D,4,0),"")</f>
        <v>#REF!</v>
      </c>
    </row>
    <row r="432" spans="1:17" ht="12.6" hidden="1">
      <c r="A432" s="1" t="s">
        <v>935</v>
      </c>
      <c r="B432" s="1" t="str">
        <f>VLOOKUP(A432,'Z-Programme'!$A$2:$A$650,1,FALSE)</f>
        <v>ZFI_ZML_INIT</v>
      </c>
      <c r="C432" s="1" t="s">
        <v>936</v>
      </c>
      <c r="D432" s="1" t="s">
        <v>1533</v>
      </c>
      <c r="E432" s="1" t="s">
        <v>1558</v>
      </c>
      <c r="F432" s="1" t="s">
        <v>1549</v>
      </c>
      <c r="G432" s="1" t="s">
        <v>1572</v>
      </c>
      <c r="K432" s="58" t="s">
        <v>1573</v>
      </c>
      <c r="N432" s="1" t="e">
        <f>IF(#REF!="Ja",VLOOKUP(A432,'[1]ZArtefakte aus Listen'!A:B,2,0),"")</f>
        <v>#REF!</v>
      </c>
      <c r="P432" s="58"/>
      <c r="Q432" s="1" t="e">
        <f>IF(#REF!="Ja",VLOOKUP(A432,'[1]ZArtefakte aus Listen'!A:D,4,0),"")</f>
        <v>#REF!</v>
      </c>
    </row>
    <row r="433" spans="1:17" ht="12.6" hidden="1">
      <c r="A433" s="1" t="s">
        <v>937</v>
      </c>
      <c r="B433" s="1" t="str">
        <f>VLOOKUP(A433,'Z-Programme'!$A$2:$A$650,1,FALSE)</f>
        <v>ZFI_ZML_KALENDER</v>
      </c>
      <c r="C433" s="1" t="s">
        <v>939</v>
      </c>
      <c r="D433" s="1" t="s">
        <v>1533</v>
      </c>
      <c r="E433" s="1" t="s">
        <v>1558</v>
      </c>
      <c r="F433" s="1" t="s">
        <v>1616</v>
      </c>
      <c r="J433" s="5" t="s">
        <v>1536</v>
      </c>
      <c r="K433" s="1" t="s">
        <v>1542</v>
      </c>
      <c r="L433" s="1" t="s">
        <v>1750</v>
      </c>
      <c r="M433" s="5" t="s">
        <v>1536</v>
      </c>
      <c r="N433" s="1" t="e">
        <f>IF(#REF!="Ja",VLOOKUP(A433,'[1]ZArtefakte aus Listen'!A:B,2,0),"")</f>
        <v>#REF!</v>
      </c>
    </row>
    <row r="434" spans="1:17" ht="12.6" hidden="1">
      <c r="A434" s="1" t="s">
        <v>940</v>
      </c>
      <c r="B434" s="1" t="str">
        <f>VLOOKUP(A434,'Z-Programme'!$A$2:$A$650,1,FALSE)</f>
        <v>ZFI_ZML_SCHED</v>
      </c>
      <c r="C434" s="1" t="s">
        <v>941</v>
      </c>
      <c r="D434" s="1" t="s">
        <v>1533</v>
      </c>
      <c r="E434" s="1" t="s">
        <v>1558</v>
      </c>
      <c r="F434" s="1" t="s">
        <v>1549</v>
      </c>
      <c r="G434" s="1" t="s">
        <v>1572</v>
      </c>
      <c r="K434" s="58" t="s">
        <v>1573</v>
      </c>
      <c r="N434" s="1" t="e">
        <f>IF(#REF!="Ja",VLOOKUP(A434,'[1]ZArtefakte aus Listen'!A:B,2,0),"")</f>
        <v>#REF!</v>
      </c>
      <c r="P434" s="58"/>
      <c r="Q434" s="1" t="e">
        <f>IF(#REF!="Ja",VLOOKUP(A434,'[1]ZArtefakte aus Listen'!A:D,4,0),"")</f>
        <v>#REF!</v>
      </c>
    </row>
    <row r="435" spans="1:17" ht="12.6" hidden="1">
      <c r="A435" s="1" t="s">
        <v>942</v>
      </c>
      <c r="B435" s="1" t="str">
        <f>VLOOKUP(A435,'Z-Programme'!$A$2:$A$650,1,FALSE)</f>
        <v>ZIM_LST_IMAUFTRAG01</v>
      </c>
      <c r="C435" s="1" t="s">
        <v>943</v>
      </c>
      <c r="D435" s="1" t="s">
        <v>1533</v>
      </c>
      <c r="E435" s="1" t="s">
        <v>1534</v>
      </c>
      <c r="F435" s="1" t="s">
        <v>1544</v>
      </c>
      <c r="J435" s="5" t="s">
        <v>1536</v>
      </c>
      <c r="K435" s="58" t="s">
        <v>1537</v>
      </c>
      <c r="L435" s="1" t="s">
        <v>1578</v>
      </c>
      <c r="N435" s="1" t="e">
        <f>IF(#REF!="Ja",VLOOKUP(A435,'[1]ZArtefakte aus Listen'!A:B,2,0),"")</f>
        <v>#REF!</v>
      </c>
      <c r="P435" s="58"/>
      <c r="Q435" s="1" t="e">
        <f>IF(#REF!="Ja",VLOOKUP(A435,'[1]ZArtefakte aus Listen'!A:D,4,0),"")</f>
        <v>#REF!</v>
      </c>
    </row>
    <row r="436" spans="1:17" ht="12.6" hidden="1">
      <c r="A436" s="1" t="s">
        <v>944</v>
      </c>
      <c r="B436" s="1" t="str">
        <f>VLOOKUP(A436,'Z-Programme'!$A$2:$A$650,1,FALSE)</f>
        <v>ZIM_MASN_FREIGABE</v>
      </c>
      <c r="C436" s="1" t="s">
        <v>945</v>
      </c>
      <c r="D436" s="1" t="s">
        <v>1533</v>
      </c>
      <c r="E436" s="1" t="s">
        <v>1534</v>
      </c>
      <c r="F436" s="1" t="s">
        <v>1544</v>
      </c>
      <c r="J436" s="5" t="s">
        <v>1536</v>
      </c>
      <c r="K436" s="58" t="s">
        <v>1537</v>
      </c>
      <c r="L436" s="1" t="s">
        <v>1578</v>
      </c>
      <c r="N436" s="1" t="e">
        <f>IF(#REF!="Ja",VLOOKUP(A436,'[1]ZArtefakte aus Listen'!A:B,2,0),"")</f>
        <v>#REF!</v>
      </c>
      <c r="P436" s="58"/>
      <c r="Q436" s="1" t="e">
        <f>IF(#REF!="Ja",VLOOKUP(A436,'[1]ZArtefakte aus Listen'!A:D,4,0),"")</f>
        <v>#REF!</v>
      </c>
    </row>
    <row r="437" spans="1:17" ht="12.6" hidden="1">
      <c r="A437" s="1" t="s">
        <v>946</v>
      </c>
      <c r="B437" s="1" t="str">
        <f>VLOOKUP(A437,'Z-Programme'!$A$2:$A$650,1,FALSE)</f>
        <v>ZIM_MASNANFORD_IMPORT</v>
      </c>
      <c r="C437" s="1" t="s">
        <v>947</v>
      </c>
      <c r="D437" s="1" t="s">
        <v>1533</v>
      </c>
      <c r="E437" s="1" t="s">
        <v>1534</v>
      </c>
      <c r="F437" s="1" t="s">
        <v>1544</v>
      </c>
      <c r="J437" s="5" t="s">
        <v>1536</v>
      </c>
      <c r="K437" s="58" t="s">
        <v>1537</v>
      </c>
      <c r="L437" s="1" t="s">
        <v>1578</v>
      </c>
      <c r="N437" s="1" t="e">
        <f>IF(#REF!="Ja",VLOOKUP(A437,'[1]ZArtefakte aus Listen'!A:B,2,0),"")</f>
        <v>#REF!</v>
      </c>
      <c r="P437" s="58"/>
      <c r="Q437" s="1" t="e">
        <f>IF(#REF!="Ja",VLOOKUP(A437,'[1]ZArtefakte aus Listen'!A:D,4,0),"")</f>
        <v>#REF!</v>
      </c>
    </row>
    <row r="438" spans="1:17" ht="12.6" hidden="1">
      <c r="A438" s="1" t="s">
        <v>948</v>
      </c>
      <c r="B438" s="1" t="str">
        <f>VLOOKUP(A438,'Z-Programme'!$A$2:$A$650,1,FALSE)</f>
        <v>ZIM_UPD_IMAUFTRAG01</v>
      </c>
      <c r="C438" s="1" t="s">
        <v>949</v>
      </c>
      <c r="D438" s="1" t="s">
        <v>1533</v>
      </c>
      <c r="E438" s="1" t="s">
        <v>1534</v>
      </c>
      <c r="F438" s="1" t="s">
        <v>1544</v>
      </c>
      <c r="J438" s="5" t="s">
        <v>1536</v>
      </c>
      <c r="K438" s="58" t="s">
        <v>1537</v>
      </c>
      <c r="L438" s="1" t="s">
        <v>1578</v>
      </c>
      <c r="N438" s="1" t="e">
        <f>IF(#REF!="Ja",VLOOKUP(A438,'[1]ZArtefakte aus Listen'!A:B,2,0),"")</f>
        <v>#REF!</v>
      </c>
      <c r="P438" s="58"/>
      <c r="Q438" s="1" t="e">
        <f>IF(#REF!="Ja",VLOOKUP(A438,'[1]ZArtefakte aus Listen'!A:D,4,0),"")</f>
        <v>#REF!</v>
      </c>
    </row>
    <row r="439" spans="1:17" ht="12.6" hidden="1">
      <c r="A439" s="1" t="s">
        <v>950</v>
      </c>
      <c r="B439" s="1" t="str">
        <f>VLOOKUP(A439,'Z-Programme'!$A$2:$A$650,1,FALSE)</f>
        <v>ZMEPOCORR1</v>
      </c>
      <c r="C439" s="1" t="s">
        <v>1570</v>
      </c>
      <c r="D439" s="1" t="s">
        <v>1533</v>
      </c>
      <c r="E439" s="1" t="s">
        <v>1534</v>
      </c>
      <c r="F439" s="1" t="s">
        <v>1751</v>
      </c>
      <c r="J439" s="5" t="s">
        <v>1536</v>
      </c>
      <c r="K439" s="1" t="s">
        <v>1537</v>
      </c>
      <c r="L439" s="1" t="s">
        <v>1752</v>
      </c>
      <c r="N439" s="1" t="e">
        <f>IF(#REF!="Ja",VLOOKUP(A439,'[1]ZArtefakte aus Listen'!A:B,2,0),"")</f>
        <v>#REF!</v>
      </c>
      <c r="Q439" s="1" t="e">
        <f>IF(#REF!="Ja",VLOOKUP(A439,'[1]ZArtefakte aus Listen'!A:D,4,0),"")</f>
        <v>#REF!</v>
      </c>
    </row>
    <row r="440" spans="1:17" ht="12.6" hidden="1">
      <c r="A440" s="1" t="s">
        <v>951</v>
      </c>
      <c r="B440" s="1" t="str">
        <f>VLOOKUP(A440,'Z-Programme'!$A$2:$A$650,1,FALSE)</f>
        <v>ZMM_AIS_OFFBEST</v>
      </c>
      <c r="C440" s="1" t="s">
        <v>952</v>
      </c>
      <c r="D440" s="1" t="s">
        <v>1533</v>
      </c>
      <c r="E440" s="1" t="s">
        <v>1753</v>
      </c>
      <c r="F440" s="1" t="s">
        <v>1754</v>
      </c>
      <c r="J440" s="5" t="s">
        <v>1536</v>
      </c>
      <c r="K440" s="1" t="s">
        <v>1614</v>
      </c>
      <c r="L440" s="1" t="s">
        <v>1755</v>
      </c>
      <c r="M440" s="5" t="s">
        <v>1536</v>
      </c>
      <c r="N440" s="1" t="e">
        <f>IF(#REF!="Ja",VLOOKUP(A440,'[1]ZArtefakte aus Listen'!A:B,2,0),"")</f>
        <v>#REF!</v>
      </c>
      <c r="Q440" s="1" t="e">
        <f>IF(#REF!="Ja",VLOOKUP(A440,'[1]ZArtefakte aus Listen'!A:D,4,0),"")</f>
        <v>#REF!</v>
      </c>
    </row>
    <row r="441" spans="1:17" ht="12.6" hidden="1">
      <c r="A441" s="1" t="s">
        <v>953</v>
      </c>
      <c r="B441" s="1" t="str">
        <f>VLOOKUP(A441,'Z-Programme'!$A$2:$A$650,1,FALSE)</f>
        <v>ZMM_ARTNUM</v>
      </c>
      <c r="C441" s="1" t="s">
        <v>954</v>
      </c>
      <c r="D441" s="1" t="s">
        <v>1533</v>
      </c>
      <c r="E441" s="1" t="s">
        <v>1534</v>
      </c>
      <c r="F441" s="1" t="s">
        <v>1544</v>
      </c>
      <c r="J441" s="5" t="s">
        <v>1536</v>
      </c>
      <c r="K441" s="1" t="s">
        <v>1537</v>
      </c>
      <c r="L441" s="1" t="s">
        <v>1756</v>
      </c>
      <c r="N441" s="1" t="e">
        <f>IF(#REF!="Ja",VLOOKUP(A441,'[1]ZArtefakte aus Listen'!A:B,2,0),"")</f>
        <v>#REF!</v>
      </c>
      <c r="Q441" s="1" t="e">
        <f>IF(#REF!="Ja",VLOOKUP(A441,'[1]ZArtefakte aus Listen'!A:D,4,0),"")</f>
        <v>#REF!</v>
      </c>
    </row>
    <row r="442" spans="1:17" ht="12.6" hidden="1">
      <c r="A442" s="1" t="s">
        <v>955</v>
      </c>
      <c r="B442" s="1" t="str">
        <f>VLOOKUP(A442,'Z-Programme'!$A$2:$A$650,1,FALSE)</f>
        <v>ZMM_BEST_ANLEGEN</v>
      </c>
      <c r="C442" s="1" t="s">
        <v>956</v>
      </c>
      <c r="D442" s="1" t="s">
        <v>1533</v>
      </c>
      <c r="E442" s="1" t="s">
        <v>1534</v>
      </c>
      <c r="F442" s="1" t="s">
        <v>1544</v>
      </c>
      <c r="J442" s="5" t="s">
        <v>1536</v>
      </c>
      <c r="K442" s="1" t="s">
        <v>1537</v>
      </c>
      <c r="L442" s="1" t="s">
        <v>1757</v>
      </c>
      <c r="N442" s="1" t="e">
        <f>IF(#REF!="Ja",VLOOKUP(A442,'[1]ZArtefakte aus Listen'!A:B,2,0),"")</f>
        <v>#REF!</v>
      </c>
      <c r="Q442" s="1" t="e">
        <f>IF(#REF!="Ja",VLOOKUP(A442,'[1]ZArtefakte aus Listen'!A:D,4,0),"")</f>
        <v>#REF!</v>
      </c>
    </row>
    <row r="443" spans="1:17" ht="12.6" hidden="1">
      <c r="A443" s="1" t="s">
        <v>957</v>
      </c>
      <c r="B443" s="1" t="str">
        <f>VLOOKUP(A443,'Z-Programme'!$A$2:$A$650,1,FALSE)</f>
        <v>ZMM_BEST_AUSW</v>
      </c>
      <c r="C443" s="1" t="s">
        <v>959</v>
      </c>
      <c r="D443" s="1" t="s">
        <v>1533</v>
      </c>
      <c r="E443" s="1" t="s">
        <v>1753</v>
      </c>
      <c r="F443" s="1" t="s">
        <v>1758</v>
      </c>
      <c r="J443" s="5" t="s">
        <v>1536</v>
      </c>
      <c r="K443" s="1" t="s">
        <v>1614</v>
      </c>
      <c r="L443" s="1" t="s">
        <v>1759</v>
      </c>
      <c r="M443" s="5" t="s">
        <v>1536</v>
      </c>
      <c r="N443" s="1" t="e">
        <f>IF(#REF!="Ja",VLOOKUP(A443,'[1]ZArtefakte aus Listen'!A:B,2,0),"")</f>
        <v>#REF!</v>
      </c>
      <c r="Q443" s="1" t="e">
        <f>IF(#REF!="Ja",VLOOKUP(A443,'[1]ZArtefakte aus Listen'!A:D,4,0),"")</f>
        <v>#REF!</v>
      </c>
    </row>
    <row r="444" spans="1:17" ht="12.6" hidden="1">
      <c r="A444" s="1" t="s">
        <v>960</v>
      </c>
      <c r="B444" s="1" t="str">
        <f>VLOOKUP(A444,'Z-Programme'!$A$2:$A$650,1,FALSE)</f>
        <v>ZMM_BEST_ERGAENZEN</v>
      </c>
      <c r="C444" s="1" t="s">
        <v>961</v>
      </c>
      <c r="D444" s="1" t="s">
        <v>1533</v>
      </c>
      <c r="E444" s="1" t="s">
        <v>1534</v>
      </c>
      <c r="F444" s="1" t="s">
        <v>1544</v>
      </c>
      <c r="J444" s="5" t="s">
        <v>1536</v>
      </c>
      <c r="K444" s="1" t="s">
        <v>1537</v>
      </c>
      <c r="L444" s="1" t="s">
        <v>1757</v>
      </c>
      <c r="N444" s="1" t="e">
        <f>IF(#REF!="Ja",VLOOKUP(A444,'[1]ZArtefakte aus Listen'!A:B,2,0),"")</f>
        <v>#REF!</v>
      </c>
      <c r="Q444" s="1" t="e">
        <f>IF(#REF!="Ja",VLOOKUP(A444,'[1]ZArtefakte aus Listen'!A:D,4,0),"")</f>
        <v>#REF!</v>
      </c>
    </row>
    <row r="445" spans="1:17" ht="12.6" hidden="1">
      <c r="A445" s="1" t="s">
        <v>962</v>
      </c>
      <c r="B445" s="1" t="str">
        <f>VLOOKUP(A445,'Z-Programme'!$A$2:$A$650,1,FALSE)</f>
        <v>ZMM_BEST_EXPORT_KOSTL</v>
      </c>
      <c r="C445" s="1" t="s">
        <v>963</v>
      </c>
      <c r="D445" s="1" t="s">
        <v>1533</v>
      </c>
      <c r="E445" s="1" t="s">
        <v>1534</v>
      </c>
      <c r="F445" s="1" t="s">
        <v>1544</v>
      </c>
      <c r="J445" s="5" t="s">
        <v>1536</v>
      </c>
      <c r="K445" s="1" t="s">
        <v>1537</v>
      </c>
      <c r="L445" s="1" t="s">
        <v>1757</v>
      </c>
      <c r="N445" s="1" t="e">
        <f>IF(#REF!="Ja",VLOOKUP(A445,'[1]ZArtefakte aus Listen'!A:B,2,0),"")</f>
        <v>#REF!</v>
      </c>
      <c r="Q445" s="1" t="e">
        <f>IF(#REF!="Ja",VLOOKUP(A445,'[1]ZArtefakte aus Listen'!A:D,4,0),"")</f>
        <v>#REF!</v>
      </c>
    </row>
    <row r="446" spans="1:17" ht="12.6" hidden="1">
      <c r="A446" s="1" t="s">
        <v>964</v>
      </c>
      <c r="B446" s="1" t="str">
        <f>VLOOKUP(A446,'Z-Programme'!$A$2:$A$650,1,FALSE)</f>
        <v>ZMM_BEST_EXPORT_KTGRP2</v>
      </c>
      <c r="C446" s="1" t="s">
        <v>965</v>
      </c>
      <c r="D446" s="1" t="s">
        <v>1533</v>
      </c>
      <c r="E446" s="1" t="s">
        <v>1534</v>
      </c>
      <c r="F446" s="1" t="s">
        <v>1544</v>
      </c>
      <c r="J446" s="5" t="s">
        <v>1536</v>
      </c>
      <c r="K446" s="1" t="s">
        <v>1537</v>
      </c>
      <c r="L446" s="1" t="s">
        <v>1757</v>
      </c>
      <c r="N446" s="1" t="e">
        <f>IF(#REF!="Ja",VLOOKUP(A446,'[1]ZArtefakte aus Listen'!A:B,2,0),"")</f>
        <v>#REF!</v>
      </c>
      <c r="Q446" s="1" t="e">
        <f>IF(#REF!="Ja",VLOOKUP(A446,'[1]ZArtefakte aus Listen'!A:D,4,0),"")</f>
        <v>#REF!</v>
      </c>
    </row>
    <row r="447" spans="1:17" ht="12.6" hidden="1">
      <c r="A447" s="1" t="s">
        <v>966</v>
      </c>
      <c r="B447" s="1" t="str">
        <f>VLOOKUP(A447,'Z-Programme'!$A$2:$A$650,1,FALSE)</f>
        <v>ZMM_BEST_FRGFBCHK</v>
      </c>
      <c r="C447" s="1" t="s">
        <v>967</v>
      </c>
      <c r="D447" s="1" t="s">
        <v>1533</v>
      </c>
      <c r="E447" s="1" t="s">
        <v>1534</v>
      </c>
      <c r="F447" s="1" t="s">
        <v>1544</v>
      </c>
      <c r="J447" s="5" t="s">
        <v>1536</v>
      </c>
      <c r="K447" s="1" t="s">
        <v>1537</v>
      </c>
      <c r="L447" s="1" t="s">
        <v>1757</v>
      </c>
      <c r="N447" s="1" t="e">
        <f>IF(#REF!="Ja",VLOOKUP(A447,'[1]ZArtefakte aus Listen'!A:B,2,0),"")</f>
        <v>#REF!</v>
      </c>
      <c r="Q447" s="1" t="e">
        <f>IF(#REF!="Ja",VLOOKUP(A447,'[1]ZArtefakte aus Listen'!A:D,4,0),"")</f>
        <v>#REF!</v>
      </c>
    </row>
    <row r="448" spans="1:17" ht="12.6" hidden="1">
      <c r="A448" s="1" t="s">
        <v>968</v>
      </c>
      <c r="B448" s="1" t="str">
        <f>VLOOKUP(A448,'Z-Programme'!$A$2:$A$650,1,FALSE)</f>
        <v>ZMM_BEST_KTOFIND</v>
      </c>
      <c r="C448" s="1" t="s">
        <v>969</v>
      </c>
      <c r="D448" s="1" t="s">
        <v>1533</v>
      </c>
      <c r="E448" s="1" t="s">
        <v>1534</v>
      </c>
      <c r="F448" s="1" t="s">
        <v>1544</v>
      </c>
      <c r="J448" s="5" t="s">
        <v>1536</v>
      </c>
      <c r="K448" s="1" t="s">
        <v>1537</v>
      </c>
      <c r="L448" s="1" t="s">
        <v>1757</v>
      </c>
      <c r="N448" s="1" t="e">
        <f>IF(#REF!="Ja",VLOOKUP(A448,'[1]ZArtefakte aus Listen'!A:B,2,0),"")</f>
        <v>#REF!</v>
      </c>
      <c r="Q448" s="1" t="e">
        <f>IF(#REF!="Ja",VLOOKUP(A448,'[1]ZArtefakte aus Listen'!A:D,4,0),"")</f>
        <v>#REF!</v>
      </c>
    </row>
    <row r="449" spans="1:17" ht="12.6" hidden="1">
      <c r="A449" s="1" t="s">
        <v>970</v>
      </c>
      <c r="B449" s="1" t="str">
        <f>VLOOKUP(A449,'Z-Programme'!$A$2:$A$650,1,FALSE)</f>
        <v>ZMM_BEST_LISTE</v>
      </c>
      <c r="C449" s="1" t="s">
        <v>971</v>
      </c>
      <c r="D449" s="1" t="s">
        <v>1533</v>
      </c>
      <c r="E449" s="1" t="s">
        <v>1534</v>
      </c>
      <c r="F449" s="1" t="s">
        <v>1544</v>
      </c>
      <c r="J449" s="5" t="s">
        <v>1536</v>
      </c>
      <c r="K449" s="1" t="s">
        <v>1537</v>
      </c>
      <c r="L449" s="1" t="s">
        <v>1757</v>
      </c>
      <c r="N449" s="1" t="e">
        <f>IF(#REF!="Ja",VLOOKUP(A449,'[1]ZArtefakte aus Listen'!A:B,2,0),"")</f>
        <v>#REF!</v>
      </c>
      <c r="Q449" s="1" t="e">
        <f>IF(#REF!="Ja",VLOOKUP(A449,'[1]ZArtefakte aus Listen'!A:D,4,0),"")</f>
        <v>#REF!</v>
      </c>
    </row>
    <row r="450" spans="1:17" ht="12.6" hidden="1">
      <c r="A450" s="1" t="s">
        <v>972</v>
      </c>
      <c r="B450" s="1" t="str">
        <f>VLOOKUP(A450,'Z-Programme'!$A$2:$A$650,1,FALSE)</f>
        <v>ZMM_BEST_MENUE</v>
      </c>
      <c r="C450" s="1" t="s">
        <v>973</v>
      </c>
      <c r="D450" s="1" t="s">
        <v>1548</v>
      </c>
      <c r="E450" s="1" t="s">
        <v>1760</v>
      </c>
      <c r="F450" s="1" t="s">
        <v>1616</v>
      </c>
      <c r="J450" s="5" t="s">
        <v>1536</v>
      </c>
      <c r="K450" s="1" t="s">
        <v>1740</v>
      </c>
      <c r="L450" s="1" t="s">
        <v>1761</v>
      </c>
      <c r="M450" s="5" t="s">
        <v>1536</v>
      </c>
      <c r="N450" s="1" t="e">
        <f>IF(#REF!="Ja",VLOOKUP(A450,'[1]ZArtefakte aus Listen'!A:B,2,0),"")</f>
        <v>#REF!</v>
      </c>
      <c r="Q450" s="1" t="e">
        <f>IF(#REF!="Ja",VLOOKUP(A450,'[1]ZArtefakte aus Listen'!A:D,4,0),"")</f>
        <v>#REF!</v>
      </c>
    </row>
    <row r="451" spans="1:17" ht="12.6" hidden="1">
      <c r="A451" s="1" t="s">
        <v>974</v>
      </c>
      <c r="B451" s="1" t="str">
        <f>VLOOKUP(A451,'Z-Programme'!$A$2:$A$650,1,FALSE)</f>
        <v>ZMM_BEST_PRUEFEN</v>
      </c>
      <c r="C451" s="1" t="s">
        <v>975</v>
      </c>
      <c r="D451" s="1" t="s">
        <v>1533</v>
      </c>
      <c r="E451" s="1" t="s">
        <v>1534</v>
      </c>
      <c r="F451" s="1" t="s">
        <v>1544</v>
      </c>
      <c r="J451" s="5" t="s">
        <v>1536</v>
      </c>
      <c r="K451" s="1" t="s">
        <v>1537</v>
      </c>
      <c r="L451" s="1" t="s">
        <v>1757</v>
      </c>
      <c r="N451" s="1" t="e">
        <f>IF(#REF!="Ja",VLOOKUP(A451,'[1]ZArtefakte aus Listen'!A:B,2,0),"")</f>
        <v>#REF!</v>
      </c>
      <c r="Q451" s="1" t="e">
        <f>IF(#REF!="Ja",VLOOKUP(A451,'[1]ZArtefakte aus Listen'!A:D,4,0),"")</f>
        <v>#REF!</v>
      </c>
    </row>
    <row r="452" spans="1:17" ht="12.6" hidden="1">
      <c r="A452" s="1" t="s">
        <v>976</v>
      </c>
      <c r="B452" s="1" t="str">
        <f>VLOOKUP(A452,'Z-Programme'!$A$2:$A$650,1,FALSE)</f>
        <v>ZMM_BEST_XML_IMPORT</v>
      </c>
      <c r="C452" s="1" t="s">
        <v>977</v>
      </c>
      <c r="D452" s="1" t="s">
        <v>1533</v>
      </c>
      <c r="E452" s="1" t="s">
        <v>1534</v>
      </c>
      <c r="F452" s="1" t="s">
        <v>1544</v>
      </c>
      <c r="J452" s="5" t="s">
        <v>1536</v>
      </c>
      <c r="K452" s="1" t="s">
        <v>1537</v>
      </c>
      <c r="L452" s="1" t="s">
        <v>1757</v>
      </c>
      <c r="N452" s="1" t="e">
        <f>IF(#REF!="Ja",VLOOKUP(A452,'[1]ZArtefakte aus Listen'!A:B,2,0),"")</f>
        <v>#REF!</v>
      </c>
      <c r="Q452" s="1" t="e">
        <f>IF(#REF!="Ja",VLOOKUP(A452,'[1]ZArtefakte aus Listen'!A:D,4,0),"")</f>
        <v>#REF!</v>
      </c>
    </row>
    <row r="453" spans="1:17" ht="12.6" hidden="1">
      <c r="A453" s="1" t="s">
        <v>978</v>
      </c>
      <c r="B453" s="1" t="str">
        <f>VLOOKUP(A453,'Z-Programme'!$A$2:$A$650,1,FALSE)</f>
        <v>ZMM_BESTAND_NOERPEL</v>
      </c>
      <c r="C453" s="1" t="s">
        <v>979</v>
      </c>
      <c r="D453" s="1" t="s">
        <v>1533</v>
      </c>
      <c r="E453" s="1" t="s">
        <v>1534</v>
      </c>
      <c r="F453" s="1" t="s">
        <v>1544</v>
      </c>
      <c r="J453" s="5" t="s">
        <v>1536</v>
      </c>
      <c r="K453" s="1" t="s">
        <v>1537</v>
      </c>
      <c r="L453" s="1" t="s">
        <v>1762</v>
      </c>
      <c r="N453" s="1" t="e">
        <f>IF(#REF!="Ja",VLOOKUP(A453,'[1]ZArtefakte aus Listen'!A:B,2,0),"")</f>
        <v>#REF!</v>
      </c>
      <c r="Q453" s="1" t="e">
        <f>IF(#REF!="Ja",VLOOKUP(A453,'[1]ZArtefakte aus Listen'!A:D,4,0),"")</f>
        <v>#REF!</v>
      </c>
    </row>
    <row r="454" spans="1:17" ht="12.6" hidden="1">
      <c r="A454" s="1" t="s">
        <v>980</v>
      </c>
      <c r="B454" s="1" t="str">
        <f>VLOOKUP(A454,'Z-Programme'!$A$2:$A$650,1,FALSE)</f>
        <v>ZMM_BESTELLDRUCK</v>
      </c>
      <c r="C454" s="1" t="s">
        <v>981</v>
      </c>
      <c r="D454" s="1" t="s">
        <v>1533</v>
      </c>
      <c r="E454" s="1" t="s">
        <v>1753</v>
      </c>
      <c r="F454" s="1" t="s">
        <v>1763</v>
      </c>
      <c r="J454" s="5" t="s">
        <v>1536</v>
      </c>
      <c r="K454" s="1" t="s">
        <v>1614</v>
      </c>
      <c r="L454" s="1" t="s">
        <v>1764</v>
      </c>
      <c r="M454" s="5" t="s">
        <v>1536</v>
      </c>
      <c r="N454" s="1" t="e">
        <f>IF(#REF!="Ja",VLOOKUP(A454,'[1]ZArtefakte aus Listen'!A:B,2,0),"")</f>
        <v>#REF!</v>
      </c>
      <c r="Q454" s="1" t="e">
        <f>IF(#REF!="Ja",VLOOKUP(A454,'[1]ZArtefakte aus Listen'!A:D,4,0),"")</f>
        <v>#REF!</v>
      </c>
    </row>
    <row r="455" spans="1:17" ht="12.6" hidden="1">
      <c r="A455" s="1" t="s">
        <v>982</v>
      </c>
      <c r="B455" s="1" t="str">
        <f>VLOOKUP(A455,'Z-Programme'!$A$2:$A$650,1,FALSE)</f>
        <v>ZMM_EINA_OHNE_LIEFERANT_LOEKZ</v>
      </c>
      <c r="C455" s="1" t="s">
        <v>983</v>
      </c>
      <c r="D455" s="1" t="s">
        <v>1533</v>
      </c>
      <c r="E455" s="1" t="s">
        <v>1534</v>
      </c>
      <c r="F455" s="1" t="s">
        <v>1544</v>
      </c>
      <c r="J455" s="5" t="s">
        <v>1536</v>
      </c>
      <c r="K455" s="1" t="s">
        <v>1537</v>
      </c>
      <c r="L455" s="1" t="s">
        <v>1712</v>
      </c>
      <c r="N455" s="1" t="e">
        <f>IF(#REF!="Ja",VLOOKUP(A455,'[1]ZArtefakte aus Listen'!A:B,2,0),"")</f>
        <v>#REF!</v>
      </c>
      <c r="Q455" s="1" t="e">
        <f>IF(#REF!="Ja",VLOOKUP(A455,'[1]ZArtefakte aus Listen'!A:D,4,0),"")</f>
        <v>#REF!</v>
      </c>
    </row>
    <row r="456" spans="1:17" ht="12.6" hidden="1">
      <c r="A456" s="1" t="s">
        <v>984</v>
      </c>
      <c r="B456" s="1" t="str">
        <f>VLOOKUP(A456,'Z-Programme'!$A$2:$A$650,1,FALSE)</f>
        <v>ZMM_EINKAUFSSEGMENT_ANLEGEN</v>
      </c>
      <c r="C456" s="1" t="s">
        <v>985</v>
      </c>
      <c r="D456" s="1" t="s">
        <v>1533</v>
      </c>
      <c r="E456" s="1" t="s">
        <v>1753</v>
      </c>
      <c r="F456" s="1" t="s">
        <v>1765</v>
      </c>
      <c r="J456" s="5" t="s">
        <v>1536</v>
      </c>
      <c r="K456" s="1" t="s">
        <v>1614</v>
      </c>
      <c r="L456" s="1" t="s">
        <v>1766</v>
      </c>
      <c r="M456" s="5" t="s">
        <v>1536</v>
      </c>
      <c r="N456" s="1" t="e">
        <f>IF(#REF!="Ja",VLOOKUP(A456,'[1]ZArtefakte aus Listen'!A:B,2,0),"")</f>
        <v>#REF!</v>
      </c>
      <c r="Q456" s="1" t="e">
        <f>IF(#REF!="Ja",VLOOKUP(A456,'[1]ZArtefakte aus Listen'!A:D,4,0),"")</f>
        <v>#REF!</v>
      </c>
    </row>
    <row r="457" spans="1:17" ht="12.6" hidden="1">
      <c r="A457" s="1" t="s">
        <v>986</v>
      </c>
      <c r="B457" s="1" t="str">
        <f>VLOOKUP(A457,'Z-Programme'!$A$2:$A$650,1,FALSE)</f>
        <v>ZMM_INFORECORD_COPY</v>
      </c>
      <c r="C457" s="1" t="s">
        <v>987</v>
      </c>
      <c r="D457" s="1" t="s">
        <v>1533</v>
      </c>
      <c r="E457" s="1" t="s">
        <v>1534</v>
      </c>
      <c r="F457" s="1" t="s">
        <v>1544</v>
      </c>
      <c r="J457" s="5" t="s">
        <v>1536</v>
      </c>
      <c r="K457" s="1" t="s">
        <v>1537</v>
      </c>
      <c r="L457" s="1" t="s">
        <v>1762</v>
      </c>
      <c r="N457" s="1" t="e">
        <f>IF(#REF!="Ja",VLOOKUP(A457,'[1]ZArtefakte aus Listen'!A:B,2,0),"")</f>
        <v>#REF!</v>
      </c>
      <c r="Q457" s="1" t="e">
        <f>IF(#REF!="Ja",VLOOKUP(A457,'[1]ZArtefakte aus Listen'!A:D,4,0),"")</f>
        <v>#REF!</v>
      </c>
    </row>
    <row r="458" spans="1:17" ht="12.6" hidden="1">
      <c r="A458" s="1" t="s">
        <v>988</v>
      </c>
      <c r="B458" s="1" t="str">
        <f>VLOOKUP(A458,'Z-Programme'!$A$2:$A$650,1,FALSE)</f>
        <v>ZMM_INTR00</v>
      </c>
      <c r="C458" s="1" t="s">
        <v>989</v>
      </c>
      <c r="D458" s="1" t="s">
        <v>1533</v>
      </c>
      <c r="E458" s="1" t="s">
        <v>1534</v>
      </c>
      <c r="F458" s="1" t="s">
        <v>1544</v>
      </c>
      <c r="J458" s="5" t="s">
        <v>1536</v>
      </c>
      <c r="K458" s="1" t="s">
        <v>1537</v>
      </c>
      <c r="L458" s="1" t="s">
        <v>1762</v>
      </c>
      <c r="N458" s="1" t="e">
        <f>IF(#REF!="Ja",VLOOKUP(A458,'[1]ZArtefakte aus Listen'!A:B,2,0),"")</f>
        <v>#REF!</v>
      </c>
      <c r="Q458" s="1" t="e">
        <f>IF(#REF!="Ja",VLOOKUP(A458,'[1]ZArtefakte aus Listen'!A:D,4,0),"")</f>
        <v>#REF!</v>
      </c>
    </row>
    <row r="459" spans="1:17" ht="12.6" hidden="1">
      <c r="A459" s="1" t="s">
        <v>990</v>
      </c>
      <c r="B459" s="1" t="str">
        <f>VLOOKUP(A459,'Z-Programme'!$A$2:$A$650,1,FALSE)</f>
        <v>ZMM_INVBEW</v>
      </c>
      <c r="C459" s="1" t="s">
        <v>991</v>
      </c>
      <c r="D459" s="1" t="s">
        <v>1533</v>
      </c>
      <c r="E459" s="1" t="s">
        <v>1540</v>
      </c>
      <c r="F459" s="1" t="s">
        <v>1767</v>
      </c>
      <c r="J459" s="5" t="s">
        <v>1536</v>
      </c>
      <c r="K459" s="1" t="s">
        <v>1542</v>
      </c>
      <c r="L459" s="1" t="s">
        <v>1768</v>
      </c>
      <c r="N459" s="1" t="e">
        <f>IF(#REF!="Ja",VLOOKUP(A459,'[1]ZArtefakte aus Listen'!A:B,2,0),"")</f>
        <v>#REF!</v>
      </c>
      <c r="Q459" s="1" t="e">
        <f>IF(#REF!="Ja",VLOOKUP(A459,'[1]ZArtefakte aus Listen'!A:D,4,0),"")</f>
        <v>#REF!</v>
      </c>
    </row>
    <row r="460" spans="1:17" ht="12.6" hidden="1">
      <c r="A460" s="1" t="s">
        <v>992</v>
      </c>
      <c r="B460" s="1" t="str">
        <f>VLOOKUP(A460,'Z-Programme'!$A$2:$A$650,1,FALSE)</f>
        <v>ZMM_INVBEW_BIP</v>
      </c>
      <c r="C460" s="1" t="s">
        <v>993</v>
      </c>
      <c r="D460" s="1" t="s">
        <v>1533</v>
      </c>
      <c r="E460" s="1" t="s">
        <v>1540</v>
      </c>
      <c r="F460" s="1" t="s">
        <v>1769</v>
      </c>
      <c r="J460" s="5" t="s">
        <v>1536</v>
      </c>
      <c r="K460" s="1" t="s">
        <v>1542</v>
      </c>
      <c r="L460" s="1" t="s">
        <v>1768</v>
      </c>
      <c r="N460" s="1" t="e">
        <f>IF(#REF!="Ja",VLOOKUP(A460,'[1]ZArtefakte aus Listen'!A:B,2,0),"")</f>
        <v>#REF!</v>
      </c>
      <c r="Q460" s="1" t="e">
        <f>IF(#REF!="Ja",VLOOKUP(A460,'[1]ZArtefakte aus Listen'!A:D,4,0),"")</f>
        <v>#REF!</v>
      </c>
    </row>
    <row r="461" spans="1:17" ht="12.6" hidden="1">
      <c r="A461" s="1" t="s">
        <v>994</v>
      </c>
      <c r="B461" s="1" t="str">
        <f>VLOOKUP(A461,'Z-Programme'!$A$2:$A$650,1,FALSE)</f>
        <v>ZMM_INVDIF</v>
      </c>
      <c r="C461" s="1" t="s">
        <v>996</v>
      </c>
      <c r="D461" s="1" t="s">
        <v>1533</v>
      </c>
      <c r="E461" s="1" t="s">
        <v>1558</v>
      </c>
      <c r="F461" s="1" t="s">
        <v>1616</v>
      </c>
      <c r="G461" s="1" t="s">
        <v>1770</v>
      </c>
      <c r="K461" s="58" t="s">
        <v>1573</v>
      </c>
      <c r="N461" s="1" t="e">
        <f>IF(#REF!="Ja",VLOOKUP(A461,'[1]ZArtefakte aus Listen'!A:B,2,0),"")</f>
        <v>#REF!</v>
      </c>
      <c r="P461" s="58"/>
      <c r="Q461" s="1" t="e">
        <f>IF(#REF!="Ja",VLOOKUP(A461,'[1]ZArtefakte aus Listen'!A:D,4,0),"")</f>
        <v>#REF!</v>
      </c>
    </row>
    <row r="462" spans="1:17" ht="12.6" hidden="1">
      <c r="A462" s="1" t="s">
        <v>997</v>
      </c>
      <c r="B462" s="1" t="str">
        <f>VLOOKUP(A462,'Z-Programme'!$A$2:$A$650,1,FALSE)</f>
        <v>ZMM_LAG</v>
      </c>
      <c r="C462" s="1" t="s">
        <v>998</v>
      </c>
      <c r="D462" s="1" t="s">
        <v>1548</v>
      </c>
      <c r="E462" s="1" t="s">
        <v>1558</v>
      </c>
      <c r="F462" s="1" t="s">
        <v>1616</v>
      </c>
      <c r="J462" s="5" t="s">
        <v>1536</v>
      </c>
      <c r="K462" s="1" t="s">
        <v>1542</v>
      </c>
      <c r="L462" s="1" t="s">
        <v>1771</v>
      </c>
      <c r="M462" s="5" t="s">
        <v>1536</v>
      </c>
      <c r="N462" s="1" t="e">
        <f>IF(#REF!="Ja",VLOOKUP(A462,'[1]ZArtefakte aus Listen'!A:B,2,0),"")</f>
        <v>#REF!</v>
      </c>
      <c r="Q462" s="1" t="e">
        <f>IF(#REF!="Ja",VLOOKUP(A462,'[1]ZArtefakte aus Listen'!A:D,4,0),"")</f>
        <v>#REF!</v>
      </c>
    </row>
    <row r="463" spans="1:17" ht="12.6" hidden="1">
      <c r="A463" s="1" t="s">
        <v>999</v>
      </c>
      <c r="B463" s="1" t="str">
        <f>VLOOKUP(A463,'Z-Programme'!$A$2:$A$650,1,FALSE)</f>
        <v>ZMM_LAGV</v>
      </c>
      <c r="C463" s="1" t="s">
        <v>1001</v>
      </c>
      <c r="D463" s="1" t="s">
        <v>1533</v>
      </c>
      <c r="E463" s="1" t="s">
        <v>1558</v>
      </c>
      <c r="F463" s="1" t="s">
        <v>1616</v>
      </c>
      <c r="G463" s="1" t="s">
        <v>1772</v>
      </c>
      <c r="J463" s="5"/>
      <c r="K463" s="58" t="s">
        <v>1573</v>
      </c>
      <c r="N463" s="1" t="e">
        <f>IF(#REF!="Ja",VLOOKUP(A463,'[1]ZArtefakte aus Listen'!A:B,2,0),"")</f>
        <v>#REF!</v>
      </c>
      <c r="Q463" s="1" t="e">
        <f>IF(#REF!="Ja",VLOOKUP(A463,'[1]ZArtefakte aus Listen'!A:D,4,0),"")</f>
        <v>#REF!</v>
      </c>
    </row>
    <row r="464" spans="1:17" ht="12.6" hidden="1">
      <c r="A464" s="1" t="s">
        <v>1002</v>
      </c>
      <c r="B464" s="1" t="str">
        <f>VLOOKUP(A464,'Z-Programme'!$A$2:$A$650,1,FALSE)</f>
        <v>ZMM_LAPS10</v>
      </c>
      <c r="C464" s="1" t="s">
        <v>1004</v>
      </c>
      <c r="D464" s="1" t="s">
        <v>1533</v>
      </c>
      <c r="E464" s="1" t="s">
        <v>1558</v>
      </c>
      <c r="F464" s="1" t="s">
        <v>1616</v>
      </c>
      <c r="G464" s="1" t="s">
        <v>1773</v>
      </c>
      <c r="K464" s="58" t="s">
        <v>1573</v>
      </c>
      <c r="N464" s="1" t="e">
        <f>IF(#REF!="Ja",VLOOKUP(A464,'[1]ZArtefakte aus Listen'!A:B,2,0),"")</f>
        <v>#REF!</v>
      </c>
      <c r="P464" s="58"/>
      <c r="Q464" s="1" t="e">
        <f>IF(#REF!="Ja",VLOOKUP(A464,'[1]ZArtefakte aus Listen'!A:D,4,0),"")</f>
        <v>#REF!</v>
      </c>
    </row>
    <row r="465" spans="1:17" ht="12.6" hidden="1">
      <c r="A465" s="1" t="s">
        <v>1005</v>
      </c>
      <c r="B465" s="1" t="str">
        <f>VLOOKUP(A465,'Z-Programme'!$A$2:$A$650,1,FALSE)</f>
        <v>ZMM_LAPS20</v>
      </c>
      <c r="C465" s="1" t="s">
        <v>1006</v>
      </c>
      <c r="D465" s="1" t="s">
        <v>1533</v>
      </c>
      <c r="E465" s="1" t="s">
        <v>1558</v>
      </c>
      <c r="F465" s="1" t="s">
        <v>1616</v>
      </c>
      <c r="G465" s="1" t="s">
        <v>1773</v>
      </c>
      <c r="K465" s="58" t="s">
        <v>1573</v>
      </c>
      <c r="N465" s="1" t="e">
        <f>IF(#REF!="Ja",VLOOKUP(A465,'[1]ZArtefakte aus Listen'!A:B,2,0),"")</f>
        <v>#REF!</v>
      </c>
      <c r="P465" s="58"/>
      <c r="Q465" s="1" t="e">
        <f>IF(#REF!="Ja",VLOOKUP(A465,'[1]ZArtefakte aus Listen'!A:D,4,0),"")</f>
        <v>#REF!</v>
      </c>
    </row>
    <row r="466" spans="1:17" ht="12.6" hidden="1">
      <c r="A466" s="1" t="s">
        <v>1007</v>
      </c>
      <c r="B466" s="1" t="str">
        <f>VLOOKUP(A466,'Z-Programme'!$A$2:$A$650,1,FALSE)</f>
        <v>ZMM_LAPS30</v>
      </c>
      <c r="C466" s="1" t="s">
        <v>1008</v>
      </c>
      <c r="D466" s="1" t="s">
        <v>1533</v>
      </c>
      <c r="E466" s="1" t="s">
        <v>1558</v>
      </c>
      <c r="F466" s="1" t="s">
        <v>1616</v>
      </c>
      <c r="G466" s="1" t="s">
        <v>1773</v>
      </c>
      <c r="K466" s="58" t="s">
        <v>1573</v>
      </c>
      <c r="N466" s="1" t="e">
        <f>IF(#REF!="Ja",VLOOKUP(A466,'[1]ZArtefakte aus Listen'!A:B,2,0),"")</f>
        <v>#REF!</v>
      </c>
      <c r="P466" s="58"/>
      <c r="Q466" s="1" t="e">
        <f>IF(#REF!="Ja",VLOOKUP(A466,'[1]ZArtefakte aus Listen'!A:D,4,0),"")</f>
        <v>#REF!</v>
      </c>
    </row>
    <row r="467" spans="1:17" ht="12.6" hidden="1">
      <c r="A467" s="1" t="s">
        <v>1009</v>
      </c>
      <c r="B467" s="1" t="str">
        <f>VLOOKUP(A467,'Z-Programme'!$A$2:$A$650,1,FALSE)</f>
        <v>ZMM_LAPS40</v>
      </c>
      <c r="C467" s="1" t="s">
        <v>1010</v>
      </c>
      <c r="D467" s="1" t="s">
        <v>1533</v>
      </c>
      <c r="E467" s="1" t="s">
        <v>1558</v>
      </c>
      <c r="F467" s="1" t="s">
        <v>1616</v>
      </c>
      <c r="G467" s="1" t="s">
        <v>1773</v>
      </c>
      <c r="K467" s="58" t="s">
        <v>1573</v>
      </c>
      <c r="N467" s="1" t="e">
        <f>IF(#REF!="Ja",VLOOKUP(A467,'[1]ZArtefakte aus Listen'!A:B,2,0),"")</f>
        <v>#REF!</v>
      </c>
      <c r="P467" s="58"/>
      <c r="Q467" s="1" t="e">
        <f>IF(#REF!="Ja",VLOOKUP(A467,'[1]ZArtefakte aus Listen'!A:D,4,0),"")</f>
        <v>#REF!</v>
      </c>
    </row>
    <row r="468" spans="1:17" ht="12.6" hidden="1">
      <c r="A468" s="1" t="s">
        <v>1011</v>
      </c>
      <c r="B468" s="1" t="str">
        <f>VLOOKUP(A468,'Z-Programme'!$A$2:$A$650,1,FALSE)</f>
        <v>ZMM_LAPS45</v>
      </c>
      <c r="C468" s="1" t="s">
        <v>1012</v>
      </c>
      <c r="D468" s="1" t="s">
        <v>1533</v>
      </c>
      <c r="E468" s="1" t="s">
        <v>1558</v>
      </c>
      <c r="F468" s="1" t="s">
        <v>1616</v>
      </c>
      <c r="G468" s="1" t="s">
        <v>1773</v>
      </c>
      <c r="K468" s="58" t="s">
        <v>1573</v>
      </c>
      <c r="N468" s="1" t="e">
        <f>IF(#REF!="Ja",VLOOKUP(A468,'[1]ZArtefakte aus Listen'!A:B,2,0),"")</f>
        <v>#REF!</v>
      </c>
      <c r="P468" s="58"/>
      <c r="Q468" s="1" t="e">
        <f>IF(#REF!="Ja",VLOOKUP(A468,'[1]ZArtefakte aus Listen'!A:D,4,0),"")</f>
        <v>#REF!</v>
      </c>
    </row>
    <row r="469" spans="1:17" ht="12.6" hidden="1">
      <c r="A469" s="1" t="s">
        <v>1013</v>
      </c>
      <c r="B469" s="1" t="str">
        <f>VLOOKUP(A469,'Z-Programme'!$A$2:$A$650,1,FALSE)</f>
        <v>ZMM_LAPS52</v>
      </c>
      <c r="C469" s="1" t="s">
        <v>1014</v>
      </c>
      <c r="D469" s="1" t="s">
        <v>1533</v>
      </c>
      <c r="E469" s="1" t="s">
        <v>1558</v>
      </c>
      <c r="F469" s="1" t="s">
        <v>1616</v>
      </c>
      <c r="G469" s="1" t="s">
        <v>1774</v>
      </c>
      <c r="K469" s="58" t="s">
        <v>1573</v>
      </c>
      <c r="N469" s="1" t="e">
        <f>IF(#REF!="Ja",VLOOKUP(A469,'[1]ZArtefakte aus Listen'!A:B,2,0),"")</f>
        <v>#REF!</v>
      </c>
      <c r="P469" s="58"/>
      <c r="Q469" s="1" t="e">
        <f>IF(#REF!="Ja",VLOOKUP(A469,'[1]ZArtefakte aus Listen'!A:D,4,0),"")</f>
        <v>#REF!</v>
      </c>
    </row>
    <row r="470" spans="1:17" ht="12.6" hidden="1">
      <c r="A470" s="1" t="s">
        <v>1015</v>
      </c>
      <c r="B470" s="1" t="str">
        <f>VLOOKUP(A470,'Z-Programme'!$A$2:$A$650,1,FALSE)</f>
        <v>ZMM_LAPS60</v>
      </c>
      <c r="C470" s="1" t="s">
        <v>1016</v>
      </c>
      <c r="D470" s="1" t="s">
        <v>1533</v>
      </c>
      <c r="E470" s="1" t="s">
        <v>1558</v>
      </c>
      <c r="F470" s="1" t="s">
        <v>1616</v>
      </c>
      <c r="G470" s="1" t="s">
        <v>1772</v>
      </c>
      <c r="J470" s="5"/>
      <c r="K470" s="58" t="s">
        <v>1573</v>
      </c>
      <c r="N470" s="1" t="e">
        <f>IF(#REF!="Ja",VLOOKUP(A470,'[1]ZArtefakte aus Listen'!A:B,2,0),"")</f>
        <v>#REF!</v>
      </c>
      <c r="Q470" s="1" t="e">
        <f>IF(#REF!="Ja",VLOOKUP(A470,'[1]ZArtefakte aus Listen'!A:D,4,0),"")</f>
        <v>#REF!</v>
      </c>
    </row>
    <row r="471" spans="1:17" ht="12.6" hidden="1">
      <c r="A471" s="1" t="s">
        <v>1017</v>
      </c>
      <c r="B471" s="1" t="str">
        <f>VLOOKUP(A471,'Z-Programme'!$A$2:$A$650,1,FALSE)</f>
        <v>ZMM_LAPS70</v>
      </c>
      <c r="C471" s="1" t="s">
        <v>1018</v>
      </c>
      <c r="D471" s="1" t="s">
        <v>1533</v>
      </c>
      <c r="E471" s="1" t="s">
        <v>1558</v>
      </c>
      <c r="F471" s="1" t="s">
        <v>1616</v>
      </c>
      <c r="G471" s="1" t="s">
        <v>1773</v>
      </c>
      <c r="K471" s="58" t="s">
        <v>1573</v>
      </c>
      <c r="N471" s="1" t="e">
        <f>IF(#REF!="Ja",VLOOKUP(A471,'[1]ZArtefakte aus Listen'!A:B,2,0),"")</f>
        <v>#REF!</v>
      </c>
      <c r="P471" s="58"/>
      <c r="Q471" s="1" t="e">
        <f>IF(#REF!="Ja",VLOOKUP(A471,'[1]ZArtefakte aus Listen'!A:D,4,0),"")</f>
        <v>#REF!</v>
      </c>
    </row>
    <row r="472" spans="1:17" ht="12.6" hidden="1">
      <c r="A472" s="1" t="s">
        <v>1019</v>
      </c>
      <c r="B472" s="1" t="str">
        <f>VLOOKUP(A472,'Z-Programme'!$A$2:$A$650,1,FALSE)</f>
        <v>ZMM_LAPS73</v>
      </c>
      <c r="C472" s="1" t="s">
        <v>1020</v>
      </c>
      <c r="D472" s="1" t="s">
        <v>1533</v>
      </c>
      <c r="E472" s="1" t="s">
        <v>1558</v>
      </c>
      <c r="F472" s="1" t="s">
        <v>1616</v>
      </c>
      <c r="G472" s="1" t="s">
        <v>1773</v>
      </c>
      <c r="K472" s="58" t="s">
        <v>1573</v>
      </c>
      <c r="N472" s="1" t="e">
        <f>IF(#REF!="Ja",VLOOKUP(A472,'[1]ZArtefakte aus Listen'!A:B,2,0),"")</f>
        <v>#REF!</v>
      </c>
      <c r="P472" s="58"/>
      <c r="Q472" s="1" t="e">
        <f>IF(#REF!="Ja",VLOOKUP(A472,'[1]ZArtefakte aus Listen'!A:D,4,0),"")</f>
        <v>#REF!</v>
      </c>
    </row>
    <row r="473" spans="1:17" ht="12.6" hidden="1">
      <c r="A473" s="1" t="s">
        <v>1021</v>
      </c>
      <c r="B473" s="1" t="str">
        <f>VLOOKUP(A473,'Z-Programme'!$A$2:$A$650,1,FALSE)</f>
        <v>ZMM_LAPS75</v>
      </c>
      <c r="C473" s="1" t="s">
        <v>1022</v>
      </c>
      <c r="D473" s="1" t="s">
        <v>1533</v>
      </c>
      <c r="E473" s="1" t="s">
        <v>1558</v>
      </c>
      <c r="F473" s="1" t="s">
        <v>1616</v>
      </c>
      <c r="G473" s="1" t="s">
        <v>1773</v>
      </c>
      <c r="K473" s="58" t="s">
        <v>1573</v>
      </c>
      <c r="N473" s="1" t="e">
        <f>IF(#REF!="Ja",VLOOKUP(A473,'[1]ZArtefakte aus Listen'!A:B,2,0),"")</f>
        <v>#REF!</v>
      </c>
      <c r="P473" s="58"/>
      <c r="Q473" s="1" t="e">
        <f>IF(#REF!="Ja",VLOOKUP(A473,'[1]ZArtefakte aus Listen'!A:D,4,0),"")</f>
        <v>#REF!</v>
      </c>
    </row>
    <row r="474" spans="1:17" ht="12.6" hidden="1">
      <c r="A474" s="1" t="s">
        <v>1023</v>
      </c>
      <c r="B474" s="1" t="str">
        <f>VLOOKUP(A474,'Z-Programme'!$A$2:$A$650,1,FALSE)</f>
        <v>ZMM_LAPSDR</v>
      </c>
      <c r="C474" s="1" t="s">
        <v>1024</v>
      </c>
      <c r="D474" s="1" t="s">
        <v>1533</v>
      </c>
      <c r="E474" s="1" t="s">
        <v>1558</v>
      </c>
      <c r="F474" s="1" t="s">
        <v>1616</v>
      </c>
      <c r="G474" s="1" t="s">
        <v>1773</v>
      </c>
      <c r="K474" s="58" t="s">
        <v>1573</v>
      </c>
      <c r="N474" s="1" t="e">
        <f>IF(#REF!="Ja",VLOOKUP(A474,'[1]ZArtefakte aus Listen'!A:B,2,0),"")</f>
        <v>#REF!</v>
      </c>
      <c r="P474" s="58"/>
      <c r="Q474" s="1" t="e">
        <f>IF(#REF!="Ja",VLOOKUP(A474,'[1]ZArtefakte aus Listen'!A:D,4,0),"")</f>
        <v>#REF!</v>
      </c>
    </row>
    <row r="475" spans="1:17" ht="12.6" hidden="1">
      <c r="A475" s="1" t="s">
        <v>1025</v>
      </c>
      <c r="B475" s="1" t="str">
        <f>VLOOKUP(A475,'Z-Programme'!$A$2:$A$650,1,FALSE)</f>
        <v>ZMM_LAPSMP</v>
      </c>
      <c r="C475" s="1" t="s">
        <v>1026</v>
      </c>
      <c r="D475" s="1" t="s">
        <v>1548</v>
      </c>
      <c r="E475" s="1" t="s">
        <v>1558</v>
      </c>
      <c r="F475" s="1" t="s">
        <v>1616</v>
      </c>
      <c r="G475" s="1" t="s">
        <v>1773</v>
      </c>
      <c r="K475" s="58" t="s">
        <v>1573</v>
      </c>
      <c r="N475" s="1" t="e">
        <f>IF(#REF!="Ja",VLOOKUP(A475,'[1]ZArtefakte aus Listen'!A:B,2,0),"")</f>
        <v>#REF!</v>
      </c>
      <c r="Q475" s="1" t="e">
        <f>IF(#REF!="Ja",VLOOKUP(A475,'[1]ZArtefakte aus Listen'!A:D,4,0),"")</f>
        <v>#REF!</v>
      </c>
    </row>
    <row r="476" spans="1:17" ht="12.6" hidden="1">
      <c r="A476" s="1" t="s">
        <v>1027</v>
      </c>
      <c r="B476" s="1" t="str">
        <f>VLOOKUP(A476,'Z-Programme'!$A$2:$A$650,1,FALSE)</f>
        <v>ZMM_MAR1_AENDBELG</v>
      </c>
      <c r="C476" s="1" t="s">
        <v>1029</v>
      </c>
      <c r="D476" s="1" t="s">
        <v>1533</v>
      </c>
      <c r="E476" s="1" t="s">
        <v>1558</v>
      </c>
      <c r="F476" s="1" t="s">
        <v>1616</v>
      </c>
      <c r="G476" s="1" t="s">
        <v>1775</v>
      </c>
      <c r="J476" s="5"/>
      <c r="K476" s="58" t="s">
        <v>1573</v>
      </c>
      <c r="N476" s="1" t="e">
        <f>IF(#REF!="Ja",VLOOKUP(A476,'[1]ZArtefakte aus Listen'!A:B,2,0),"")</f>
        <v>#REF!</v>
      </c>
      <c r="Q476" s="1" t="e">
        <f>IF(#REF!="Ja",VLOOKUP(A476,'[1]ZArtefakte aus Listen'!A:D,4,0),"")</f>
        <v>#REF!</v>
      </c>
    </row>
    <row r="477" spans="1:17" ht="12.6" hidden="1">
      <c r="A477" s="1" t="s">
        <v>1030</v>
      </c>
      <c r="B477" s="1" t="str">
        <f>VLOOKUP(A477,'Z-Programme'!$A$2:$A$650,1,FALSE)</f>
        <v>ZMM_MAR1_BESTAND_HISTORY</v>
      </c>
      <c r="C477" s="1" t="s">
        <v>1031</v>
      </c>
      <c r="D477" s="1" t="s">
        <v>1533</v>
      </c>
      <c r="E477" s="1" t="s">
        <v>1558</v>
      </c>
      <c r="F477" s="1" t="s">
        <v>1616</v>
      </c>
      <c r="G477" s="1" t="s">
        <v>1775</v>
      </c>
      <c r="J477" s="5"/>
      <c r="K477" s="58" t="s">
        <v>1573</v>
      </c>
      <c r="N477" s="1" t="e">
        <f>IF(#REF!="Ja",VLOOKUP(A477,'[1]ZArtefakte aus Listen'!A:B,2,0),"")</f>
        <v>#REF!</v>
      </c>
      <c r="Q477" s="1" t="e">
        <f>IF(#REF!="Ja",VLOOKUP(A477,'[1]ZArtefakte aus Listen'!A:D,4,0),"")</f>
        <v>#REF!</v>
      </c>
    </row>
    <row r="478" spans="1:17" ht="12.6" hidden="1">
      <c r="A478" s="1" t="s">
        <v>1032</v>
      </c>
      <c r="B478" s="1" t="str">
        <f>VLOOKUP(A478,'Z-Programme'!$A$2:$A$650,1,FALSE)</f>
        <v>ZMM_MAT_AENDERUNGEN</v>
      </c>
      <c r="C478" s="1" t="s">
        <v>1033</v>
      </c>
      <c r="D478" s="1" t="s">
        <v>1533</v>
      </c>
      <c r="E478" s="1" t="s">
        <v>1558</v>
      </c>
      <c r="F478" s="1" t="s">
        <v>1616</v>
      </c>
      <c r="G478" s="1" t="s">
        <v>1775</v>
      </c>
      <c r="J478" s="5"/>
      <c r="K478" s="58" t="s">
        <v>1573</v>
      </c>
      <c r="N478" s="1" t="e">
        <f>IF(#REF!="Ja",VLOOKUP(A478,'[1]ZArtefakte aus Listen'!A:B,2,0),"")</f>
        <v>#REF!</v>
      </c>
      <c r="Q478" s="1" t="e">
        <f>IF(#REF!="Ja",VLOOKUP(A478,'[1]ZArtefakte aus Listen'!A:D,4,0),"")</f>
        <v>#REF!</v>
      </c>
    </row>
    <row r="479" spans="1:17" ht="12.6" hidden="1">
      <c r="A479" s="1" t="s">
        <v>1034</v>
      </c>
      <c r="B479" s="1" t="str">
        <f>VLOOKUP(A479,'Z-Programme'!$A$2:$A$650,1,FALSE)</f>
        <v>ZMM_MATREORG</v>
      </c>
      <c r="C479" s="1" t="s">
        <v>1036</v>
      </c>
      <c r="D479" s="1" t="s">
        <v>1533</v>
      </c>
      <c r="E479" s="1" t="s">
        <v>1558</v>
      </c>
      <c r="F479" s="1" t="s">
        <v>1616</v>
      </c>
      <c r="G479" s="1" t="s">
        <v>1776</v>
      </c>
      <c r="K479" s="58" t="s">
        <v>1573</v>
      </c>
      <c r="N479" s="1" t="e">
        <f>IF(#REF!="Ja",VLOOKUP(A479,'[1]ZArtefakte aus Listen'!A:B,2,0),"")</f>
        <v>#REF!</v>
      </c>
      <c r="P479" s="58"/>
      <c r="Q479" s="1" t="e">
        <f>IF(#REF!="Ja",VLOOKUP(A479,'[1]ZArtefakte aus Listen'!A:D,4,0),"")</f>
        <v>#REF!</v>
      </c>
    </row>
    <row r="480" spans="1:17" ht="12.6" hidden="1">
      <c r="A480" s="1" t="s">
        <v>1037</v>
      </c>
      <c r="B480" s="1" t="str">
        <f>VLOOKUP(A480,'Z-Programme'!$A$2:$A$650,1,FALSE)</f>
        <v>ZMM_MI04</v>
      </c>
      <c r="C480" s="1" t="s">
        <v>1038</v>
      </c>
      <c r="D480" s="1" t="s">
        <v>1548</v>
      </c>
      <c r="E480" s="1" t="s">
        <v>1558</v>
      </c>
      <c r="F480" s="1" t="s">
        <v>1616</v>
      </c>
      <c r="G480" s="1" t="s">
        <v>1770</v>
      </c>
      <c r="K480" s="58" t="s">
        <v>1573</v>
      </c>
      <c r="N480" s="1" t="e">
        <f>IF(#REF!="Ja",VLOOKUP(A480,'[1]ZArtefakte aus Listen'!A:B,2,0),"")</f>
        <v>#REF!</v>
      </c>
      <c r="Q480" s="1" t="e">
        <f>IF(#REF!="Ja",VLOOKUP(A480,'[1]ZArtefakte aus Listen'!A:D,4,0),"")</f>
        <v>#REF!</v>
      </c>
    </row>
    <row r="481" spans="1:17" ht="12.6" hidden="1">
      <c r="A481" s="1" t="s">
        <v>1039</v>
      </c>
      <c r="B481" s="1" t="str">
        <f>VLOOKUP(A481,'Z-Programme'!$A$2:$A$650,1,FALSE)</f>
        <v>ZMM_MI31</v>
      </c>
      <c r="C481" s="1" t="s">
        <v>1040</v>
      </c>
      <c r="D481" s="1" t="s">
        <v>1533</v>
      </c>
      <c r="E481" s="1" t="s">
        <v>1558</v>
      </c>
      <c r="F481" s="1" t="s">
        <v>1616</v>
      </c>
      <c r="G481" s="1" t="s">
        <v>1770</v>
      </c>
      <c r="K481" s="58" t="s">
        <v>1573</v>
      </c>
      <c r="N481" s="1" t="e">
        <f>IF(#REF!="Ja",VLOOKUP(A481,'[1]ZArtefakte aus Listen'!A:B,2,0),"")</f>
        <v>#REF!</v>
      </c>
      <c r="P481" s="58"/>
      <c r="Q481" s="1" t="e">
        <f>IF(#REF!="Ja",VLOOKUP(A481,'[1]ZArtefakte aus Listen'!A:D,4,0),"")</f>
        <v>#REF!</v>
      </c>
    </row>
    <row r="482" spans="1:17" ht="12.6" hidden="1">
      <c r="A482" s="1" t="s">
        <v>1041</v>
      </c>
      <c r="B482" s="1" t="str">
        <f>VLOOKUP(A482,'Z-Programme'!$A$2:$A$650,1,FALSE)</f>
        <v>ZMM_MM00</v>
      </c>
      <c r="C482" s="1" t="s">
        <v>1042</v>
      </c>
      <c r="D482" s="1" t="s">
        <v>1548</v>
      </c>
      <c r="E482" s="1" t="s">
        <v>1558</v>
      </c>
      <c r="F482" s="1" t="s">
        <v>1616</v>
      </c>
      <c r="G482" s="1" t="s">
        <v>1776</v>
      </c>
      <c r="K482" s="58" t="s">
        <v>1573</v>
      </c>
      <c r="N482" s="1" t="e">
        <f>IF(#REF!="Ja",VLOOKUP(A482,'[1]ZArtefakte aus Listen'!A:B,2,0),"")</f>
        <v>#REF!</v>
      </c>
      <c r="Q482" s="1" t="e">
        <f>IF(#REF!="Ja",VLOOKUP(A482,'[1]ZArtefakte aus Listen'!A:D,4,0),"")</f>
        <v>#REF!</v>
      </c>
    </row>
    <row r="483" spans="1:17" ht="12.6" hidden="1">
      <c r="A483" s="1" t="s">
        <v>1043</v>
      </c>
      <c r="B483" s="1" t="str">
        <f>VLOOKUP(A483,'Z-Programme'!$A$2:$A$650,1,FALSE)</f>
        <v>ZMM_MM01</v>
      </c>
      <c r="C483" s="1" t="s">
        <v>1044</v>
      </c>
      <c r="D483" s="1" t="s">
        <v>1548</v>
      </c>
      <c r="E483" s="1" t="s">
        <v>1558</v>
      </c>
      <c r="F483" s="1" t="s">
        <v>1616</v>
      </c>
      <c r="G483" s="1" t="s">
        <v>1776</v>
      </c>
      <c r="K483" s="58" t="s">
        <v>1573</v>
      </c>
      <c r="N483" s="1" t="e">
        <f>IF(#REF!="Ja",VLOOKUP(A483,'[1]ZArtefakte aus Listen'!A:B,2,0),"")</f>
        <v>#REF!</v>
      </c>
      <c r="Q483" s="1" t="e">
        <f>IF(#REF!="Ja",VLOOKUP(A483,'[1]ZArtefakte aus Listen'!A:D,4,0),"")</f>
        <v>#REF!</v>
      </c>
    </row>
    <row r="484" spans="1:17" ht="12.6" hidden="1">
      <c r="A484" s="1" t="s">
        <v>1045</v>
      </c>
      <c r="B484" s="1" t="str">
        <f>VLOOKUP(A484,'Z-Programme'!$A$2:$A$650,1,FALSE)</f>
        <v>ZMM_MM60</v>
      </c>
      <c r="C484" s="1" t="s">
        <v>1046</v>
      </c>
      <c r="D484" s="1" t="s">
        <v>1533</v>
      </c>
      <c r="E484" s="1" t="s">
        <v>1558</v>
      </c>
      <c r="F484" s="1" t="s">
        <v>1616</v>
      </c>
      <c r="G484" s="1" t="s">
        <v>1776</v>
      </c>
      <c r="K484" s="58" t="s">
        <v>1573</v>
      </c>
      <c r="N484" s="1" t="e">
        <f>IF(#REF!="Ja",VLOOKUP(A484,'[1]ZArtefakte aus Listen'!A:B,2,0),"")</f>
        <v>#REF!</v>
      </c>
      <c r="P484" s="58"/>
      <c r="Q484" s="1" t="e">
        <f>IF(#REF!="Ja",VLOOKUP(A484,'[1]ZArtefakte aus Listen'!A:D,4,0),"")</f>
        <v>#REF!</v>
      </c>
    </row>
    <row r="485" spans="1:17" ht="12.6" hidden="1">
      <c r="A485" s="1" t="s">
        <v>1047</v>
      </c>
      <c r="B485" s="1" t="str">
        <f>VLOOKUP(A485,'Z-Programme'!$A$2:$A$650,1,FALSE)</f>
        <v>ZMM_PARTNER_COPY</v>
      </c>
      <c r="C485" s="1" t="s">
        <v>1048</v>
      </c>
      <c r="D485" s="1" t="s">
        <v>1533</v>
      </c>
      <c r="E485" s="1" t="s">
        <v>1534</v>
      </c>
      <c r="F485" s="1" t="s">
        <v>1544</v>
      </c>
      <c r="J485" s="5" t="s">
        <v>1536</v>
      </c>
      <c r="K485" s="1" t="s">
        <v>1537</v>
      </c>
      <c r="L485" s="1" t="s">
        <v>1762</v>
      </c>
      <c r="N485" s="1" t="e">
        <f>IF(#REF!="Ja",VLOOKUP(A485,'[1]ZArtefakte aus Listen'!A:B,2,0),"")</f>
        <v>#REF!</v>
      </c>
      <c r="Q485" s="1" t="e">
        <f>IF(#REF!="Ja",VLOOKUP(A485,'[1]ZArtefakte aus Listen'!A:D,4,0),"")</f>
        <v>#REF!</v>
      </c>
    </row>
    <row r="486" spans="1:17" ht="12.6" hidden="1">
      <c r="A486" s="1" t="s">
        <v>1049</v>
      </c>
      <c r="B486" s="1" t="str">
        <f>VLOOKUP(A486,'Z-Programme'!$A$2:$A$650,1,FALSE)</f>
        <v>ZMM_RG_AENDBELG</v>
      </c>
      <c r="C486" s="1" t="s">
        <v>1050</v>
      </c>
      <c r="D486" s="1" t="s">
        <v>1533</v>
      </c>
      <c r="E486" s="1" t="s">
        <v>1777</v>
      </c>
      <c r="F486" s="1" t="s">
        <v>1778</v>
      </c>
      <c r="J486" s="5" t="s">
        <v>1536</v>
      </c>
      <c r="K486" s="1" t="s">
        <v>1779</v>
      </c>
      <c r="L486" s="1" t="s">
        <v>1780</v>
      </c>
      <c r="M486" s="5" t="s">
        <v>1536</v>
      </c>
      <c r="N486" s="1" t="e">
        <f>IF(#REF!="Ja",VLOOKUP(A486,'[1]ZArtefakte aus Listen'!A:B,2,0),"")</f>
        <v>#REF!</v>
      </c>
      <c r="Q486" s="1" t="e">
        <f>IF(#REF!="Ja",VLOOKUP(A486,'[1]ZArtefakte aus Listen'!A:D,4,0),"")</f>
        <v>#REF!</v>
      </c>
    </row>
    <row r="487" spans="1:17" ht="12.6" hidden="1">
      <c r="A487" s="1" t="s">
        <v>1051</v>
      </c>
      <c r="B487" s="1" t="str">
        <f>VLOOKUP(A487,'Z-Programme'!$A$2:$A$650,1,FALSE)</f>
        <v>ZMM_RG_BTCI</v>
      </c>
      <c r="C487" s="1" t="s">
        <v>1052</v>
      </c>
      <c r="D487" s="1" t="s">
        <v>1533</v>
      </c>
      <c r="E487" s="1" t="s">
        <v>1777</v>
      </c>
      <c r="F487" s="1" t="s">
        <v>1778</v>
      </c>
      <c r="J487" s="5" t="s">
        <v>1536</v>
      </c>
      <c r="K487" s="1" t="s">
        <v>1779</v>
      </c>
      <c r="L487" s="1" t="s">
        <v>1780</v>
      </c>
      <c r="M487" s="5" t="s">
        <v>1536</v>
      </c>
      <c r="N487" s="1" t="e">
        <f>IF(#REF!="Ja",VLOOKUP(A487,'[1]ZArtefakte aus Listen'!A:B,2,0),"")</f>
        <v>#REF!</v>
      </c>
      <c r="Q487" s="1" t="e">
        <f>IF(#REF!="Ja",VLOOKUP(A487,'[1]ZArtefakte aus Listen'!A:D,4,0),"")</f>
        <v>#REF!</v>
      </c>
    </row>
    <row r="488" spans="1:17" ht="12.6" hidden="1">
      <c r="A488" s="1" t="s">
        <v>1053</v>
      </c>
      <c r="B488" s="1" t="str">
        <f>VLOOKUP(A488,'Z-Programme'!$A$2:$A$650,1,FALSE)</f>
        <v>ZMM_RG_IMPORT</v>
      </c>
      <c r="C488" s="1" t="s">
        <v>1054</v>
      </c>
      <c r="D488" s="1" t="s">
        <v>1533</v>
      </c>
      <c r="E488" s="1" t="s">
        <v>1777</v>
      </c>
      <c r="F488" s="1" t="s">
        <v>1778</v>
      </c>
      <c r="J488" s="5" t="s">
        <v>1536</v>
      </c>
      <c r="K488" s="1" t="s">
        <v>1779</v>
      </c>
      <c r="L488" s="1" t="s">
        <v>1780</v>
      </c>
      <c r="M488" s="5" t="s">
        <v>1536</v>
      </c>
      <c r="N488" s="1" t="e">
        <f>IF(#REF!="Ja",VLOOKUP(A488,'[1]ZArtefakte aus Listen'!A:B,2,0),"")</f>
        <v>#REF!</v>
      </c>
      <c r="Q488" s="1" t="e">
        <f>IF(#REF!="Ja",VLOOKUP(A488,'[1]ZArtefakte aus Listen'!A:D,4,0),"")</f>
        <v>#REF!</v>
      </c>
    </row>
    <row r="489" spans="1:17" ht="12.6" hidden="1">
      <c r="A489" s="1" t="s">
        <v>1055</v>
      </c>
      <c r="B489" s="1" t="str">
        <f>VLOOKUP(A489,'Z-Programme'!$A$2:$A$650,1,FALSE)</f>
        <v>ZMM_RG_LISTE</v>
      </c>
      <c r="C489" s="1" t="s">
        <v>1056</v>
      </c>
      <c r="D489" s="1" t="s">
        <v>1533</v>
      </c>
      <c r="E489" s="1" t="s">
        <v>1777</v>
      </c>
      <c r="F489" s="1" t="s">
        <v>1778</v>
      </c>
      <c r="J489" s="5" t="s">
        <v>1536</v>
      </c>
      <c r="K489" s="1" t="s">
        <v>1779</v>
      </c>
      <c r="L489" s="1" t="s">
        <v>1780</v>
      </c>
      <c r="M489" s="5" t="s">
        <v>1536</v>
      </c>
      <c r="N489" s="1" t="e">
        <f>IF(#REF!="Ja",VLOOKUP(A489,'[1]ZArtefakte aus Listen'!A:B,2,0),"")</f>
        <v>#REF!</v>
      </c>
      <c r="Q489" s="1" t="e">
        <f>IF(#REF!="Ja",VLOOKUP(A489,'[1]ZArtefakte aus Listen'!A:D,4,0),"")</f>
        <v>#REF!</v>
      </c>
    </row>
    <row r="490" spans="1:17" ht="12.6" hidden="1">
      <c r="A490" s="1" t="s">
        <v>1057</v>
      </c>
      <c r="B490" s="1" t="str">
        <f>VLOOKUP(A490,'Z-Programme'!$A$2:$A$650,1,FALSE)</f>
        <v>ZMM_RG_MAIL</v>
      </c>
      <c r="C490" s="1" t="s">
        <v>1058</v>
      </c>
      <c r="D490" s="1" t="s">
        <v>1533</v>
      </c>
      <c r="E490" s="1" t="s">
        <v>1777</v>
      </c>
      <c r="F490" s="1" t="s">
        <v>1778</v>
      </c>
      <c r="J490" s="5" t="s">
        <v>1536</v>
      </c>
      <c r="K490" s="1" t="s">
        <v>1779</v>
      </c>
      <c r="L490" s="1" t="s">
        <v>1780</v>
      </c>
      <c r="M490" s="5" t="s">
        <v>1536</v>
      </c>
      <c r="N490" s="1" t="e">
        <f>IF(#REF!="Ja",VLOOKUP(A490,'[1]ZArtefakte aus Listen'!A:B,2,0),"")</f>
        <v>#REF!</v>
      </c>
      <c r="Q490" s="1" t="e">
        <f>IF(#REF!="Ja",VLOOKUP(A490,'[1]ZArtefakte aus Listen'!A:D,4,0),"")</f>
        <v>#REF!</v>
      </c>
    </row>
    <row r="491" spans="1:17" ht="12.6" hidden="1">
      <c r="A491" s="1" t="s">
        <v>1059</v>
      </c>
      <c r="B491" s="1" t="str">
        <f>VLOOKUP(A491,'Z-Programme'!$A$2:$A$650,1,FALSE)</f>
        <v>ZMM_RG_MENUE</v>
      </c>
      <c r="C491" s="1" t="s">
        <v>1060</v>
      </c>
      <c r="D491" s="1" t="s">
        <v>1548</v>
      </c>
      <c r="E491" s="1" t="s">
        <v>1777</v>
      </c>
      <c r="F491" s="1" t="s">
        <v>1616</v>
      </c>
      <c r="J491" s="5" t="s">
        <v>1536</v>
      </c>
      <c r="K491" s="1" t="s">
        <v>1779</v>
      </c>
      <c r="L491" s="1" t="s">
        <v>1780</v>
      </c>
      <c r="M491" s="5" t="s">
        <v>1536</v>
      </c>
      <c r="N491" s="1" t="e">
        <f>IF(#REF!="Ja",VLOOKUP(A491,'[1]ZArtefakte aus Listen'!A:B,2,0),"")</f>
        <v>#REF!</v>
      </c>
      <c r="Q491" s="1" t="e">
        <f>IF(#REF!="Ja",VLOOKUP(A491,'[1]ZArtefakte aus Listen'!A:D,4,0),"")</f>
        <v>#REF!</v>
      </c>
    </row>
    <row r="492" spans="1:17" ht="12.6" hidden="1">
      <c r="A492" s="1" t="s">
        <v>1061</v>
      </c>
      <c r="B492" s="1" t="str">
        <f>VLOOKUP(A492,'Z-Programme'!$A$2:$A$650,1,FALSE)</f>
        <v>ZMM_RG_PRUEFEN</v>
      </c>
      <c r="C492" s="1" t="s">
        <v>1062</v>
      </c>
      <c r="D492" s="1" t="s">
        <v>1533</v>
      </c>
      <c r="E492" s="1" t="s">
        <v>1777</v>
      </c>
      <c r="F492" s="1" t="s">
        <v>1778</v>
      </c>
      <c r="J492" s="5" t="s">
        <v>1536</v>
      </c>
      <c r="K492" s="1" t="s">
        <v>1779</v>
      </c>
      <c r="L492" s="1" t="s">
        <v>1780</v>
      </c>
      <c r="M492" s="5" t="s">
        <v>1536</v>
      </c>
      <c r="N492" s="1" t="e">
        <f>IF(#REF!="Ja",VLOOKUP(A492,'[1]ZArtefakte aus Listen'!A:B,2,0),"")</f>
        <v>#REF!</v>
      </c>
      <c r="Q492" s="1" t="e">
        <f>IF(#REF!="Ja",VLOOKUP(A492,'[1]ZArtefakte aus Listen'!A:D,4,0),"")</f>
        <v>#REF!</v>
      </c>
    </row>
    <row r="493" spans="1:17" ht="12.6" hidden="1">
      <c r="A493" s="1" t="s">
        <v>1063</v>
      </c>
      <c r="B493" s="1" t="str">
        <f>VLOOKUP(A493,'Z-Programme'!$A$2:$A$650,1,FALSE)</f>
        <v>ZMM_RM08RELEASE</v>
      </c>
      <c r="C493" s="1" t="s">
        <v>1064</v>
      </c>
      <c r="D493" s="1" t="s">
        <v>1533</v>
      </c>
      <c r="E493" s="1" t="s">
        <v>1584</v>
      </c>
      <c r="F493" s="1" t="s">
        <v>1781</v>
      </c>
      <c r="J493" s="5" t="s">
        <v>1536</v>
      </c>
      <c r="K493" s="1" t="s">
        <v>1614</v>
      </c>
      <c r="L493" s="1" t="s">
        <v>1782</v>
      </c>
      <c r="M493" s="5" t="s">
        <v>1536</v>
      </c>
      <c r="N493" s="1" t="e">
        <f>IF(#REF!="Ja",VLOOKUP(A493,'[1]ZArtefakte aus Listen'!A:B,2,0),"")</f>
        <v>#REF!</v>
      </c>
      <c r="Q493" s="1" t="e">
        <f>IF(#REF!="Ja",VLOOKUP(A493,'[1]ZArtefakte aus Listen'!A:D,4,0),"")</f>
        <v>#REF!</v>
      </c>
    </row>
    <row r="494" spans="1:17" ht="12.6" hidden="1">
      <c r="A494" s="1" t="s">
        <v>1065</v>
      </c>
      <c r="B494" s="1" t="str">
        <f>VLOOKUP(A494,'Z-Programme'!$A$2:$A$650,1,FALSE)</f>
        <v>ZMM_STBWCHECK</v>
      </c>
      <c r="C494" s="1" t="s">
        <v>1066</v>
      </c>
      <c r="D494" s="1" t="s">
        <v>1533</v>
      </c>
      <c r="E494" s="1" t="s">
        <v>1534</v>
      </c>
      <c r="F494" s="1" t="s">
        <v>1544</v>
      </c>
      <c r="J494" s="5" t="s">
        <v>1536</v>
      </c>
      <c r="K494" s="1" t="s">
        <v>1537</v>
      </c>
      <c r="L494" s="1" t="s">
        <v>1756</v>
      </c>
      <c r="N494" s="1" t="e">
        <f>IF(#REF!="Ja",VLOOKUP(A494,'[1]ZArtefakte aus Listen'!A:B,2,0),"")</f>
        <v>#REF!</v>
      </c>
      <c r="Q494" s="1" t="e">
        <f>IF(#REF!="Ja",VLOOKUP(A494,'[1]ZArtefakte aus Listen'!A:D,4,0),"")</f>
        <v>#REF!</v>
      </c>
    </row>
    <row r="495" spans="1:17" ht="12.6" hidden="1">
      <c r="A495" s="1" t="s">
        <v>1067</v>
      </c>
      <c r="B495" s="1" t="str">
        <f>VLOOKUP(A495,'Z-Programme'!$A$2:$A$650,1,FALSE)</f>
        <v>ZMM_VST_WE</v>
      </c>
      <c r="C495" s="1" t="s">
        <v>1068</v>
      </c>
      <c r="D495" s="1" t="s">
        <v>1548</v>
      </c>
      <c r="E495" s="1" t="s">
        <v>1633</v>
      </c>
      <c r="F495" s="1" t="s">
        <v>1616</v>
      </c>
      <c r="G495" s="1" t="s">
        <v>1783</v>
      </c>
      <c r="K495" s="58" t="s">
        <v>1573</v>
      </c>
      <c r="N495" s="1" t="e">
        <f>IF(#REF!="Ja",VLOOKUP(A495,'[1]ZArtefakte aus Listen'!A:B,2,0),"")</f>
        <v>#REF!</v>
      </c>
      <c r="Q495" s="1" t="e">
        <f>IF(#REF!="Ja",VLOOKUP(A495,'[1]ZArtefakte aus Listen'!A:D,4,0),"")</f>
        <v>#REF!</v>
      </c>
    </row>
    <row r="496" spans="1:17" ht="12.6" hidden="1">
      <c r="A496" s="1" t="s">
        <v>1069</v>
      </c>
      <c r="B496" s="1" t="str">
        <f>VLOOKUP(A496,'Z-Programme'!$A$2:$A$650,1,FALSE)</f>
        <v>ZMM_WPVOB</v>
      </c>
      <c r="C496" s="1" t="s">
        <v>1070</v>
      </c>
      <c r="D496" s="1" t="s">
        <v>1533</v>
      </c>
      <c r="E496" s="1" t="s">
        <v>1534</v>
      </c>
      <c r="F496" s="1" t="s">
        <v>1544</v>
      </c>
      <c r="J496" s="5" t="s">
        <v>1536</v>
      </c>
      <c r="K496" s="1" t="s">
        <v>1537</v>
      </c>
      <c r="L496" s="1" t="s">
        <v>1680</v>
      </c>
      <c r="N496" s="1" t="e">
        <f>IF(#REF!="Ja",VLOOKUP(A496,'[1]ZArtefakte aus Listen'!A:B,2,0),"")</f>
        <v>#REF!</v>
      </c>
      <c r="Q496" s="1" t="e">
        <f>IF(#REF!="Ja",VLOOKUP(A496,'[1]ZArtefakte aus Listen'!A:D,4,0),"")</f>
        <v>#REF!</v>
      </c>
    </row>
    <row r="497" spans="1:17" ht="12.6" hidden="1">
      <c r="A497" s="1" t="s">
        <v>1072</v>
      </c>
      <c r="B497" s="1" t="str">
        <f>VLOOKUP(A497,'Z-Programme'!$A$2:$A$650,1,FALSE)</f>
        <v>ZPWCXTRACT_DEV</v>
      </c>
      <c r="C497" s="1" t="s">
        <v>1073</v>
      </c>
      <c r="D497" s="1" t="s">
        <v>1533</v>
      </c>
      <c r="E497" s="1" t="s">
        <v>1534</v>
      </c>
      <c r="F497" s="6" t="s">
        <v>1784</v>
      </c>
      <c r="J497" s="5" t="s">
        <v>1536</v>
      </c>
      <c r="K497" s="1" t="s">
        <v>1537</v>
      </c>
      <c r="L497" s="1" t="s">
        <v>1538</v>
      </c>
      <c r="M497" s="6"/>
      <c r="N497" s="1" t="e">
        <f>IF(#REF!="Ja",VLOOKUP(A497,'[1]ZArtefakte aus Listen'!A:B,2,0),"")</f>
        <v>#REF!</v>
      </c>
      <c r="Q497" s="1" t="e">
        <f>IF(#REF!="Ja",VLOOKUP(A497,'[1]ZArtefakte aus Listen'!A:D,4,0),"")</f>
        <v>#REF!</v>
      </c>
    </row>
    <row r="498" spans="1:17" ht="12.6">
      <c r="A498" s="1" t="s">
        <v>1074</v>
      </c>
      <c r="B498" s="1" t="str">
        <f>VLOOKUP(A498,'Z-Programme'!$A$2:$A$650,1,FALSE)</f>
        <v>ZRE_BSID_IMKEY_CLEAR</v>
      </c>
      <c r="C498" s="1" t="s">
        <v>1075</v>
      </c>
      <c r="D498" s="1" t="s">
        <v>1533</v>
      </c>
      <c r="E498" s="1" t="s">
        <v>1534</v>
      </c>
      <c r="F498" s="1" t="s">
        <v>1544</v>
      </c>
      <c r="J498" s="5" t="s">
        <v>1536</v>
      </c>
      <c r="K498" s="1" t="s">
        <v>1537</v>
      </c>
      <c r="L498" s="1" t="s">
        <v>1756</v>
      </c>
      <c r="N498" s="1" t="e">
        <f>IF(#REF!="Ja",VLOOKUP(A498,'[1]ZArtefakte aus Listen'!A:B,2,0),"")</f>
        <v>#REF!</v>
      </c>
      <c r="Q498" s="1" t="e">
        <f>IF(#REF!="Ja",VLOOKUP(A498,'[1]ZArtefakte aus Listen'!A:D,4,0),"")</f>
        <v>#REF!</v>
      </c>
    </row>
    <row r="499" spans="1:17" ht="12.6">
      <c r="A499" s="1" t="s">
        <v>1076</v>
      </c>
      <c r="B499" s="1" t="str">
        <f>VLOOKUP(A499,'Z-Programme'!$A$2:$A$650,1,FALSE)</f>
        <v>ZRE_DRUCK_CONTAINER</v>
      </c>
      <c r="C499" s="1" t="s">
        <v>1078</v>
      </c>
      <c r="D499" s="1" t="s">
        <v>1533</v>
      </c>
      <c r="E499" s="1" t="s">
        <v>1660</v>
      </c>
      <c r="F499" s="1" t="s">
        <v>1785</v>
      </c>
      <c r="J499" s="5" t="s">
        <v>1536</v>
      </c>
      <c r="K499" s="1" t="s">
        <v>1662</v>
      </c>
      <c r="L499" s="1" t="s">
        <v>1786</v>
      </c>
      <c r="N499" s="1" t="e">
        <f>IF(#REF!="Ja",VLOOKUP(A499,'[1]ZArtefakte aus Listen'!A:B,2,0),"")</f>
        <v>#REF!</v>
      </c>
      <c r="Q499" s="1" t="e">
        <f>IF(#REF!="Ja",VLOOKUP(A499,'[1]ZArtefakte aus Listen'!A:D,4,0),"")</f>
        <v>#REF!</v>
      </c>
    </row>
    <row r="500" spans="1:17" ht="12.6">
      <c r="A500" s="1" t="s">
        <v>1079</v>
      </c>
      <c r="B500" s="1" t="str">
        <f>VLOOKUP(A500,'Z-Programme'!$A$2:$A$650,1,FALSE)</f>
        <v>ZRE_HDVM</v>
      </c>
      <c r="C500" s="1" t="s">
        <v>1080</v>
      </c>
      <c r="D500" s="1" t="s">
        <v>1548</v>
      </c>
      <c r="E500" s="1" t="s">
        <v>1540</v>
      </c>
      <c r="F500" s="1" t="s">
        <v>1785</v>
      </c>
      <c r="J500" s="5" t="s">
        <v>1536</v>
      </c>
      <c r="K500" s="1" t="s">
        <v>1542</v>
      </c>
      <c r="L500" s="1" t="s">
        <v>1543</v>
      </c>
      <c r="N500" s="1" t="e">
        <f>IF(#REF!="Ja",VLOOKUP(A500,'[1]ZArtefakte aus Listen'!A:B,2,0),"")</f>
        <v>#REF!</v>
      </c>
      <c r="Q500" s="1" t="e">
        <f>IF(#REF!="Ja",VLOOKUP(A500,'[1]ZArtefakte aus Listen'!A:D,4,0),"")</f>
        <v>#REF!</v>
      </c>
    </row>
    <row r="501" spans="1:17" ht="12.6">
      <c r="A501" s="1" t="s">
        <v>1081</v>
      </c>
      <c r="B501" s="1" t="str">
        <f>VLOOKUP(A501,'Z-Programme'!$A$2:$A$650,1,FALSE)</f>
        <v>ZRE_MIETBLATT</v>
      </c>
      <c r="C501" s="1" t="s">
        <v>1083</v>
      </c>
      <c r="D501" s="1" t="s">
        <v>1533</v>
      </c>
      <c r="E501" s="1" t="s">
        <v>1540</v>
      </c>
      <c r="F501" s="1" t="s">
        <v>1785</v>
      </c>
      <c r="J501" s="5" t="s">
        <v>1536</v>
      </c>
      <c r="K501" s="1" t="s">
        <v>1542</v>
      </c>
      <c r="L501" s="1" t="s">
        <v>1787</v>
      </c>
      <c r="N501" s="1" t="e">
        <f>IF(#REF!="Ja",VLOOKUP(A501,'[1]ZArtefakte aus Listen'!A:B,2,0),"")</f>
        <v>#REF!</v>
      </c>
    </row>
    <row r="502" spans="1:17" ht="12.6">
      <c r="A502" s="1" t="s">
        <v>1084</v>
      </c>
      <c r="B502" s="1" t="str">
        <f>VLOOKUP(A502,'Z-Programme'!$A$2:$A$650,1,FALSE)</f>
        <v>ZRE_OBJEKTBLATT</v>
      </c>
      <c r="C502" s="1" t="s">
        <v>1788</v>
      </c>
      <c r="D502" s="1" t="s">
        <v>1533</v>
      </c>
      <c r="E502" s="1" t="s">
        <v>1540</v>
      </c>
      <c r="F502" s="1" t="s">
        <v>1785</v>
      </c>
      <c r="J502" s="5" t="s">
        <v>1536</v>
      </c>
      <c r="K502" s="1" t="s">
        <v>1542</v>
      </c>
      <c r="L502" s="1" t="s">
        <v>1787</v>
      </c>
      <c r="N502" s="1" t="e">
        <f>IF(#REF!="Ja",VLOOKUP(A502,'[1]ZArtefakte aus Listen'!A:B,2,0),"")</f>
        <v>#REF!</v>
      </c>
    </row>
    <row r="503" spans="1:17" ht="12.6">
      <c r="A503" s="1" t="s">
        <v>1086</v>
      </c>
      <c r="B503" s="1" t="str">
        <f>VLOOKUP(A503,'Z-Programme'!$A$2:$A$650,1,FALSE)</f>
        <v>ZRE_STVARV_UPDATE</v>
      </c>
      <c r="C503" s="1" t="s">
        <v>1087</v>
      </c>
      <c r="D503" s="1" t="s">
        <v>1533</v>
      </c>
      <c r="E503" s="1" t="s">
        <v>1540</v>
      </c>
      <c r="F503" s="1" t="s">
        <v>1785</v>
      </c>
      <c r="J503" s="5" t="s">
        <v>1536</v>
      </c>
      <c r="K503" s="1" t="s">
        <v>1542</v>
      </c>
      <c r="L503" s="1" t="s">
        <v>1787</v>
      </c>
      <c r="N503" s="1" t="e">
        <f>IF(#REF!="Ja",VLOOKUP(A503,'[1]ZArtefakte aus Listen'!A:B,2,0),"")</f>
        <v>#REF!</v>
      </c>
      <c r="Q503" s="1" t="e">
        <f>IF(#REF!="Ja",VLOOKUP(A503,'[1]ZArtefakte aus Listen'!A:D,4,0),"")</f>
        <v>#REF!</v>
      </c>
    </row>
    <row r="504" spans="1:17" ht="12.6" hidden="1">
      <c r="A504" s="1" t="s">
        <v>1088</v>
      </c>
      <c r="B504" s="1" t="str">
        <f>VLOOKUP(A504,'Z-Programme'!$A$2:$A$650,1,FALSE)</f>
        <v>ZRGGBR000</v>
      </c>
      <c r="C504" s="1" t="s">
        <v>1089</v>
      </c>
      <c r="D504" s="1" t="s">
        <v>1548</v>
      </c>
      <c r="E504" s="1" t="s">
        <v>1584</v>
      </c>
      <c r="F504" s="1" t="s">
        <v>1493</v>
      </c>
      <c r="J504" s="5" t="s">
        <v>1536</v>
      </c>
      <c r="K504" s="1" t="s">
        <v>1614</v>
      </c>
      <c r="L504" s="1" t="s">
        <v>1698</v>
      </c>
      <c r="N504" s="1" t="e">
        <f>IF(#REF!="Ja",VLOOKUP(A504,'[1]ZArtefakte aus Listen'!A:B,2,0),"")</f>
        <v>#REF!</v>
      </c>
      <c r="Q504" s="1" t="e">
        <f>IF(#REF!="Ja",VLOOKUP(A504,'[1]ZArtefakte aus Listen'!A:D,4,0),"")</f>
        <v>#REF!</v>
      </c>
    </row>
    <row r="505" spans="1:17" ht="12.6" hidden="1">
      <c r="A505" s="1" t="s">
        <v>1090</v>
      </c>
      <c r="B505" s="1" t="str">
        <f>VLOOKUP(A505,'Z-Programme'!$A$2:$A$650,1,FALSE)</f>
        <v>ZRSADRADRV</v>
      </c>
      <c r="C505" s="1" t="s">
        <v>1091</v>
      </c>
      <c r="D505" s="1" t="s">
        <v>1533</v>
      </c>
      <c r="E505" s="1" t="s">
        <v>1534</v>
      </c>
      <c r="F505" s="1" t="s">
        <v>1789</v>
      </c>
      <c r="J505" s="5" t="s">
        <v>1536</v>
      </c>
      <c r="K505" s="1" t="s">
        <v>1537</v>
      </c>
      <c r="L505" s="1" t="s">
        <v>1538</v>
      </c>
      <c r="N505" s="1" t="e">
        <f>IF(#REF!="Ja",VLOOKUP(A505,'[1]ZArtefakte aus Listen'!A:B,2,0),"")</f>
        <v>#REF!</v>
      </c>
      <c r="Q505" s="1" t="e">
        <f>IF(#REF!="Ja",VLOOKUP(A505,'[1]ZArtefakte aus Listen'!A:D,4,0),"")</f>
        <v>#REF!</v>
      </c>
    </row>
    <row r="506" spans="1:17" ht="12.6" hidden="1">
      <c r="A506" s="1" t="s">
        <v>1092</v>
      </c>
      <c r="B506" s="1" t="str">
        <f>VLOOKUP(A506,'Z-Programme'!$A$2:$A$650,1,FALSE)</f>
        <v>ZRSADRADRV_MASS</v>
      </c>
      <c r="C506" s="1" t="s">
        <v>1091</v>
      </c>
      <c r="D506" s="1" t="s">
        <v>1533</v>
      </c>
      <c r="E506" s="1" t="s">
        <v>1534</v>
      </c>
      <c r="F506" s="1" t="s">
        <v>1789</v>
      </c>
      <c r="J506" s="5" t="s">
        <v>1536</v>
      </c>
      <c r="K506" s="1" t="s">
        <v>1537</v>
      </c>
      <c r="L506" s="1" t="s">
        <v>1538</v>
      </c>
      <c r="N506" s="1" t="e">
        <f>IF(#REF!="Ja",VLOOKUP(A506,'[1]ZArtefakte aus Listen'!A:B,2,0),"")</f>
        <v>#REF!</v>
      </c>
      <c r="Q506" s="1" t="e">
        <f>IF(#REF!="Ja",VLOOKUP(A506,'[1]ZArtefakte aus Listen'!A:D,4,0),"")</f>
        <v>#REF!</v>
      </c>
    </row>
    <row r="507" spans="1:17" ht="12.6" hidden="1">
      <c r="A507" s="1" t="s">
        <v>1093</v>
      </c>
      <c r="B507" s="1" t="str">
        <f>VLOOKUP(A507,'Z-Programme'!$A$2:$A$650,1,FALSE)</f>
        <v>ZSBBSS_TBTCO_HOCHSETZEN</v>
      </c>
      <c r="C507" s="1" t="s">
        <v>1094</v>
      </c>
      <c r="D507" s="1" t="s">
        <v>1533</v>
      </c>
      <c r="E507" s="1" t="s">
        <v>1534</v>
      </c>
      <c r="F507" s="6" t="s">
        <v>1790</v>
      </c>
      <c r="J507" s="5" t="s">
        <v>1536</v>
      </c>
      <c r="K507" s="1" t="s">
        <v>1537</v>
      </c>
      <c r="L507" s="1" t="s">
        <v>1538</v>
      </c>
      <c r="M507" s="6"/>
      <c r="N507" s="1" t="e">
        <f>IF(#REF!="Ja",VLOOKUP(A507,'[1]ZArtefakte aus Listen'!A:B,2,0),"")</f>
        <v>#REF!</v>
      </c>
      <c r="Q507" s="1" t="e">
        <f>IF(#REF!="Ja",VLOOKUP(A507,'[1]ZArtefakte aus Listen'!A:D,4,0),"")</f>
        <v>#REF!</v>
      </c>
    </row>
    <row r="508" spans="1:17" ht="12.6" hidden="1">
      <c r="A508" s="1" t="s">
        <v>1095</v>
      </c>
      <c r="B508" s="1" t="str">
        <f>VLOOKUP(A508,'Z-Programme'!$A$2:$A$650,1,FALSE)</f>
        <v>ZSBBSS_TBTCS_HOCHSETZEN</v>
      </c>
      <c r="C508" s="1" t="s">
        <v>1096</v>
      </c>
      <c r="D508" s="1" t="s">
        <v>1533</v>
      </c>
      <c r="E508" s="1" t="s">
        <v>1534</v>
      </c>
      <c r="F508" s="6" t="s">
        <v>1790</v>
      </c>
      <c r="J508" s="5" t="s">
        <v>1536</v>
      </c>
      <c r="K508" s="1" t="s">
        <v>1537</v>
      </c>
      <c r="L508" s="1" t="s">
        <v>1538</v>
      </c>
      <c r="M508" s="6"/>
      <c r="N508" s="1" t="e">
        <f>IF(#REF!="Ja",VLOOKUP(A508,'[1]ZArtefakte aus Listen'!A:B,2,0),"")</f>
        <v>#REF!</v>
      </c>
      <c r="Q508" s="1" t="e">
        <f>IF(#REF!="Ja",VLOOKUP(A508,'[1]ZArtefakte aus Listen'!A:D,4,0),"")</f>
        <v>#REF!</v>
      </c>
    </row>
    <row r="509" spans="1:17" ht="12.6" hidden="1">
      <c r="A509" s="1" t="s">
        <v>1097</v>
      </c>
      <c r="B509" s="1" t="str">
        <f>VLOOKUP(A509,'Z-Programme'!$A$2:$A$650,1,FALSE)</f>
        <v>ZSBBSS_TPRI_PAR_LOESCHEN</v>
      </c>
      <c r="C509" s="1" t="s">
        <v>1098</v>
      </c>
      <c r="D509" s="1" t="s">
        <v>1533</v>
      </c>
      <c r="E509" s="1" t="s">
        <v>1534</v>
      </c>
      <c r="F509" s="6" t="s">
        <v>1790</v>
      </c>
      <c r="J509" s="5" t="s">
        <v>1536</v>
      </c>
      <c r="K509" s="1" t="s">
        <v>1537</v>
      </c>
      <c r="L509" s="1" t="s">
        <v>1538</v>
      </c>
      <c r="M509" s="6"/>
      <c r="N509" s="1" t="e">
        <f>IF(#REF!="Ja",VLOOKUP(A509,'[1]ZArtefakte aus Listen'!A:B,2,0),"")</f>
        <v>#REF!</v>
      </c>
      <c r="Q509" s="1" t="e">
        <f>IF(#REF!="Ja",VLOOKUP(A509,'[1]ZArtefakte aus Listen'!A:D,4,0),"")</f>
        <v>#REF!</v>
      </c>
    </row>
    <row r="510" spans="1:17" ht="12.6" hidden="1">
      <c r="A510" s="1" t="s">
        <v>1101</v>
      </c>
      <c r="B510" s="1" t="str">
        <f>VLOOKUP(A510,'Z-Programme'!$A$2:$A$650,1,FALSE)</f>
        <v>ZSD_ALV_GROUP_TEMP</v>
      </c>
      <c r="C510" s="1" t="s">
        <v>1102</v>
      </c>
      <c r="D510" s="1" t="s">
        <v>1533</v>
      </c>
      <c r="E510" s="1" t="s">
        <v>1534</v>
      </c>
      <c r="F510" s="1" t="s">
        <v>1544</v>
      </c>
      <c r="J510" s="5" t="s">
        <v>1536</v>
      </c>
      <c r="K510" s="1" t="s">
        <v>1537</v>
      </c>
      <c r="L510" s="1" t="s">
        <v>1762</v>
      </c>
      <c r="N510" s="1" t="e">
        <f>IF(#REF!="Ja",VLOOKUP(A510,'[1]ZArtefakte aus Listen'!A:B,2,0),"")</f>
        <v>#REF!</v>
      </c>
      <c r="Q510" s="1" t="e">
        <f>IF(#REF!="Ja",VLOOKUP(A510,'[1]ZArtefakte aus Listen'!A:D,4,0),"")</f>
        <v>#REF!</v>
      </c>
    </row>
    <row r="511" spans="1:17" ht="12.6" hidden="1">
      <c r="A511" s="1" t="s">
        <v>1103</v>
      </c>
      <c r="B511" s="1" t="str">
        <f>VLOOKUP(A511,'Z-Programme'!$A$2:$A$650,1,FALSE)</f>
        <v>ZSD_AUFRUE</v>
      </c>
      <c r="C511" s="1" t="s">
        <v>1105</v>
      </c>
      <c r="D511" s="1" t="s">
        <v>1533</v>
      </c>
      <c r="E511" s="1" t="s">
        <v>1633</v>
      </c>
      <c r="F511" s="1" t="s">
        <v>1549</v>
      </c>
      <c r="G511" s="1" t="s">
        <v>1791</v>
      </c>
      <c r="K511" s="58" t="s">
        <v>1573</v>
      </c>
      <c r="N511" s="1" t="e">
        <f>IF(#REF!="Ja",VLOOKUP(A511,'[1]ZArtefakte aus Listen'!A:B,2,0),"")</f>
        <v>#REF!</v>
      </c>
      <c r="P511" s="58"/>
      <c r="Q511" s="1" t="e">
        <f>IF(#REF!="Ja",VLOOKUP(A511,'[1]ZArtefakte aus Listen'!A:D,4,0),"")</f>
        <v>#REF!</v>
      </c>
    </row>
    <row r="512" spans="1:17" ht="12.6" hidden="1">
      <c r="A512" s="1" t="s">
        <v>1106</v>
      </c>
      <c r="B512" s="1" t="str">
        <f>VLOOKUP(A512,'Z-Programme'!$A$2:$A$650,1,FALSE)</f>
        <v>ZSD_AUFT_MAT</v>
      </c>
      <c r="C512" s="1" t="s">
        <v>1107</v>
      </c>
      <c r="D512" s="1" t="s">
        <v>1533</v>
      </c>
      <c r="E512" s="1" t="s">
        <v>1534</v>
      </c>
      <c r="F512" s="1" t="s">
        <v>1544</v>
      </c>
      <c r="J512" s="5" t="s">
        <v>1536</v>
      </c>
      <c r="K512" s="1" t="s">
        <v>1537</v>
      </c>
      <c r="L512" s="1" t="s">
        <v>1762</v>
      </c>
      <c r="N512" s="1" t="e">
        <f>IF(#REF!="Ja",VLOOKUP(A512,'[1]ZArtefakte aus Listen'!A:B,2,0),"")</f>
        <v>#REF!</v>
      </c>
      <c r="Q512" s="1" t="e">
        <f>IF(#REF!="Ja",VLOOKUP(A512,'[1]ZArtefakte aus Listen'!A:D,4,0),"")</f>
        <v>#REF!</v>
      </c>
    </row>
    <row r="513" spans="1:17" ht="12.6" hidden="1">
      <c r="A513" s="1" t="s">
        <v>1108</v>
      </c>
      <c r="B513" s="1" t="str">
        <f>VLOOKUP(A513,'Z-Programme'!$A$2:$A$650,1,FALSE)</f>
        <v>ZSD_BESTAND_COPY</v>
      </c>
      <c r="C513" s="1" t="s">
        <v>1109</v>
      </c>
      <c r="D513" s="1" t="s">
        <v>1533</v>
      </c>
      <c r="E513" s="1" t="s">
        <v>1534</v>
      </c>
      <c r="F513" s="1" t="s">
        <v>1544</v>
      </c>
      <c r="J513" s="5" t="s">
        <v>1536</v>
      </c>
      <c r="K513" s="1" t="s">
        <v>1537</v>
      </c>
      <c r="L513" s="1" t="s">
        <v>1756</v>
      </c>
      <c r="N513" s="1" t="e">
        <f>IF(#REF!="Ja",VLOOKUP(A513,'[1]ZArtefakte aus Listen'!A:B,2,0),"")</f>
        <v>#REF!</v>
      </c>
      <c r="Q513" s="1" t="e">
        <f>IF(#REF!="Ja",VLOOKUP(A513,'[1]ZArtefakte aus Listen'!A:D,4,0),"")</f>
        <v>#REF!</v>
      </c>
    </row>
    <row r="514" spans="1:17" ht="12.6" hidden="1">
      <c r="A514" s="1" t="s">
        <v>1110</v>
      </c>
      <c r="B514" s="1" t="str">
        <f>VLOOKUP(A514,'Z-Programme'!$A$2:$A$650,1,FALSE)</f>
        <v>ZSD_COND_LOEKZ</v>
      </c>
      <c r="C514" s="1" t="s">
        <v>1111</v>
      </c>
      <c r="D514" s="1" t="s">
        <v>1533</v>
      </c>
      <c r="E514" s="1" t="s">
        <v>1584</v>
      </c>
      <c r="F514" s="1" t="s">
        <v>1792</v>
      </c>
      <c r="J514" s="5" t="s">
        <v>1536</v>
      </c>
      <c r="K514" s="1" t="s">
        <v>1614</v>
      </c>
      <c r="L514" s="1" t="s">
        <v>1793</v>
      </c>
      <c r="M514" s="5" t="s">
        <v>1536</v>
      </c>
      <c r="N514" s="1" t="e">
        <f>IF(#REF!="Ja",VLOOKUP(A514,'[1]ZArtefakte aus Listen'!A:B,2,0),"")</f>
        <v>#REF!</v>
      </c>
      <c r="Q514" s="1" t="e">
        <f>IF(#REF!="Ja",VLOOKUP(A514,'[1]ZArtefakte aus Listen'!A:D,4,0),"")</f>
        <v>#REF!</v>
      </c>
    </row>
    <row r="515" spans="1:17" ht="12.6" hidden="1">
      <c r="A515" s="1" t="s">
        <v>1112</v>
      </c>
      <c r="B515" s="1" t="str">
        <f>VLOOKUP(A515,'Z-Programme'!$A$2:$A$650,1,FALSE)</f>
        <v>ZSD_INTR00</v>
      </c>
      <c r="C515" s="1" t="s">
        <v>1113</v>
      </c>
      <c r="D515" s="1" t="s">
        <v>1533</v>
      </c>
      <c r="E515" s="1" t="s">
        <v>1534</v>
      </c>
      <c r="F515" s="1" t="s">
        <v>1544</v>
      </c>
      <c r="J515" s="5" t="s">
        <v>1536</v>
      </c>
      <c r="K515" s="1" t="s">
        <v>1537</v>
      </c>
      <c r="L515" s="1" t="s">
        <v>1762</v>
      </c>
      <c r="N515" s="1" t="e">
        <f>IF(#REF!="Ja",VLOOKUP(A515,'[1]ZArtefakte aus Listen'!A:B,2,0),"")</f>
        <v>#REF!</v>
      </c>
      <c r="Q515" s="1" t="e">
        <f>IF(#REF!="Ja",VLOOKUP(A515,'[1]ZArtefakte aus Listen'!A:D,4,0),"")</f>
        <v>#REF!</v>
      </c>
    </row>
    <row r="516" spans="1:17" ht="12.6" hidden="1">
      <c r="A516" s="1" t="s">
        <v>1114</v>
      </c>
      <c r="B516" s="1" t="str">
        <f>VLOOKUP(A516,'Z-Programme'!$A$2:$A$650,1,FALSE)</f>
        <v>ZSD_KASSENID_UPLOAD</v>
      </c>
      <c r="C516" s="1" t="s">
        <v>1115</v>
      </c>
      <c r="D516" s="1" t="s">
        <v>1533</v>
      </c>
      <c r="E516" s="1" t="s">
        <v>1534</v>
      </c>
      <c r="F516" s="1" t="s">
        <v>1544</v>
      </c>
      <c r="J516" s="5" t="s">
        <v>1536</v>
      </c>
      <c r="K516" s="1" t="s">
        <v>1537</v>
      </c>
      <c r="L516" s="1" t="s">
        <v>1794</v>
      </c>
      <c r="N516" s="1" t="e">
        <f>IF(#REF!="Ja",VLOOKUP(A516,'[1]ZArtefakte aus Listen'!A:B,2,0),"")</f>
        <v>#REF!</v>
      </c>
      <c r="Q516" s="1" t="e">
        <f>IF(#REF!="Ja",VLOOKUP(A516,'[1]ZArtefakte aus Listen'!A:D,4,0),"")</f>
        <v>#REF!</v>
      </c>
    </row>
    <row r="517" spans="1:17" ht="12.6" hidden="1">
      <c r="A517" s="1" t="s">
        <v>1116</v>
      </c>
      <c r="B517" s="1" t="str">
        <f>VLOOKUP(A517,'Z-Programme'!$A$2:$A$650,1,FALSE)</f>
        <v>ZSD_KONDITION_COPY</v>
      </c>
      <c r="C517" s="1" t="s">
        <v>1117</v>
      </c>
      <c r="D517" s="1" t="s">
        <v>1533</v>
      </c>
      <c r="E517" s="1" t="s">
        <v>1534</v>
      </c>
      <c r="F517" s="1" t="s">
        <v>1544</v>
      </c>
      <c r="J517" s="5" t="s">
        <v>1536</v>
      </c>
      <c r="K517" s="1" t="s">
        <v>1537</v>
      </c>
      <c r="L517" s="1" t="s">
        <v>1756</v>
      </c>
      <c r="N517" s="1" t="e">
        <f>IF(#REF!="Ja",VLOOKUP(A517,'[1]ZArtefakte aus Listen'!A:B,2,0),"")</f>
        <v>#REF!</v>
      </c>
      <c r="Q517" s="1" t="e">
        <f>IF(#REF!="Ja",VLOOKUP(A517,'[1]ZArtefakte aus Listen'!A:D,4,0),"")</f>
        <v>#REF!</v>
      </c>
    </row>
    <row r="518" spans="1:17" ht="12.6" hidden="1">
      <c r="A518" s="1" t="s">
        <v>1118</v>
      </c>
      <c r="B518" s="1" t="str">
        <f>VLOOKUP(A518,'Z-Programme'!$A$2:$A$650,1,FALSE)</f>
        <v>ZSD_KUNVZ</v>
      </c>
      <c r="C518" s="1" t="s">
        <v>1120</v>
      </c>
      <c r="D518" s="1" t="s">
        <v>1533</v>
      </c>
      <c r="E518" s="1" t="s">
        <v>1633</v>
      </c>
      <c r="F518" s="1" t="s">
        <v>1549</v>
      </c>
      <c r="G518" s="1" t="s">
        <v>1795</v>
      </c>
      <c r="K518" s="58" t="s">
        <v>1573</v>
      </c>
      <c r="N518" s="1" t="e">
        <f>IF(#REF!="Ja",VLOOKUP(A518,'[1]ZArtefakte aus Listen'!A:B,2,0),"")</f>
        <v>#REF!</v>
      </c>
      <c r="Q518" s="1" t="e">
        <f>IF(#REF!="Ja",VLOOKUP(A518,'[1]ZArtefakte aus Listen'!A:D,4,0),"")</f>
        <v>#REF!</v>
      </c>
    </row>
    <row r="519" spans="1:17" ht="12.6" hidden="1">
      <c r="A519" s="1" t="s">
        <v>1121</v>
      </c>
      <c r="B519" s="1" t="str">
        <f>VLOOKUP(A519,'Z-Programme'!$A$2:$A$650,1,FALSE)</f>
        <v>ZSD_LAGKOM</v>
      </c>
      <c r="C519" s="1" t="s">
        <v>1122</v>
      </c>
      <c r="D519" s="1" t="s">
        <v>1533</v>
      </c>
      <c r="E519" s="1" t="s">
        <v>1558</v>
      </c>
      <c r="F519" s="1" t="s">
        <v>1549</v>
      </c>
      <c r="G519" s="1" t="s">
        <v>1796</v>
      </c>
      <c r="K519" s="58" t="s">
        <v>1573</v>
      </c>
      <c r="N519" s="1" t="e">
        <f>IF(#REF!="Ja",VLOOKUP(A519,'[1]ZArtefakte aus Listen'!A:B,2,0),"")</f>
        <v>#REF!</v>
      </c>
      <c r="P519" s="58"/>
      <c r="Q519" s="1" t="e">
        <f>IF(#REF!="Ja",VLOOKUP(A519,'[1]ZArtefakte aus Listen'!A:D,4,0),"")</f>
        <v>#REF!</v>
      </c>
    </row>
    <row r="520" spans="1:17" ht="12.6" hidden="1">
      <c r="A520" s="1" t="s">
        <v>1123</v>
      </c>
      <c r="B520" s="1" t="str">
        <f>VLOOKUP(A520,'Z-Programme'!$A$2:$A$650,1,FALSE)</f>
        <v>ZSD_LAGKOM2</v>
      </c>
      <c r="C520" s="1" t="s">
        <v>1124</v>
      </c>
      <c r="D520" s="1" t="s">
        <v>1533</v>
      </c>
      <c r="E520" s="1" t="s">
        <v>1633</v>
      </c>
      <c r="F520" s="1" t="s">
        <v>1549</v>
      </c>
      <c r="G520" s="1" t="s">
        <v>1797</v>
      </c>
      <c r="J520" s="5"/>
      <c r="K520" s="58" t="s">
        <v>1573</v>
      </c>
      <c r="N520" s="1" t="e">
        <f>IF(#REF!="Ja",VLOOKUP(A520,'[1]ZArtefakte aus Listen'!A:B,2,0),"")</f>
        <v>#REF!</v>
      </c>
      <c r="Q520" s="1" t="e">
        <f>IF(#REF!="Ja",VLOOKUP(A520,'[1]ZArtefakte aus Listen'!A:D,4,0),"")</f>
        <v>#REF!</v>
      </c>
    </row>
    <row r="521" spans="1:17" ht="12.6" hidden="1">
      <c r="A521" s="1" t="s">
        <v>1125</v>
      </c>
      <c r="B521" s="1" t="str">
        <f>VLOOKUP(A521,'Z-Programme'!$A$2:$A$650,1,FALSE)</f>
        <v>ZSD_LIEF_WOCHTAG</v>
      </c>
      <c r="C521" s="1" t="s">
        <v>1126</v>
      </c>
      <c r="D521" s="1" t="s">
        <v>1533</v>
      </c>
      <c r="E521" s="1" t="s">
        <v>1534</v>
      </c>
      <c r="F521" s="1" t="s">
        <v>1544</v>
      </c>
      <c r="J521" s="5" t="s">
        <v>1536</v>
      </c>
      <c r="K521" s="1" t="s">
        <v>1537</v>
      </c>
      <c r="L521" s="1" t="s">
        <v>1756</v>
      </c>
      <c r="N521" s="1" t="e">
        <f>IF(#REF!="Ja",VLOOKUP(A521,'[1]ZArtefakte aus Listen'!A:B,2,0),"")</f>
        <v>#REF!</v>
      </c>
      <c r="Q521" s="1" t="e">
        <f>IF(#REF!="Ja",VLOOKUP(A521,'[1]ZArtefakte aus Listen'!A:D,4,0),"")</f>
        <v>#REF!</v>
      </c>
    </row>
    <row r="522" spans="1:17" ht="12.6" hidden="1">
      <c r="A522" s="1" t="s">
        <v>1127</v>
      </c>
      <c r="B522" s="1" t="str">
        <f>VLOOKUP(A522,'Z-Programme'!$A$2:$A$650,1,FALSE)</f>
        <v>ZSD_LOGM</v>
      </c>
      <c r="C522" s="1" t="s">
        <v>1128</v>
      </c>
      <c r="D522" s="1" t="s">
        <v>1548</v>
      </c>
      <c r="E522" s="1" t="s">
        <v>1540</v>
      </c>
      <c r="F522" s="1" t="s">
        <v>1616</v>
      </c>
      <c r="J522" s="5" t="s">
        <v>1536</v>
      </c>
      <c r="K522" s="1" t="s">
        <v>1542</v>
      </c>
      <c r="L522" s="1" t="s">
        <v>1798</v>
      </c>
      <c r="N522" s="1" t="e">
        <f>IF(#REF!="Ja",VLOOKUP(A522,'[1]ZArtefakte aus Listen'!A:B,2,0),"")</f>
        <v>#REF!</v>
      </c>
      <c r="Q522" s="1" t="e">
        <f>IF(#REF!="Ja",VLOOKUP(A522,'[1]ZArtefakte aus Listen'!A:D,4,0),"")</f>
        <v>#REF!</v>
      </c>
    </row>
    <row r="523" spans="1:17" ht="12.6" hidden="1">
      <c r="A523" s="1" t="s">
        <v>1129</v>
      </c>
      <c r="B523" s="1" t="str">
        <f>VLOOKUP(A523,'Z-Programme'!$A$2:$A$650,1,FALSE)</f>
        <v>ZSD_LRG_AOBJD</v>
      </c>
      <c r="C523" s="1" t="s">
        <v>1130</v>
      </c>
      <c r="D523" s="1" t="s">
        <v>1533</v>
      </c>
      <c r="E523" s="1" t="s">
        <v>1633</v>
      </c>
      <c r="F523" s="1" t="s">
        <v>1549</v>
      </c>
      <c r="G523" s="1" t="s">
        <v>1799</v>
      </c>
      <c r="J523" s="5"/>
      <c r="K523" s="58" t="s">
        <v>1573</v>
      </c>
      <c r="N523" s="1" t="e">
        <f>IF(#REF!="Ja",VLOOKUP(A523,'[1]ZArtefakte aus Listen'!A:B,2,0),"")</f>
        <v>#REF!</v>
      </c>
      <c r="Q523" s="1" t="e">
        <f>IF(#REF!="Ja",VLOOKUP(A523,'[1]ZArtefakte aus Listen'!A:D,4,0),"")</f>
        <v>#REF!</v>
      </c>
    </row>
    <row r="524" spans="1:17" ht="12.6" hidden="1">
      <c r="A524" s="1" t="s">
        <v>1131</v>
      </c>
      <c r="B524" s="1" t="str">
        <f>VLOOKUP(A524,'Z-Programme'!$A$2:$A$650,1,FALSE)</f>
        <v>ZSD_LRG_AOBJR</v>
      </c>
      <c r="C524" s="1" t="s">
        <v>1132</v>
      </c>
      <c r="D524" s="1" t="s">
        <v>1533</v>
      </c>
      <c r="E524" s="1" t="s">
        <v>1633</v>
      </c>
      <c r="F524" s="1" t="s">
        <v>1549</v>
      </c>
      <c r="G524" s="1" t="s">
        <v>1799</v>
      </c>
      <c r="J524" s="5"/>
      <c r="K524" s="58" t="s">
        <v>1573</v>
      </c>
      <c r="N524" s="1" t="e">
        <f>IF(#REF!="Ja",VLOOKUP(A524,'[1]ZArtefakte aus Listen'!A:B,2,0),"")</f>
        <v>#REF!</v>
      </c>
      <c r="Q524" s="1" t="e">
        <f>IF(#REF!="Ja",VLOOKUP(A524,'[1]ZArtefakte aus Listen'!A:D,4,0),"")</f>
        <v>#REF!</v>
      </c>
    </row>
    <row r="525" spans="1:17" ht="12.6" hidden="1">
      <c r="A525" s="1" t="s">
        <v>1133</v>
      </c>
      <c r="B525" s="1" t="str">
        <f>VLOOKUP(A525,'Z-Programme'!$A$2:$A$650,1,FALSE)</f>
        <v>ZSD_LRG_AOBJW</v>
      </c>
      <c r="C525" s="1" t="s">
        <v>1134</v>
      </c>
      <c r="D525" s="1" t="s">
        <v>1533</v>
      </c>
      <c r="E525" s="1" t="s">
        <v>1633</v>
      </c>
      <c r="F525" s="1" t="s">
        <v>1549</v>
      </c>
      <c r="G525" s="1" t="s">
        <v>1799</v>
      </c>
      <c r="J525" s="5"/>
      <c r="K525" s="58" t="s">
        <v>1573</v>
      </c>
      <c r="N525" s="1" t="e">
        <f>IF(#REF!="Ja",VLOOKUP(A525,'[1]ZArtefakte aus Listen'!A:B,2,0),"")</f>
        <v>#REF!</v>
      </c>
      <c r="Q525" s="1" t="e">
        <f>IF(#REF!="Ja",VLOOKUP(A525,'[1]ZArtefakte aus Listen'!A:D,4,0),"")</f>
        <v>#REF!</v>
      </c>
    </row>
    <row r="526" spans="1:17" ht="12.6" hidden="1">
      <c r="A526" s="1" t="s">
        <v>1135</v>
      </c>
      <c r="B526" s="1" t="str">
        <f>VLOOKUP(A526,'Z-Programme'!$A$2:$A$650,1,FALSE)</f>
        <v>ZSD_LRG_CHECK_EINSAETZE_EXT</v>
      </c>
      <c r="C526" s="1" t="s">
        <v>1136</v>
      </c>
      <c r="D526" s="1" t="s">
        <v>1533</v>
      </c>
      <c r="E526" s="1" t="s">
        <v>1633</v>
      </c>
      <c r="F526" s="1" t="s">
        <v>1549</v>
      </c>
      <c r="G526" s="1" t="s">
        <v>1799</v>
      </c>
      <c r="J526" s="5"/>
      <c r="K526" s="58" t="s">
        <v>1573</v>
      </c>
      <c r="N526" s="1" t="e">
        <f>IF(#REF!="Ja",VLOOKUP(A526,'[1]ZArtefakte aus Listen'!A:B,2,0),"")</f>
        <v>#REF!</v>
      </c>
      <c r="Q526" s="1" t="e">
        <f>IF(#REF!="Ja",VLOOKUP(A526,'[1]ZArtefakte aus Listen'!A:D,4,0),"")</f>
        <v>#REF!</v>
      </c>
    </row>
    <row r="527" spans="1:17" ht="12.6" hidden="1">
      <c r="A527" s="1" t="s">
        <v>1137</v>
      </c>
      <c r="B527" s="1" t="str">
        <f>VLOOKUP(A527,'Z-Programme'!$A$2:$A$650,1,FALSE)</f>
        <v>ZSD_LRG_CHECK_EINSAETZE_INT</v>
      </c>
      <c r="C527" s="1" t="s">
        <v>1138</v>
      </c>
      <c r="D527" s="1" t="s">
        <v>1533</v>
      </c>
      <c r="E527" s="1" t="s">
        <v>1633</v>
      </c>
      <c r="F527" s="1" t="s">
        <v>1549</v>
      </c>
      <c r="G527" s="1" t="s">
        <v>1799</v>
      </c>
      <c r="J527" s="5"/>
      <c r="K527" s="58" t="s">
        <v>1573</v>
      </c>
      <c r="N527" s="1" t="e">
        <f>IF(#REF!="Ja",VLOOKUP(A527,'[1]ZArtefakte aus Listen'!A:B,2,0),"")</f>
        <v>#REF!</v>
      </c>
      <c r="Q527" s="1" t="e">
        <f>IF(#REF!="Ja",VLOOKUP(A527,'[1]ZArtefakte aus Listen'!A:D,4,0),"")</f>
        <v>#REF!</v>
      </c>
    </row>
    <row r="528" spans="1:17" ht="12.6" hidden="1">
      <c r="A528" s="1" t="s">
        <v>1139</v>
      </c>
      <c r="B528" s="1" t="str">
        <f>VLOOKUP(A528,'Z-Programme'!$A$2:$A$650,1,FALSE)</f>
        <v>ZSD_LRG_DF01</v>
      </c>
      <c r="C528" s="1" t="s">
        <v>1140</v>
      </c>
      <c r="D528" s="1" t="s">
        <v>1533</v>
      </c>
      <c r="E528" s="1" t="s">
        <v>1633</v>
      </c>
      <c r="F528" s="1" t="s">
        <v>1549</v>
      </c>
      <c r="G528" s="1" t="s">
        <v>1799</v>
      </c>
      <c r="J528" s="5"/>
      <c r="K528" s="58" t="s">
        <v>1573</v>
      </c>
      <c r="N528" s="1" t="e">
        <f>IF(#REF!="Ja",VLOOKUP(A528,'[1]ZArtefakte aus Listen'!A:B,2,0),"")</f>
        <v>#REF!</v>
      </c>
      <c r="Q528" s="1" t="e">
        <f>IF(#REF!="Ja",VLOOKUP(A528,'[1]ZArtefakte aus Listen'!A:D,4,0),"")</f>
        <v>#REF!</v>
      </c>
    </row>
    <row r="529" spans="1:17" ht="12.6" hidden="1">
      <c r="A529" s="1" t="s">
        <v>1141</v>
      </c>
      <c r="B529" s="1" t="str">
        <f>VLOOKUP(A529,'Z-Programme'!$A$2:$A$650,1,FALSE)</f>
        <v>ZSD_LRG_DFUE_CK</v>
      </c>
      <c r="C529" s="1" t="s">
        <v>1142</v>
      </c>
      <c r="D529" s="1" t="s">
        <v>1533</v>
      </c>
      <c r="E529" s="1" t="s">
        <v>1633</v>
      </c>
      <c r="F529" s="1" t="s">
        <v>1549</v>
      </c>
      <c r="G529" s="1" t="s">
        <v>1799</v>
      </c>
      <c r="J529" s="5"/>
      <c r="K529" s="58" t="s">
        <v>1573</v>
      </c>
      <c r="N529" s="1" t="e">
        <f>IF(#REF!="Ja",VLOOKUP(A529,'[1]ZArtefakte aus Listen'!A:B,2,0),"")</f>
        <v>#REF!</v>
      </c>
      <c r="Q529" s="1" t="e">
        <f>IF(#REF!="Ja",VLOOKUP(A529,'[1]ZArtefakte aus Listen'!A:D,4,0),"")</f>
        <v>#REF!</v>
      </c>
    </row>
    <row r="530" spans="1:17" ht="12.6" hidden="1">
      <c r="A530" s="1" t="s">
        <v>1143</v>
      </c>
      <c r="B530" s="1" t="str">
        <f>VLOOKUP(A530,'Z-Programme'!$A$2:$A$650,1,FALSE)</f>
        <v>ZSD_LRG_KASSEN_DAV_AUSWERTUNG</v>
      </c>
      <c r="C530" s="1" t="s">
        <v>1144</v>
      </c>
      <c r="D530" s="1" t="s">
        <v>1533</v>
      </c>
      <c r="E530" s="1" t="s">
        <v>1633</v>
      </c>
      <c r="F530" s="1" t="s">
        <v>1549</v>
      </c>
      <c r="G530" s="1" t="s">
        <v>1799</v>
      </c>
      <c r="J530" s="5"/>
      <c r="K530" s="58" t="s">
        <v>1573</v>
      </c>
      <c r="N530" s="1" t="e">
        <f>IF(#REF!="Ja",VLOOKUP(A530,'[1]ZArtefakte aus Listen'!A:B,2,0),"")</f>
        <v>#REF!</v>
      </c>
      <c r="Q530" s="1" t="e">
        <f>IF(#REF!="Ja",VLOOKUP(A530,'[1]ZArtefakte aus Listen'!A:D,4,0),"")</f>
        <v>#REF!</v>
      </c>
    </row>
    <row r="531" spans="1:17" ht="12.6" hidden="1">
      <c r="A531" s="1" t="s">
        <v>1145</v>
      </c>
      <c r="B531" s="1" t="str">
        <f>VLOOKUP(A531,'Z-Programme'!$A$2:$A$650,1,FALSE)</f>
        <v>ZSD_LRG_OP</v>
      </c>
      <c r="C531" s="1" t="s">
        <v>1146</v>
      </c>
      <c r="D531" s="1" t="s">
        <v>1533</v>
      </c>
      <c r="E531" s="1" t="s">
        <v>1633</v>
      </c>
      <c r="F531" s="1" t="s">
        <v>1549</v>
      </c>
      <c r="G531" s="1" t="s">
        <v>1799</v>
      </c>
      <c r="J531" s="5"/>
      <c r="K531" s="58" t="s">
        <v>1573</v>
      </c>
      <c r="N531" s="1" t="e">
        <f>IF(#REF!="Ja",VLOOKUP(A531,'[1]ZArtefakte aus Listen'!A:B,2,0),"")</f>
        <v>#REF!</v>
      </c>
      <c r="Q531" s="1" t="e">
        <f>IF(#REF!="Ja",VLOOKUP(A531,'[1]ZArtefakte aus Listen'!A:D,4,0),"")</f>
        <v>#REF!</v>
      </c>
    </row>
    <row r="532" spans="1:17" ht="12.6" hidden="1">
      <c r="A532" s="1" t="s">
        <v>1147</v>
      </c>
      <c r="B532" s="1" t="str">
        <f>VLOOKUP(A532,'Z-Programme'!$A$2:$A$650,1,FALSE)</f>
        <v>ZSD_LRGA</v>
      </c>
      <c r="C532" s="1" t="s">
        <v>1148</v>
      </c>
      <c r="D532" s="1" t="s">
        <v>1533</v>
      </c>
      <c r="E532" s="1" t="s">
        <v>1633</v>
      </c>
      <c r="F532" s="1" t="s">
        <v>1549</v>
      </c>
      <c r="G532" s="1" t="s">
        <v>1800</v>
      </c>
      <c r="K532" s="58" t="s">
        <v>1573</v>
      </c>
      <c r="N532" s="1" t="e">
        <f>IF(#REF!="Ja",VLOOKUP(A532,'[1]ZArtefakte aus Listen'!A:B,2,0),"")</f>
        <v>#REF!</v>
      </c>
      <c r="P532" s="58"/>
      <c r="Q532" s="1" t="e">
        <f>IF(#REF!="Ja",VLOOKUP(A532,'[1]ZArtefakte aus Listen'!A:D,4,0),"")</f>
        <v>#REF!</v>
      </c>
    </row>
    <row r="533" spans="1:17" ht="12.6" hidden="1">
      <c r="A533" s="1" t="s">
        <v>1149</v>
      </c>
      <c r="B533" s="1" t="str">
        <f>VLOOKUP(A533,'Z-Programme'!$A$2:$A$650,1,FALSE)</f>
        <v>ZSD_LRGD</v>
      </c>
      <c r="C533" s="1" t="s">
        <v>1150</v>
      </c>
      <c r="D533" s="1" t="s">
        <v>1548</v>
      </c>
      <c r="E533" s="1" t="s">
        <v>1633</v>
      </c>
      <c r="F533" s="1" t="s">
        <v>1549</v>
      </c>
      <c r="G533" s="1" t="s">
        <v>1801</v>
      </c>
      <c r="K533" s="58" t="s">
        <v>1573</v>
      </c>
      <c r="N533" s="1" t="e">
        <f>IF(#REF!="Ja",VLOOKUP(A533,'[1]ZArtefakte aus Listen'!A:B,2,0),"")</f>
        <v>#REF!</v>
      </c>
      <c r="Q533" s="1" t="e">
        <f>IF(#REF!="Ja",VLOOKUP(A533,'[1]ZArtefakte aus Listen'!A:D,4,0),"")</f>
        <v>#REF!</v>
      </c>
    </row>
    <row r="534" spans="1:17" ht="12.6" hidden="1">
      <c r="A534" s="1" t="s">
        <v>1151</v>
      </c>
      <c r="B534" s="1" t="str">
        <f>VLOOKUP(A534,'Z-Programme'!$A$2:$A$650,1,FALSE)</f>
        <v>ZSD_LRGE</v>
      </c>
      <c r="C534" s="1" t="s">
        <v>1153</v>
      </c>
      <c r="D534" s="1" t="s">
        <v>1533</v>
      </c>
      <c r="E534" s="1" t="s">
        <v>1633</v>
      </c>
      <c r="F534" s="1" t="s">
        <v>1549</v>
      </c>
      <c r="G534" s="1" t="s">
        <v>1799</v>
      </c>
      <c r="J534" s="5"/>
      <c r="K534" s="58" t="s">
        <v>1573</v>
      </c>
      <c r="N534" s="1" t="e">
        <f>IF(#REF!="Ja",VLOOKUP(A534,'[1]ZArtefakte aus Listen'!A:B,2,0),"")</f>
        <v>#REF!</v>
      </c>
      <c r="Q534" s="1" t="e">
        <f>IF(#REF!="Ja",VLOOKUP(A534,'[1]ZArtefakte aus Listen'!A:D,4,0),"")</f>
        <v>#REF!</v>
      </c>
    </row>
    <row r="535" spans="1:17" ht="12.6" hidden="1">
      <c r="A535" s="1" t="s">
        <v>1154</v>
      </c>
      <c r="B535" s="1" t="str">
        <f>VLOOKUP(A535,'Z-Programme'!$A$2:$A$650,1,FALSE)</f>
        <v>ZSD_LRGF</v>
      </c>
      <c r="C535" s="1" t="s">
        <v>1155</v>
      </c>
      <c r="D535" s="1" t="s">
        <v>1533</v>
      </c>
      <c r="E535" s="1" t="s">
        <v>1633</v>
      </c>
      <c r="F535" s="1" t="s">
        <v>1549</v>
      </c>
      <c r="G535" s="1" t="s">
        <v>1801</v>
      </c>
      <c r="K535" s="58" t="s">
        <v>1573</v>
      </c>
      <c r="N535" s="1" t="e">
        <f>IF(#REF!="Ja",VLOOKUP(A535,'[1]ZArtefakte aus Listen'!A:B,2,0),"")</f>
        <v>#REF!</v>
      </c>
      <c r="P535" s="58"/>
      <c r="Q535" s="1" t="e">
        <f>IF(#REF!="Ja",VLOOKUP(A535,'[1]ZArtefakte aus Listen'!A:D,4,0),"")</f>
        <v>#REF!</v>
      </c>
    </row>
    <row r="536" spans="1:17" ht="12.6" hidden="1">
      <c r="A536" s="1" t="s">
        <v>1156</v>
      </c>
      <c r="B536" s="1" t="str">
        <f>VLOOKUP(A536,'Z-Programme'!$A$2:$A$650,1,FALSE)</f>
        <v>ZSD_LRGK</v>
      </c>
      <c r="C536" s="1" t="s">
        <v>1157</v>
      </c>
      <c r="D536" s="1" t="s">
        <v>1533</v>
      </c>
      <c r="E536" s="1" t="s">
        <v>1633</v>
      </c>
      <c r="F536" s="1" t="s">
        <v>1549</v>
      </c>
      <c r="G536" s="1" t="s">
        <v>1799</v>
      </c>
      <c r="J536" s="5"/>
      <c r="K536" s="58" t="s">
        <v>1573</v>
      </c>
      <c r="N536" s="1" t="e">
        <f>IF(#REF!="Ja",VLOOKUP(A536,'[1]ZArtefakte aus Listen'!A:B,2,0),"")</f>
        <v>#REF!</v>
      </c>
      <c r="Q536" s="1" t="e">
        <f>IF(#REF!="Ja",VLOOKUP(A536,'[1]ZArtefakte aus Listen'!A:D,4,0),"")</f>
        <v>#REF!</v>
      </c>
    </row>
    <row r="537" spans="1:17" ht="12.6" hidden="1">
      <c r="A537" s="1" t="s">
        <v>1158</v>
      </c>
      <c r="B537" s="1" t="str">
        <f>VLOOKUP(A537,'Z-Programme'!$A$2:$A$650,1,FALSE)</f>
        <v>ZSD_LRGL_01</v>
      </c>
      <c r="C537" s="1" t="s">
        <v>1159</v>
      </c>
      <c r="D537" s="1" t="s">
        <v>1533</v>
      </c>
      <c r="E537" s="1" t="s">
        <v>1633</v>
      </c>
      <c r="F537" s="1" t="s">
        <v>1549</v>
      </c>
      <c r="G537" s="1" t="s">
        <v>1802</v>
      </c>
      <c r="K537" s="58" t="s">
        <v>1573</v>
      </c>
      <c r="N537" s="1" t="e">
        <f>IF(#REF!="Ja",VLOOKUP(A537,'[1]ZArtefakte aus Listen'!A:B,2,0),"")</f>
        <v>#REF!</v>
      </c>
      <c r="Q537" s="1" t="e">
        <f>IF(#REF!="Ja",VLOOKUP(A537,'[1]ZArtefakte aus Listen'!A:D,4,0),"")</f>
        <v>#REF!</v>
      </c>
    </row>
    <row r="538" spans="1:17" ht="12.6" hidden="1">
      <c r="A538" s="1" t="s">
        <v>1160</v>
      </c>
      <c r="B538" s="1" t="str">
        <f>VLOOKUP(A538,'Z-Programme'!$A$2:$A$650,1,FALSE)</f>
        <v>ZSD_LRGM</v>
      </c>
      <c r="C538" s="1" t="s">
        <v>1161</v>
      </c>
      <c r="D538" s="1" t="s">
        <v>1548</v>
      </c>
      <c r="E538" s="1" t="s">
        <v>1633</v>
      </c>
      <c r="F538" s="1" t="s">
        <v>1549</v>
      </c>
      <c r="G538" s="1" t="s">
        <v>1801</v>
      </c>
      <c r="K538" s="58" t="s">
        <v>1573</v>
      </c>
      <c r="N538" s="1" t="e">
        <f>IF(#REF!="Ja",VLOOKUP(A538,'[1]ZArtefakte aus Listen'!A:B,2,0),"")</f>
        <v>#REF!</v>
      </c>
      <c r="Q538" s="1" t="e">
        <f>IF(#REF!="Ja",VLOOKUP(A538,'[1]ZArtefakte aus Listen'!A:D,4,0),"")</f>
        <v>#REF!</v>
      </c>
    </row>
    <row r="539" spans="1:17" ht="12.6" hidden="1">
      <c r="A539" s="1" t="s">
        <v>1162</v>
      </c>
      <c r="B539" s="1" t="str">
        <f>VLOOKUP(A539,'Z-Programme'!$A$2:$A$650,1,FALSE)</f>
        <v>ZSD_LRGN</v>
      </c>
      <c r="C539" s="1" t="s">
        <v>1163</v>
      </c>
      <c r="D539" s="1" t="s">
        <v>1533</v>
      </c>
      <c r="E539" s="1" t="s">
        <v>1633</v>
      </c>
      <c r="F539" s="1" t="s">
        <v>1549</v>
      </c>
      <c r="G539" s="1" t="s">
        <v>1799</v>
      </c>
      <c r="J539" s="5"/>
      <c r="K539" s="58" t="s">
        <v>1573</v>
      </c>
      <c r="N539" s="1" t="e">
        <f>IF(#REF!="Ja",VLOOKUP(A539,'[1]ZArtefakte aus Listen'!A:B,2,0),"")</f>
        <v>#REF!</v>
      </c>
      <c r="Q539" s="1" t="e">
        <f>IF(#REF!="Ja",VLOOKUP(A539,'[1]ZArtefakte aus Listen'!A:D,4,0),"")</f>
        <v>#REF!</v>
      </c>
    </row>
    <row r="540" spans="1:17" ht="12.6" hidden="1">
      <c r="A540" s="1" t="s">
        <v>1164</v>
      </c>
      <c r="B540" s="1" t="str">
        <f>VLOOKUP(A540,'Z-Programme'!$A$2:$A$650,1,FALSE)</f>
        <v>ZSD_LRGP</v>
      </c>
      <c r="C540" s="1" t="s">
        <v>1165</v>
      </c>
      <c r="D540" s="1" t="s">
        <v>1533</v>
      </c>
      <c r="E540" s="1" t="s">
        <v>1633</v>
      </c>
      <c r="F540" s="1" t="s">
        <v>1549</v>
      </c>
      <c r="G540" s="1" t="s">
        <v>1799</v>
      </c>
      <c r="J540" s="5"/>
      <c r="K540" s="58" t="s">
        <v>1573</v>
      </c>
      <c r="N540" s="1" t="e">
        <f>IF(#REF!="Ja",VLOOKUP(A540,'[1]ZArtefakte aus Listen'!A:B,2,0),"")</f>
        <v>#REF!</v>
      </c>
      <c r="Q540" s="1" t="e">
        <f>IF(#REF!="Ja",VLOOKUP(A540,'[1]ZArtefakte aus Listen'!A:D,4,0),"")</f>
        <v>#REF!</v>
      </c>
    </row>
    <row r="541" spans="1:17" ht="12.6" hidden="1">
      <c r="A541" s="1" t="s">
        <v>1166</v>
      </c>
      <c r="B541" s="1" t="str">
        <f>VLOOKUP(A541,'Z-Programme'!$A$2:$A$650,1,FALSE)</f>
        <v>ZSD_LRGR</v>
      </c>
      <c r="C541" s="1" t="s">
        <v>1167</v>
      </c>
      <c r="D541" s="1" t="s">
        <v>1533</v>
      </c>
      <c r="E541" s="1" t="s">
        <v>1633</v>
      </c>
      <c r="F541" s="1" t="s">
        <v>1549</v>
      </c>
      <c r="G541" s="1" t="s">
        <v>1799</v>
      </c>
      <c r="J541" s="5"/>
      <c r="K541" s="58" t="s">
        <v>1573</v>
      </c>
      <c r="N541" s="1" t="e">
        <f>IF(#REF!="Ja",VLOOKUP(A541,'[1]ZArtefakte aus Listen'!A:B,2,0),"")</f>
        <v>#REF!</v>
      </c>
      <c r="Q541" s="1" t="e">
        <f>IF(#REF!="Ja",VLOOKUP(A541,'[1]ZArtefakte aus Listen'!A:D,4,0),"")</f>
        <v>#REF!</v>
      </c>
    </row>
    <row r="542" spans="1:17" ht="12.6" hidden="1">
      <c r="A542" s="1" t="s">
        <v>1168</v>
      </c>
      <c r="B542" s="1" t="str">
        <f>VLOOKUP(A542,'Z-Programme'!$A$2:$A$650,1,FALSE)</f>
        <v>ZSD_LRGS</v>
      </c>
      <c r="C542" s="1" t="s">
        <v>1169</v>
      </c>
      <c r="D542" s="1" t="s">
        <v>1533</v>
      </c>
      <c r="E542" s="1" t="s">
        <v>1633</v>
      </c>
      <c r="F542" s="1" t="s">
        <v>1549</v>
      </c>
      <c r="G542" s="1" t="s">
        <v>1799</v>
      </c>
      <c r="J542" s="5"/>
      <c r="K542" s="58" t="s">
        <v>1573</v>
      </c>
      <c r="N542" s="1" t="e">
        <f>IF(#REF!="Ja",VLOOKUP(A542,'[1]ZArtefakte aus Listen'!A:B,2,0),"")</f>
        <v>#REF!</v>
      </c>
      <c r="Q542" s="1" t="e">
        <f>IF(#REF!="Ja",VLOOKUP(A542,'[1]ZArtefakte aus Listen'!A:D,4,0),"")</f>
        <v>#REF!</v>
      </c>
    </row>
    <row r="543" spans="1:17" ht="12.6" hidden="1">
      <c r="A543" s="1" t="s">
        <v>1170</v>
      </c>
      <c r="B543" s="1" t="str">
        <f>VLOOKUP(A543,'Z-Programme'!$A$2:$A$650,1,FALSE)</f>
        <v>ZSD_MAR_ADMIN</v>
      </c>
      <c r="C543" s="1" t="s">
        <v>1171</v>
      </c>
      <c r="D543" s="1" t="s">
        <v>1533</v>
      </c>
      <c r="E543" s="1" t="s">
        <v>1558</v>
      </c>
      <c r="F543" s="1" t="s">
        <v>1549</v>
      </c>
      <c r="G543" s="1" t="s">
        <v>1803</v>
      </c>
      <c r="J543" s="5"/>
      <c r="K543" s="58" t="s">
        <v>1573</v>
      </c>
      <c r="N543" s="1" t="e">
        <f>IF(#REF!="Ja",VLOOKUP(A543,'[1]ZArtefakte aus Listen'!A:B,2,0),"")</f>
        <v>#REF!</v>
      </c>
      <c r="Q543" s="1" t="e">
        <f>IF(#REF!="Ja",VLOOKUP(A543,'[1]ZArtefakte aus Listen'!A:D,4,0),"")</f>
        <v>#REF!</v>
      </c>
    </row>
    <row r="544" spans="1:17" ht="12.6" hidden="1">
      <c r="A544" s="1" t="s">
        <v>1172</v>
      </c>
      <c r="B544" s="1" t="str">
        <f>VLOOKUP(A544,'Z-Programme'!$A$2:$A$650,1,FALSE)</f>
        <v>ZSD_MAR_BASIS</v>
      </c>
      <c r="C544" s="1" t="s">
        <v>1173</v>
      </c>
      <c r="D544" s="1" t="s">
        <v>1533</v>
      </c>
      <c r="E544" s="1" t="s">
        <v>1558</v>
      </c>
      <c r="F544" s="1" t="s">
        <v>1549</v>
      </c>
      <c r="G544" s="1" t="s">
        <v>1803</v>
      </c>
      <c r="J544" s="5"/>
      <c r="K544" s="58" t="s">
        <v>1573</v>
      </c>
      <c r="N544" s="1" t="e">
        <f>IF(#REF!="Ja",VLOOKUP(A544,'[1]ZArtefakte aus Listen'!A:B,2,0),"")</f>
        <v>#REF!</v>
      </c>
      <c r="Q544" s="1" t="e">
        <f>IF(#REF!="Ja",VLOOKUP(A544,'[1]ZArtefakte aus Listen'!A:D,4,0),"")</f>
        <v>#REF!</v>
      </c>
    </row>
    <row r="545" spans="1:17" ht="12.6" hidden="1">
      <c r="A545" s="1" t="s">
        <v>1174</v>
      </c>
      <c r="B545" s="1" t="str">
        <f>VLOOKUP(A545,'Z-Programme'!$A$2:$A$650,1,FALSE)</f>
        <v>ZSD_MAR_BELEGHIS</v>
      </c>
      <c r="C545" s="1" t="s">
        <v>1175</v>
      </c>
      <c r="D545" s="1" t="s">
        <v>1533</v>
      </c>
      <c r="E545" s="1" t="s">
        <v>1558</v>
      </c>
      <c r="F545" s="1" t="s">
        <v>1549</v>
      </c>
      <c r="G545" s="1" t="s">
        <v>1803</v>
      </c>
      <c r="J545" s="5"/>
      <c r="K545" s="58" t="s">
        <v>1573</v>
      </c>
      <c r="N545" s="1" t="e">
        <f>IF(#REF!="Ja",VLOOKUP(A545,'[1]ZArtefakte aus Listen'!A:B,2,0),"")</f>
        <v>#REF!</v>
      </c>
      <c r="Q545" s="1" t="e">
        <f>IF(#REF!="Ja",VLOOKUP(A545,'[1]ZArtefakte aus Listen'!A:D,4,0),"")</f>
        <v>#REF!</v>
      </c>
    </row>
    <row r="546" spans="1:17" ht="12.6" hidden="1">
      <c r="A546" s="1" t="s">
        <v>1176</v>
      </c>
      <c r="B546" s="1" t="str">
        <f>VLOOKUP(A546,'Z-Programme'!$A$2:$A$650,1,FALSE)</f>
        <v>ZSD_MAR_DRUCK</v>
      </c>
      <c r="C546" s="1" t="s">
        <v>1177</v>
      </c>
      <c r="D546" s="1" t="s">
        <v>1533</v>
      </c>
      <c r="E546" s="1" t="s">
        <v>1558</v>
      </c>
      <c r="F546" s="1" t="s">
        <v>1549</v>
      </c>
      <c r="G546" s="1" t="s">
        <v>1803</v>
      </c>
      <c r="J546" s="5"/>
      <c r="K546" s="58" t="s">
        <v>1573</v>
      </c>
      <c r="N546" s="1" t="e">
        <f>IF(#REF!="Ja",VLOOKUP(A546,'[1]ZArtefakte aus Listen'!A:B,2,0),"")</f>
        <v>#REF!</v>
      </c>
      <c r="Q546" s="1" t="e">
        <f>IF(#REF!="Ja",VLOOKUP(A546,'[1]ZArtefakte aus Listen'!A:D,4,0),"")</f>
        <v>#REF!</v>
      </c>
    </row>
    <row r="547" spans="1:17" ht="12.6" hidden="1">
      <c r="A547" s="1" t="s">
        <v>1178</v>
      </c>
      <c r="B547" s="1" t="str">
        <f>VLOOKUP(A547,'Z-Programme'!$A$2:$A$650,1,FALSE)</f>
        <v>ZSD_MAR_FI</v>
      </c>
      <c r="C547" s="1" t="s">
        <v>1179</v>
      </c>
      <c r="D547" s="1" t="s">
        <v>1533</v>
      </c>
      <c r="E547" s="1" t="s">
        <v>1558</v>
      </c>
      <c r="F547" s="1" t="s">
        <v>1549</v>
      </c>
      <c r="G547" s="1" t="s">
        <v>1803</v>
      </c>
      <c r="J547" s="5"/>
      <c r="K547" s="58" t="s">
        <v>1573</v>
      </c>
      <c r="N547" s="1" t="e">
        <f>IF(#REF!="Ja",VLOOKUP(A547,'[1]ZArtefakte aus Listen'!A:B,2,0),"")</f>
        <v>#REF!</v>
      </c>
      <c r="Q547" s="1" t="e">
        <f>IF(#REF!="Ja",VLOOKUP(A547,'[1]ZArtefakte aus Listen'!A:D,4,0),"")</f>
        <v>#REF!</v>
      </c>
    </row>
    <row r="548" spans="1:17" ht="12.6" hidden="1">
      <c r="A548" s="1" t="s">
        <v>1180</v>
      </c>
      <c r="B548" s="1" t="str">
        <f>VLOOKUP(A548,'Z-Programme'!$A$2:$A$650,1,FALSE)</f>
        <v>ZSD_MAR_IMPORT</v>
      </c>
      <c r="C548" s="1" t="s">
        <v>1181</v>
      </c>
      <c r="D548" s="1" t="s">
        <v>1533</v>
      </c>
      <c r="E548" s="1" t="s">
        <v>1558</v>
      </c>
      <c r="F548" s="1" t="s">
        <v>1549</v>
      </c>
      <c r="G548" s="1" t="s">
        <v>1803</v>
      </c>
      <c r="J548" s="5"/>
      <c r="K548" s="58" t="s">
        <v>1573</v>
      </c>
      <c r="N548" s="1" t="e">
        <f>IF(#REF!="Ja",VLOOKUP(A548,'[1]ZArtefakte aus Listen'!A:B,2,0),"")</f>
        <v>#REF!</v>
      </c>
      <c r="Q548" s="1" t="e">
        <f>IF(#REF!="Ja",VLOOKUP(A548,'[1]ZArtefakte aus Listen'!A:D,4,0),"")</f>
        <v>#REF!</v>
      </c>
    </row>
    <row r="549" spans="1:17" ht="12.6" hidden="1">
      <c r="A549" s="1" t="s">
        <v>1182</v>
      </c>
      <c r="B549" s="1" t="str">
        <f>VLOOKUP(A549,'Z-Programme'!$A$2:$A$650,1,FALSE)</f>
        <v>ZSD_MAR_RECH_EMAIL_SEND</v>
      </c>
      <c r="C549" s="1" t="s">
        <v>132</v>
      </c>
      <c r="D549" s="1" t="s">
        <v>1533</v>
      </c>
      <c r="E549" s="1" t="s">
        <v>1558</v>
      </c>
      <c r="F549" s="1" t="s">
        <v>1549</v>
      </c>
      <c r="G549" s="1" t="s">
        <v>1803</v>
      </c>
      <c r="J549" s="5"/>
      <c r="K549" s="58" t="s">
        <v>1573</v>
      </c>
      <c r="N549" s="1" t="e">
        <f>IF(#REF!="Ja",VLOOKUP(A549,'[1]ZArtefakte aus Listen'!A:B,2,0),"")</f>
        <v>#REF!</v>
      </c>
      <c r="Q549" s="1" t="e">
        <f>IF(#REF!="Ja",VLOOKUP(A549,'[1]ZArtefakte aus Listen'!A:D,4,0),"")</f>
        <v>#REF!</v>
      </c>
    </row>
    <row r="550" spans="1:17" ht="12.6" hidden="1">
      <c r="A550" s="1" t="s">
        <v>1183</v>
      </c>
      <c r="B550" s="1" t="str">
        <f>VLOOKUP(A550,'Z-Programme'!$A$2:$A$650,1,FALSE)</f>
        <v>ZSD_MAR_USR_STAT</v>
      </c>
      <c r="C550" s="1" t="s">
        <v>1184</v>
      </c>
      <c r="D550" s="1" t="s">
        <v>1533</v>
      </c>
      <c r="E550" s="1" t="s">
        <v>1558</v>
      </c>
      <c r="F550" s="1" t="s">
        <v>1549</v>
      </c>
      <c r="G550" s="1" t="s">
        <v>1803</v>
      </c>
      <c r="J550" s="5"/>
      <c r="K550" s="58" t="s">
        <v>1573</v>
      </c>
      <c r="N550" s="1" t="e">
        <f>IF(#REF!="Ja",VLOOKUP(A550,'[1]ZArtefakte aus Listen'!A:B,2,0),"")</f>
        <v>#REF!</v>
      </c>
      <c r="Q550" s="1" t="e">
        <f>IF(#REF!="Ja",VLOOKUP(A550,'[1]ZArtefakte aus Listen'!A:D,4,0),"")</f>
        <v>#REF!</v>
      </c>
    </row>
    <row r="551" spans="1:17" ht="12.6" hidden="1">
      <c r="A551" s="1" t="s">
        <v>1185</v>
      </c>
      <c r="B551" s="1" t="str">
        <f>VLOOKUP(A551,'Z-Programme'!$A$2:$A$650,1,FALSE)</f>
        <v>ZSD_MARA</v>
      </c>
      <c r="C551" s="1" t="s">
        <v>1186</v>
      </c>
      <c r="D551" s="1" t="s">
        <v>1548</v>
      </c>
      <c r="E551" s="1" t="s">
        <v>1558</v>
      </c>
      <c r="F551" s="1" t="s">
        <v>1549</v>
      </c>
      <c r="J551" s="5" t="s">
        <v>1536</v>
      </c>
      <c r="K551" s="1" t="s">
        <v>1542</v>
      </c>
      <c r="L551" s="1" t="s">
        <v>1804</v>
      </c>
      <c r="M551" s="5" t="s">
        <v>1536</v>
      </c>
      <c r="N551" s="1" t="e">
        <f>IF(#REF!="Ja",VLOOKUP(A551,'[1]ZArtefakte aus Listen'!A:B,2,0),"")</f>
        <v>#REF!</v>
      </c>
      <c r="Q551" s="1" t="e">
        <f>IF(#REF!="Ja",VLOOKUP(A551,'[1]ZArtefakte aus Listen'!A:D,4,0),"")</f>
        <v>#REF!</v>
      </c>
    </row>
    <row r="552" spans="1:17" ht="12.6" hidden="1">
      <c r="A552" s="1" t="s">
        <v>1187</v>
      </c>
      <c r="B552" s="1" t="str">
        <f>VLOOKUP(A552,'Z-Programme'!$A$2:$A$650,1,FALSE)</f>
        <v>ZSD_MARM</v>
      </c>
      <c r="C552" s="1" t="s">
        <v>1188</v>
      </c>
      <c r="D552" s="1" t="s">
        <v>1533</v>
      </c>
      <c r="E552" s="1" t="s">
        <v>1558</v>
      </c>
      <c r="F552" s="1" t="s">
        <v>1549</v>
      </c>
      <c r="G552" s="1" t="s">
        <v>1803</v>
      </c>
      <c r="J552" s="5"/>
      <c r="K552" s="58" t="s">
        <v>1573</v>
      </c>
      <c r="N552" s="1" t="e">
        <f>IF(#REF!="Ja",VLOOKUP(A552,'[1]ZArtefakte aus Listen'!A:B,2,0),"")</f>
        <v>#REF!</v>
      </c>
      <c r="Q552" s="1" t="e">
        <f>IF(#REF!="Ja",VLOOKUP(A552,'[1]ZArtefakte aus Listen'!A:D,4,0),"")</f>
        <v>#REF!</v>
      </c>
    </row>
    <row r="553" spans="1:17" ht="12.6" hidden="1">
      <c r="A553" s="1" t="s">
        <v>1189</v>
      </c>
      <c r="B553" s="1" t="str">
        <f>VLOOKUP(A553,'Z-Programme'!$A$2:$A$650,1,FALSE)</f>
        <v>ZSD_MARR</v>
      </c>
      <c r="C553" s="1" t="s">
        <v>1190</v>
      </c>
      <c r="D553" s="1" t="s">
        <v>1548</v>
      </c>
      <c r="E553" s="1" t="s">
        <v>1558</v>
      </c>
      <c r="F553" s="1" t="s">
        <v>1549</v>
      </c>
      <c r="J553" s="5" t="s">
        <v>1536</v>
      </c>
      <c r="K553" s="1" t="s">
        <v>1542</v>
      </c>
      <c r="L553" s="1" t="s">
        <v>1804</v>
      </c>
      <c r="M553" s="5" t="s">
        <v>1536</v>
      </c>
      <c r="N553" s="1" t="e">
        <f>IF(#REF!="Ja",VLOOKUP(A553,'[1]ZArtefakte aus Listen'!A:B,2,0),"")</f>
        <v>#REF!</v>
      </c>
      <c r="Q553" s="1" t="e">
        <f>IF(#REF!="Ja",VLOOKUP(A553,'[1]ZArtefakte aus Listen'!A:D,4,0),"")</f>
        <v>#REF!</v>
      </c>
    </row>
    <row r="554" spans="1:17" ht="12.6" hidden="1">
      <c r="A554" s="1" t="s">
        <v>1191</v>
      </c>
      <c r="B554" s="1" t="str">
        <f>VLOOKUP(A554,'Z-Programme'!$A$2:$A$650,1,FALSE)</f>
        <v>ZSD_MARV</v>
      </c>
      <c r="C554" s="1" t="s">
        <v>1192</v>
      </c>
      <c r="D554" s="1" t="s">
        <v>1533</v>
      </c>
      <c r="E554" s="1" t="s">
        <v>1558</v>
      </c>
      <c r="F554" s="1" t="s">
        <v>1549</v>
      </c>
      <c r="G554" s="1" t="s">
        <v>1803</v>
      </c>
      <c r="J554" s="5"/>
      <c r="K554" s="58" t="s">
        <v>1573</v>
      </c>
      <c r="N554" s="1" t="e">
        <f>IF(#REF!="Ja",VLOOKUP(A554,'[1]ZArtefakte aus Listen'!A:B,2,0),"")</f>
        <v>#REF!</v>
      </c>
      <c r="Q554" s="1" t="e">
        <f>IF(#REF!="Ja",VLOOKUP(A554,'[1]ZArtefakte aus Listen'!A:D,4,0),"")</f>
        <v>#REF!</v>
      </c>
    </row>
    <row r="555" spans="1:17" ht="12.6" hidden="1">
      <c r="A555" s="1" t="s">
        <v>1193</v>
      </c>
      <c r="B555" s="1" t="str">
        <f>VLOOKUP(A555,'Z-Programme'!$A$2:$A$650,1,FALSE)</f>
        <v>ZSD_MM_RE_STATISTIK</v>
      </c>
      <c r="C555" s="1" t="s">
        <v>1194</v>
      </c>
      <c r="D555" s="1" t="s">
        <v>1533</v>
      </c>
      <c r="E555" s="1" t="s">
        <v>1534</v>
      </c>
      <c r="F555" s="1" t="s">
        <v>1544</v>
      </c>
      <c r="J555" s="5" t="s">
        <v>1536</v>
      </c>
      <c r="K555" s="1" t="s">
        <v>1537</v>
      </c>
      <c r="L555" s="1" t="s">
        <v>1756</v>
      </c>
      <c r="N555" s="1" t="e">
        <f>IF(#REF!="Ja",VLOOKUP(A555,'[1]ZArtefakte aus Listen'!A:B,2,0),"")</f>
        <v>#REF!</v>
      </c>
      <c r="Q555" s="1" t="e">
        <f>IF(#REF!="Ja",VLOOKUP(A555,'[1]ZArtefakte aus Listen'!A:D,4,0),"")</f>
        <v>#REF!</v>
      </c>
    </row>
    <row r="556" spans="1:17" ht="12.6" hidden="1">
      <c r="A556" s="1" t="s">
        <v>1195</v>
      </c>
      <c r="B556" s="1" t="str">
        <f>VLOOKUP(A556,'Z-Programme'!$A$2:$A$650,1,FALSE)</f>
        <v>ZSD_NAST</v>
      </c>
      <c r="C556" s="1" t="s">
        <v>1196</v>
      </c>
      <c r="D556" s="1" t="s">
        <v>1533</v>
      </c>
      <c r="E556" s="1" t="s">
        <v>1584</v>
      </c>
      <c r="F556" s="1" t="s">
        <v>1805</v>
      </c>
      <c r="J556" s="5" t="s">
        <v>1536</v>
      </c>
      <c r="K556" s="1" t="s">
        <v>1614</v>
      </c>
      <c r="L556" s="1" t="s">
        <v>1806</v>
      </c>
      <c r="M556" s="5" t="s">
        <v>1536</v>
      </c>
      <c r="N556" s="1" t="e">
        <f>IF(#REF!="Ja",VLOOKUP(A556,'[1]ZArtefakte aus Listen'!A:B,2,0),"")</f>
        <v>#REF!</v>
      </c>
      <c r="Q556" s="1" t="e">
        <f>IF(#REF!="Ja",VLOOKUP(A556,'[1]ZArtefakte aus Listen'!A:D,4,0),"")</f>
        <v>#REF!</v>
      </c>
    </row>
    <row r="557" spans="1:17" ht="12.6" hidden="1">
      <c r="A557" s="1" t="s">
        <v>1197</v>
      </c>
      <c r="B557" s="1" t="str">
        <f>VLOOKUP(A557,'Z-Programme'!$A$2:$A$650,1,FALSE)</f>
        <v>ZSD_NAST_ARCHIV</v>
      </c>
      <c r="C557" s="1" t="s">
        <v>1199</v>
      </c>
      <c r="D557" s="1" t="s">
        <v>1533</v>
      </c>
      <c r="E557" s="1" t="s">
        <v>1584</v>
      </c>
      <c r="F557" s="1" t="s">
        <v>1805</v>
      </c>
      <c r="J557" s="5" t="s">
        <v>1536</v>
      </c>
      <c r="K557" s="1" t="s">
        <v>1614</v>
      </c>
      <c r="L557" s="1" t="s">
        <v>1807</v>
      </c>
      <c r="M557" s="5" t="s">
        <v>1536</v>
      </c>
      <c r="N557" s="1" t="e">
        <f>IF(#REF!="Ja",VLOOKUP(A557,'[1]ZArtefakte aus Listen'!A:B,2,0),"")</f>
        <v>#REF!</v>
      </c>
      <c r="Q557" s="1" t="e">
        <f>IF(#REF!="Ja",VLOOKUP(A557,'[1]ZArtefakte aus Listen'!A:D,4,0),"")</f>
        <v>#REF!</v>
      </c>
    </row>
    <row r="558" spans="1:17" ht="12.6" hidden="1">
      <c r="A558" s="1" t="s">
        <v>1200</v>
      </c>
      <c r="B558" s="1" t="str">
        <f>VLOOKUP(A558,'Z-Programme'!$A$2:$A$650,1,FALSE)</f>
        <v>ZSD_NAST_MAR</v>
      </c>
      <c r="C558" s="1" t="s">
        <v>1201</v>
      </c>
      <c r="D558" s="1" t="s">
        <v>1533</v>
      </c>
      <c r="E558" s="1" t="s">
        <v>1558</v>
      </c>
      <c r="F558" s="1" t="s">
        <v>1549</v>
      </c>
      <c r="G558" s="1" t="s">
        <v>1803</v>
      </c>
      <c r="J558" s="5"/>
      <c r="K558" s="58" t="s">
        <v>1573</v>
      </c>
      <c r="N558" s="1" t="e">
        <f>IF(#REF!="Ja",VLOOKUP(A558,'[1]ZArtefakte aus Listen'!A:B,2,0),"")</f>
        <v>#REF!</v>
      </c>
      <c r="Q558" s="1" t="e">
        <f>IF(#REF!="Ja",VLOOKUP(A558,'[1]ZArtefakte aus Listen'!A:D,4,0),"")</f>
        <v>#REF!</v>
      </c>
    </row>
    <row r="559" spans="1:17" ht="12.6" hidden="1">
      <c r="A559" s="1" t="s">
        <v>1202</v>
      </c>
      <c r="B559" s="1" t="str">
        <f>VLOOKUP(A559,'Z-Programme'!$A$2:$A$650,1,FALSE)</f>
        <v>ZSD_NMGKUN</v>
      </c>
      <c r="C559" s="1" t="s">
        <v>1204</v>
      </c>
      <c r="D559" s="1" t="s">
        <v>1533</v>
      </c>
      <c r="E559" s="1" t="s">
        <v>1633</v>
      </c>
      <c r="F559" s="1" t="s">
        <v>1549</v>
      </c>
      <c r="G559" s="1" t="s">
        <v>1808</v>
      </c>
      <c r="J559" s="5"/>
      <c r="K559" s="58" t="s">
        <v>1573</v>
      </c>
      <c r="N559" s="1" t="e">
        <f>IF(#REF!="Ja",VLOOKUP(A559,'[1]ZArtefakte aus Listen'!A:B,2,0),"")</f>
        <v>#REF!</v>
      </c>
      <c r="Q559" s="1" t="e">
        <f>IF(#REF!="Ja",VLOOKUP(A559,'[1]ZArtefakte aus Listen'!A:D,4,0),"")</f>
        <v>#REF!</v>
      </c>
    </row>
    <row r="560" spans="1:17" ht="12.6" hidden="1">
      <c r="A560" s="1" t="s">
        <v>1205</v>
      </c>
      <c r="B560" s="1" t="str">
        <f>VLOOKUP(A560,'Z-Programme'!$A$2:$A$650,1,FALSE)</f>
        <v>ZSD_SERN</v>
      </c>
      <c r="C560" s="1" t="s">
        <v>1207</v>
      </c>
      <c r="D560" s="1" t="s">
        <v>1533</v>
      </c>
      <c r="E560" s="1" t="s">
        <v>1633</v>
      </c>
      <c r="F560" s="1" t="s">
        <v>1549</v>
      </c>
      <c r="G560" s="1" t="s">
        <v>1809</v>
      </c>
      <c r="J560" s="5"/>
      <c r="K560" s="58" t="s">
        <v>1573</v>
      </c>
      <c r="N560" s="1" t="e">
        <f>IF(#REF!="Ja",VLOOKUP(A560,'[1]ZArtefakte aus Listen'!A:B,2,0),"")</f>
        <v>#REF!</v>
      </c>
      <c r="Q560" s="1" t="e">
        <f>IF(#REF!="Ja",VLOOKUP(A560,'[1]ZArtefakte aus Listen'!A:D,4,0),"")</f>
        <v>#REF!</v>
      </c>
    </row>
    <row r="561" spans="1:17" ht="12.6" hidden="1">
      <c r="A561" s="1" t="s">
        <v>1208</v>
      </c>
      <c r="B561" s="1" t="str">
        <f>VLOOKUP(A561,'Z-Programme'!$A$2:$A$650,1,FALSE)</f>
        <v>ZSD_SERN_IMPORT</v>
      </c>
      <c r="C561" s="1" t="s">
        <v>1209</v>
      </c>
      <c r="D561" s="1" t="s">
        <v>1533</v>
      </c>
      <c r="E561" s="1" t="s">
        <v>1633</v>
      </c>
      <c r="F561" s="1" t="s">
        <v>1549</v>
      </c>
      <c r="G561" s="1" t="s">
        <v>1809</v>
      </c>
      <c r="J561" s="5"/>
      <c r="K561" s="58" t="s">
        <v>1573</v>
      </c>
      <c r="N561" s="1" t="e">
        <f>IF(#REF!="Ja",VLOOKUP(A561,'[1]ZArtefakte aus Listen'!A:B,2,0),"")</f>
        <v>#REF!</v>
      </c>
      <c r="Q561" s="1" t="e">
        <f>IF(#REF!="Ja",VLOOKUP(A561,'[1]ZArtefakte aus Listen'!A:D,4,0),"")</f>
        <v>#REF!</v>
      </c>
    </row>
    <row r="562" spans="1:17" ht="12.6" hidden="1">
      <c r="A562" s="1" t="s">
        <v>1210</v>
      </c>
      <c r="B562" s="1" t="str">
        <f>VLOOKUP(A562,'Z-Programme'!$A$2:$A$650,1,FALSE)</f>
        <v>ZSD_SERN10</v>
      </c>
      <c r="C562" s="1" t="s">
        <v>1211</v>
      </c>
      <c r="D562" s="1" t="s">
        <v>1548</v>
      </c>
      <c r="E562" s="1" t="s">
        <v>1540</v>
      </c>
      <c r="F562" s="1" t="s">
        <v>1549</v>
      </c>
      <c r="J562" s="5" t="s">
        <v>1536</v>
      </c>
      <c r="K562" s="1" t="s">
        <v>1542</v>
      </c>
      <c r="L562" s="1" t="s">
        <v>1810</v>
      </c>
      <c r="N562" s="1" t="e">
        <f>IF(#REF!="Ja",VLOOKUP(A562,'[1]ZArtefakte aus Listen'!A:B,2,0),"")</f>
        <v>#REF!</v>
      </c>
      <c r="Q562" s="1" t="e">
        <f>IF(#REF!="Ja",VLOOKUP(A562,'[1]ZArtefakte aus Listen'!A:D,4,0),"")</f>
        <v>#REF!</v>
      </c>
    </row>
    <row r="563" spans="1:17" ht="12.6" hidden="1">
      <c r="A563" s="1" t="s">
        <v>1212</v>
      </c>
      <c r="B563" s="1" t="str">
        <f>VLOOKUP(A563,'Z-Programme'!$A$2:$A$650,1,FALSE)</f>
        <v>ZSD_SERNBU</v>
      </c>
      <c r="C563" s="1" t="s">
        <v>1213</v>
      </c>
      <c r="D563" s="1" t="s">
        <v>1533</v>
      </c>
      <c r="E563" s="1" t="s">
        <v>1633</v>
      </c>
      <c r="F563" s="1" t="s">
        <v>1549</v>
      </c>
      <c r="G563" s="1" t="s">
        <v>1809</v>
      </c>
      <c r="J563" s="5"/>
      <c r="K563" s="58" t="s">
        <v>1573</v>
      </c>
      <c r="N563" s="1" t="e">
        <f>IF(#REF!="Ja",VLOOKUP(A563,'[1]ZArtefakte aus Listen'!A:B,2,0),"")</f>
        <v>#REF!</v>
      </c>
      <c r="Q563" s="1" t="e">
        <f>IF(#REF!="Ja",VLOOKUP(A563,'[1]ZArtefakte aus Listen'!A:D,4,0),"")</f>
        <v>#REF!</v>
      </c>
    </row>
    <row r="564" spans="1:17" ht="12.6" hidden="1">
      <c r="A564" s="1" t="s">
        <v>1214</v>
      </c>
      <c r="B564" s="1" t="str">
        <f>VLOOKUP(A564,'Z-Programme'!$A$2:$A$650,1,FALSE)</f>
        <v>ZSD_SHOEXP</v>
      </c>
      <c r="C564" s="1" t="s">
        <v>1216</v>
      </c>
      <c r="D564" s="1" t="s">
        <v>1533</v>
      </c>
      <c r="E564" s="1" t="s">
        <v>1633</v>
      </c>
      <c r="F564" s="1" t="s">
        <v>1549</v>
      </c>
      <c r="G564" s="1" t="s">
        <v>1808</v>
      </c>
      <c r="J564" s="5"/>
      <c r="K564" s="58" t="s">
        <v>1573</v>
      </c>
      <c r="N564" s="1" t="e">
        <f>IF(#REF!="Ja",VLOOKUP(A564,'[1]ZArtefakte aus Listen'!A:B,2,0),"")</f>
        <v>#REF!</v>
      </c>
      <c r="Q564" s="1" t="e">
        <f>IF(#REF!="Ja",VLOOKUP(A564,'[1]ZArtefakte aus Listen'!A:D,4,0),"")</f>
        <v>#REF!</v>
      </c>
    </row>
    <row r="565" spans="1:17" ht="12.6" hidden="1">
      <c r="A565" s="1" t="s">
        <v>1217</v>
      </c>
      <c r="B565" s="1" t="str">
        <f>VLOOKUP(A565,'Z-Programme'!$A$2:$A$650,1,FALSE)</f>
        <v>ZSD_SHOEXPSTA</v>
      </c>
      <c r="C565" s="1" t="s">
        <v>1218</v>
      </c>
      <c r="D565" s="1" t="s">
        <v>1533</v>
      </c>
      <c r="E565" s="1" t="s">
        <v>1633</v>
      </c>
      <c r="F565" s="1" t="s">
        <v>1549</v>
      </c>
      <c r="G565" s="1" t="s">
        <v>1808</v>
      </c>
      <c r="J565" s="5"/>
      <c r="K565" s="58" t="s">
        <v>1573</v>
      </c>
      <c r="N565" s="1" t="e">
        <f>IF(#REF!="Ja",VLOOKUP(A565,'[1]ZArtefakte aus Listen'!A:B,2,0),"")</f>
        <v>#REF!</v>
      </c>
      <c r="Q565" s="1" t="e">
        <f>IF(#REF!="Ja",VLOOKUP(A565,'[1]ZArtefakte aus Listen'!A:D,4,0),"")</f>
        <v>#REF!</v>
      </c>
    </row>
    <row r="566" spans="1:17" ht="12.6" hidden="1">
      <c r="A566" s="1" t="s">
        <v>1219</v>
      </c>
      <c r="B566" s="1" t="str">
        <f>VLOOKUP(A566,'Z-Programme'!$A$2:$A$650,1,FALSE)</f>
        <v>ZSD_SHOIMP</v>
      </c>
      <c r="C566" s="1" t="s">
        <v>1220</v>
      </c>
      <c r="D566" s="1" t="s">
        <v>1533</v>
      </c>
      <c r="E566" s="1" t="s">
        <v>1558</v>
      </c>
      <c r="F566" s="1" t="s">
        <v>1549</v>
      </c>
      <c r="G566" s="1" t="s">
        <v>1811</v>
      </c>
      <c r="K566" s="58" t="s">
        <v>1573</v>
      </c>
      <c r="N566" s="1" t="e">
        <f>IF(#REF!="Ja",VLOOKUP(A566,'[1]ZArtefakte aus Listen'!A:B,2,0),"")</f>
        <v>#REF!</v>
      </c>
      <c r="P566" s="58"/>
      <c r="Q566" s="1" t="e">
        <f>IF(#REF!="Ja",VLOOKUP(A566,'[1]ZArtefakte aus Listen'!A:D,4,0),"")</f>
        <v>#REF!</v>
      </c>
    </row>
    <row r="567" spans="1:17" ht="12.6" hidden="1">
      <c r="A567" s="1" t="s">
        <v>1221</v>
      </c>
      <c r="B567" s="1" t="str">
        <f>VLOOKUP(A567,'Z-Programme'!$A$2:$A$650,1,FALSE)</f>
        <v>ZSD_SHOKUN_MM</v>
      </c>
      <c r="C567" s="1" t="s">
        <v>1222</v>
      </c>
      <c r="D567" s="1" t="s">
        <v>1533</v>
      </c>
      <c r="E567" s="1" t="s">
        <v>1633</v>
      </c>
      <c r="F567" s="1" t="s">
        <v>1549</v>
      </c>
      <c r="G567" s="1" t="s">
        <v>1808</v>
      </c>
      <c r="J567" s="5"/>
      <c r="K567" s="58" t="s">
        <v>1573</v>
      </c>
      <c r="N567" s="1" t="e">
        <f>IF(#REF!="Ja",VLOOKUP(A567,'[1]ZArtefakte aus Listen'!A:B,2,0),"")</f>
        <v>#REF!</v>
      </c>
      <c r="Q567" s="1" t="e">
        <f>IF(#REF!="Ja",VLOOKUP(A567,'[1]ZArtefakte aus Listen'!A:D,4,0),"")</f>
        <v>#REF!</v>
      </c>
    </row>
    <row r="568" spans="1:17" ht="12.6" hidden="1">
      <c r="A568" s="1" t="s">
        <v>1223</v>
      </c>
      <c r="B568" s="1" t="str">
        <f>VLOOKUP(A568,'Z-Programme'!$A$2:$A$650,1,FALSE)</f>
        <v>ZSD_SHOP_STAT</v>
      </c>
      <c r="C568" s="1" t="s">
        <v>1224</v>
      </c>
      <c r="D568" s="1" t="s">
        <v>1533</v>
      </c>
      <c r="E568" s="1" t="s">
        <v>1558</v>
      </c>
      <c r="F568" s="1" t="s">
        <v>1549</v>
      </c>
      <c r="G568" s="1" t="s">
        <v>1812</v>
      </c>
      <c r="K568" s="58" t="s">
        <v>1573</v>
      </c>
      <c r="N568" s="1" t="e">
        <f>IF(#REF!="Ja",VLOOKUP(A568,'[1]ZArtefakte aus Listen'!A:B,2,0),"")</f>
        <v>#REF!</v>
      </c>
      <c r="P568" s="58"/>
      <c r="Q568" s="1" t="e">
        <f>IF(#REF!="Ja",VLOOKUP(A568,'[1]ZArtefakte aus Listen'!A:D,4,0),"")</f>
        <v>#REF!</v>
      </c>
    </row>
    <row r="569" spans="1:17" ht="12.6" hidden="1">
      <c r="A569" s="1" t="s">
        <v>1225</v>
      </c>
      <c r="B569" s="1" t="str">
        <f>VLOOKUP(A569,'Z-Programme'!$A$2:$A$650,1,FALSE)</f>
        <v>ZSD_SPOOL</v>
      </c>
      <c r="C569" s="1" t="s">
        <v>1226</v>
      </c>
      <c r="D569" s="1" t="s">
        <v>1533</v>
      </c>
      <c r="E569" s="1" t="s">
        <v>1584</v>
      </c>
      <c r="F569" s="1" t="s">
        <v>1805</v>
      </c>
      <c r="J569" s="5" t="s">
        <v>1536</v>
      </c>
      <c r="K569" s="1" t="s">
        <v>1614</v>
      </c>
      <c r="L569" s="1" t="s">
        <v>1813</v>
      </c>
      <c r="M569" s="5" t="s">
        <v>1536</v>
      </c>
      <c r="N569" s="1" t="e">
        <f>IF(#REF!="Ja",VLOOKUP(A569,'[1]ZArtefakte aus Listen'!A:B,2,0),"")</f>
        <v>#REF!</v>
      </c>
      <c r="Q569" s="1" t="e">
        <f>IF(#REF!="Ja",VLOOKUP(A569,'[1]ZArtefakte aus Listen'!A:D,4,0),"")</f>
        <v>#REF!</v>
      </c>
    </row>
    <row r="570" spans="1:17" ht="12.6" hidden="1">
      <c r="A570" s="1" t="s">
        <v>1227</v>
      </c>
      <c r="B570" s="1" t="str">
        <f>VLOOKUP(A570,'Z-Programme'!$A$2:$A$650,1,FALSE)</f>
        <v>ZSD_STAMMSATZANLAGE_SWA_FAHRER</v>
      </c>
      <c r="C570" s="1" t="s">
        <v>1228</v>
      </c>
      <c r="D570" s="1" t="s">
        <v>1533</v>
      </c>
      <c r="E570" s="1" t="s">
        <v>1534</v>
      </c>
      <c r="F570" s="1" t="s">
        <v>1544</v>
      </c>
      <c r="J570" s="5" t="s">
        <v>1536</v>
      </c>
      <c r="K570" s="1" t="s">
        <v>1537</v>
      </c>
      <c r="L570" s="1" t="s">
        <v>1794</v>
      </c>
      <c r="N570" s="1" t="e">
        <f>IF(#REF!="Ja",VLOOKUP(A570,'[1]ZArtefakte aus Listen'!A:B,2,0),"")</f>
        <v>#REF!</v>
      </c>
      <c r="Q570" s="1" t="e">
        <f>IF(#REF!="Ja",VLOOKUP(A570,'[1]ZArtefakte aus Listen'!A:D,4,0),"")</f>
        <v>#REF!</v>
      </c>
    </row>
    <row r="571" spans="1:17" ht="12.6" hidden="1">
      <c r="A571" s="1" t="s">
        <v>1229</v>
      </c>
      <c r="B571" s="1" t="str">
        <f>VLOOKUP(A571,'Z-Programme'!$A$2:$A$650,1,FALSE)</f>
        <v>ZSD_SWA_BEST_ANZ</v>
      </c>
      <c r="C571" s="1" t="s">
        <v>1230</v>
      </c>
      <c r="D571" s="1" t="s">
        <v>1533</v>
      </c>
      <c r="E571" s="1" t="s">
        <v>1534</v>
      </c>
      <c r="F571" s="1" t="s">
        <v>1544</v>
      </c>
      <c r="J571" s="5" t="s">
        <v>1536</v>
      </c>
      <c r="K571" s="1" t="s">
        <v>1537</v>
      </c>
      <c r="L571" s="1" t="s">
        <v>1794</v>
      </c>
      <c r="N571" s="1" t="e">
        <f>IF(#REF!="Ja",VLOOKUP(A571,'[1]ZArtefakte aus Listen'!A:B,2,0),"")</f>
        <v>#REF!</v>
      </c>
      <c r="Q571" s="1" t="e">
        <f>IF(#REF!="Ja",VLOOKUP(A571,'[1]ZArtefakte aus Listen'!A:D,4,0),"")</f>
        <v>#REF!</v>
      </c>
    </row>
    <row r="572" spans="1:17" ht="12.6" hidden="1">
      <c r="A572" s="1" t="s">
        <v>1231</v>
      </c>
      <c r="B572" s="1" t="str">
        <f>VLOOKUP(A572,'Z-Programme'!$A$2:$A$650,1,FALSE)</f>
        <v>ZSD_SWA_BEST_EDI</v>
      </c>
      <c r="C572" s="1" t="s">
        <v>1232</v>
      </c>
      <c r="D572" s="1" t="s">
        <v>1533</v>
      </c>
      <c r="E572" s="1" t="s">
        <v>1534</v>
      </c>
      <c r="F572" s="1" t="s">
        <v>1544</v>
      </c>
      <c r="J572" s="5" t="s">
        <v>1536</v>
      </c>
      <c r="K572" s="1" t="s">
        <v>1537</v>
      </c>
      <c r="L572" s="1" t="s">
        <v>1794</v>
      </c>
      <c r="N572" s="1" t="e">
        <f>IF(#REF!="Ja",VLOOKUP(A572,'[1]ZArtefakte aus Listen'!A:B,2,0),"")</f>
        <v>#REF!</v>
      </c>
      <c r="Q572" s="1" t="e">
        <f>IF(#REF!="Ja",VLOOKUP(A572,'[1]ZArtefakte aus Listen'!A:D,4,0),"")</f>
        <v>#REF!</v>
      </c>
    </row>
    <row r="573" spans="1:17" ht="12.6" hidden="1">
      <c r="A573" s="1" t="s">
        <v>1233</v>
      </c>
      <c r="B573" s="1" t="str">
        <f>VLOOKUP(A573,'Z-Programme'!$A$2:$A$650,1,FALSE)</f>
        <v>ZSD_SWA_BEST_WE</v>
      </c>
      <c r="C573" s="1" t="s">
        <v>1234</v>
      </c>
      <c r="D573" s="1" t="s">
        <v>1533</v>
      </c>
      <c r="E573" s="1" t="s">
        <v>1534</v>
      </c>
      <c r="F573" s="1" t="s">
        <v>1544</v>
      </c>
      <c r="J573" s="5" t="s">
        <v>1536</v>
      </c>
      <c r="K573" s="1" t="s">
        <v>1537</v>
      </c>
      <c r="L573" s="1" t="s">
        <v>1794</v>
      </c>
      <c r="N573" s="1" t="e">
        <f>IF(#REF!="Ja",VLOOKUP(A573,'[1]ZArtefakte aus Listen'!A:B,2,0),"")</f>
        <v>#REF!</v>
      </c>
      <c r="Q573" s="1" t="e">
        <f>IF(#REF!="Ja",VLOOKUP(A573,'[1]ZArtefakte aus Listen'!A:D,4,0),"")</f>
        <v>#REF!</v>
      </c>
    </row>
    <row r="574" spans="1:17" ht="12.6" hidden="1">
      <c r="A574" s="1" t="s">
        <v>1235</v>
      </c>
      <c r="B574" s="1" t="str">
        <f>VLOOKUP(A574,'Z-Programme'!$A$2:$A$650,1,FALSE)</f>
        <v>ZSD_SWA_BESTAND</v>
      </c>
      <c r="C574" s="1" t="s">
        <v>1236</v>
      </c>
      <c r="D574" s="1" t="s">
        <v>1533</v>
      </c>
      <c r="E574" s="1" t="s">
        <v>1534</v>
      </c>
      <c r="F574" s="1" t="s">
        <v>1544</v>
      </c>
      <c r="J574" s="5" t="s">
        <v>1536</v>
      </c>
      <c r="K574" s="1" t="s">
        <v>1537</v>
      </c>
      <c r="L574" s="1" t="s">
        <v>1794</v>
      </c>
      <c r="N574" s="1" t="e">
        <f>IF(#REF!="Ja",VLOOKUP(A574,'[1]ZArtefakte aus Listen'!A:B,2,0),"")</f>
        <v>#REF!</v>
      </c>
      <c r="Q574" s="1" t="e">
        <f>IF(#REF!="Ja",VLOOKUP(A574,'[1]ZArtefakte aus Listen'!A:D,4,0),"")</f>
        <v>#REF!</v>
      </c>
    </row>
    <row r="575" spans="1:17" ht="12.6" hidden="1">
      <c r="A575" s="1" t="s">
        <v>1237</v>
      </c>
      <c r="B575" s="1" t="str">
        <f>VLOOKUP(A575,'Z-Programme'!$A$2:$A$650,1,FALSE)</f>
        <v>ZSD_SWA_BESTAND_COPY</v>
      </c>
      <c r="C575" s="1" t="s">
        <v>1238</v>
      </c>
      <c r="D575" s="1" t="s">
        <v>1533</v>
      </c>
      <c r="E575" s="1" t="s">
        <v>1534</v>
      </c>
      <c r="F575" s="1" t="s">
        <v>1544</v>
      </c>
      <c r="J575" s="5" t="s">
        <v>1536</v>
      </c>
      <c r="K575" s="1" t="s">
        <v>1537</v>
      </c>
      <c r="L575" s="1" t="s">
        <v>1762</v>
      </c>
      <c r="N575" s="1" t="e">
        <f>IF(#REF!="Ja",VLOOKUP(A575,'[1]ZArtefakte aus Listen'!A:B,2,0),"")</f>
        <v>#REF!</v>
      </c>
      <c r="Q575" s="1" t="e">
        <f>IF(#REF!="Ja",VLOOKUP(A575,'[1]ZArtefakte aus Listen'!A:D,4,0),"")</f>
        <v>#REF!</v>
      </c>
    </row>
    <row r="576" spans="1:17" ht="12.6" hidden="1">
      <c r="A576" s="1" t="s">
        <v>1239</v>
      </c>
      <c r="B576" s="1" t="str">
        <f>VLOOKUP(A576,'Z-Programme'!$A$2:$A$650,1,FALSE)</f>
        <v>ZSD_SWA_BEWEGUNGEN</v>
      </c>
      <c r="C576" s="1" t="s">
        <v>1240</v>
      </c>
      <c r="D576" s="1" t="s">
        <v>1533</v>
      </c>
      <c r="E576" s="1" t="s">
        <v>1534</v>
      </c>
      <c r="F576" s="1" t="s">
        <v>1544</v>
      </c>
      <c r="J576" s="5" t="s">
        <v>1536</v>
      </c>
      <c r="K576" s="1" t="s">
        <v>1537</v>
      </c>
      <c r="L576" s="1" t="s">
        <v>1794</v>
      </c>
      <c r="N576" s="1" t="e">
        <f>IF(#REF!="Ja",VLOOKUP(A576,'[1]ZArtefakte aus Listen'!A:B,2,0),"")</f>
        <v>#REF!</v>
      </c>
      <c r="Q576" s="1" t="e">
        <f>IF(#REF!="Ja",VLOOKUP(A576,'[1]ZArtefakte aus Listen'!A:D,4,0),"")</f>
        <v>#REF!</v>
      </c>
    </row>
    <row r="577" spans="1:17" ht="12.6" hidden="1">
      <c r="A577" s="1" t="s">
        <v>1241</v>
      </c>
      <c r="B577" s="1" t="str">
        <f>VLOOKUP(A577,'Z-Programme'!$A$2:$A$650,1,FALSE)</f>
        <v>ZSD_SWA_DIALOGE</v>
      </c>
      <c r="C577" s="1" t="s">
        <v>1242</v>
      </c>
      <c r="D577" s="1" t="s">
        <v>1548</v>
      </c>
      <c r="E577" s="1" t="s">
        <v>1540</v>
      </c>
      <c r="F577" s="1" t="s">
        <v>1549</v>
      </c>
      <c r="J577" s="5" t="s">
        <v>1536</v>
      </c>
      <c r="K577" s="1" t="s">
        <v>1542</v>
      </c>
      <c r="L577" s="1" t="s">
        <v>1543</v>
      </c>
      <c r="N577" s="1" t="e">
        <f>IF(#REF!="Ja",VLOOKUP(A577,'[1]ZArtefakte aus Listen'!A:B,2,0),"")</f>
        <v>#REF!</v>
      </c>
      <c r="Q577" s="1" t="e">
        <f>IF(#REF!="Ja",VLOOKUP(A577,'[1]ZArtefakte aus Listen'!A:D,4,0),"")</f>
        <v>#REF!</v>
      </c>
    </row>
    <row r="578" spans="1:17" ht="12.6" hidden="1">
      <c r="A578" s="1" t="s">
        <v>1243</v>
      </c>
      <c r="B578" s="1" t="str">
        <f>VLOOKUP(A578,'Z-Programme'!$A$2:$A$650,1,FALSE)</f>
        <v>ZSD_SWA_DOWNLOAD_LAGERORTE</v>
      </c>
      <c r="C578" s="1" t="s">
        <v>1244</v>
      </c>
      <c r="D578" s="1" t="s">
        <v>1533</v>
      </c>
      <c r="E578" s="1" t="s">
        <v>1534</v>
      </c>
      <c r="F578" s="1" t="s">
        <v>1544</v>
      </c>
      <c r="J578" s="5" t="s">
        <v>1536</v>
      </c>
      <c r="K578" s="1" t="s">
        <v>1537</v>
      </c>
      <c r="L578" s="1" t="s">
        <v>1794</v>
      </c>
      <c r="N578" s="1" t="e">
        <f>IF(#REF!="Ja",VLOOKUP(A578,'[1]ZArtefakte aus Listen'!A:B,2,0),"")</f>
        <v>#REF!</v>
      </c>
      <c r="Q578" s="1" t="e">
        <f>IF(#REF!="Ja",VLOOKUP(A578,'[1]ZArtefakte aus Listen'!A:D,4,0),"")</f>
        <v>#REF!</v>
      </c>
    </row>
    <row r="579" spans="1:17" ht="12.6" hidden="1">
      <c r="A579" s="1" t="s">
        <v>1245</v>
      </c>
      <c r="B579" s="1" t="str">
        <f>VLOOKUP(A579,'Z-Programme'!$A$2:$A$650,1,FALSE)</f>
        <v>ZSD_SWA_ENTSORGUNG</v>
      </c>
      <c r="C579" s="1" t="s">
        <v>1246</v>
      </c>
      <c r="D579" s="1" t="s">
        <v>1533</v>
      </c>
      <c r="E579" s="1" t="s">
        <v>1534</v>
      </c>
      <c r="F579" s="1" t="s">
        <v>1544</v>
      </c>
      <c r="J579" s="5" t="s">
        <v>1536</v>
      </c>
      <c r="K579" s="1" t="s">
        <v>1537</v>
      </c>
      <c r="L579" s="1" t="s">
        <v>1794</v>
      </c>
      <c r="N579" s="1" t="e">
        <f>IF(#REF!="Ja",VLOOKUP(A579,'[1]ZArtefakte aus Listen'!A:B,2,0),"")</f>
        <v>#REF!</v>
      </c>
      <c r="Q579" s="1" t="e">
        <f>IF(#REF!="Ja",VLOOKUP(A579,'[1]ZArtefakte aus Listen'!A:D,4,0),"")</f>
        <v>#REF!</v>
      </c>
    </row>
    <row r="580" spans="1:17" ht="12.6" hidden="1">
      <c r="A580" s="1" t="s">
        <v>1247</v>
      </c>
      <c r="B580" s="1" t="str">
        <f>VLOOKUP(A580,'Z-Programme'!$A$2:$A$650,1,FALSE)</f>
        <v>ZSD_SWA_INV</v>
      </c>
      <c r="C580" s="1" t="s">
        <v>1248</v>
      </c>
      <c r="D580" s="1" t="s">
        <v>1548</v>
      </c>
      <c r="E580" s="1" t="s">
        <v>1540</v>
      </c>
      <c r="F580" s="1" t="s">
        <v>1549</v>
      </c>
      <c r="J580" s="5" t="s">
        <v>1536</v>
      </c>
      <c r="K580" s="1" t="s">
        <v>1542</v>
      </c>
      <c r="L580" s="1" t="s">
        <v>1543</v>
      </c>
      <c r="N580" s="1" t="e">
        <f>IF(#REF!="Ja",VLOOKUP(A580,'[1]ZArtefakte aus Listen'!A:B,2,0),"")</f>
        <v>#REF!</v>
      </c>
      <c r="Q580" s="1" t="e">
        <f>IF(#REF!="Ja",VLOOKUP(A580,'[1]ZArtefakte aus Listen'!A:D,4,0),"")</f>
        <v>#REF!</v>
      </c>
    </row>
    <row r="581" spans="1:17" ht="12.6" hidden="1">
      <c r="A581" s="1" t="s">
        <v>1249</v>
      </c>
      <c r="B581" s="1" t="str">
        <f>VLOOKUP(A581,'Z-Programme'!$A$2:$A$650,1,FALSE)</f>
        <v>ZSD_SWA_INV_LIST</v>
      </c>
      <c r="C581" s="1" t="s">
        <v>1250</v>
      </c>
      <c r="D581" s="1" t="s">
        <v>1533</v>
      </c>
      <c r="E581" s="1" t="s">
        <v>1534</v>
      </c>
      <c r="F581" s="1" t="s">
        <v>1544</v>
      </c>
      <c r="J581" s="5" t="s">
        <v>1536</v>
      </c>
      <c r="K581" s="1" t="s">
        <v>1537</v>
      </c>
      <c r="L581" s="1" t="s">
        <v>1794</v>
      </c>
      <c r="N581" s="1" t="e">
        <f>IF(#REF!="Ja",VLOOKUP(A581,'[1]ZArtefakte aus Listen'!A:B,2,0),"")</f>
        <v>#REF!</v>
      </c>
      <c r="Q581" s="1" t="e">
        <f>IF(#REF!="Ja",VLOOKUP(A581,'[1]ZArtefakte aus Listen'!A:D,4,0),"")</f>
        <v>#REF!</v>
      </c>
    </row>
    <row r="582" spans="1:17" ht="12.6" hidden="1">
      <c r="A582" s="1" t="s">
        <v>1251</v>
      </c>
      <c r="B582" s="1" t="str">
        <f>VLOOKUP(A582,'Z-Programme'!$A$2:$A$650,1,FALSE)</f>
        <v>ZSD_SWA_INV_MEMO</v>
      </c>
      <c r="C582" s="1" t="s">
        <v>1252</v>
      </c>
      <c r="D582" s="1" t="s">
        <v>1533</v>
      </c>
      <c r="E582" s="1" t="s">
        <v>1534</v>
      </c>
      <c r="F582" s="1" t="s">
        <v>1544</v>
      </c>
      <c r="J582" s="5" t="s">
        <v>1536</v>
      </c>
      <c r="K582" s="1" t="s">
        <v>1537</v>
      </c>
      <c r="L582" s="1" t="s">
        <v>1794</v>
      </c>
      <c r="N582" s="1" t="e">
        <f>IF(#REF!="Ja",VLOOKUP(A582,'[1]ZArtefakte aus Listen'!A:B,2,0),"")</f>
        <v>#REF!</v>
      </c>
      <c r="Q582" s="1" t="e">
        <f>IF(#REF!="Ja",VLOOKUP(A582,'[1]ZArtefakte aus Listen'!A:D,4,0),"")</f>
        <v>#REF!</v>
      </c>
    </row>
    <row r="583" spans="1:17" ht="12.6" hidden="1">
      <c r="A583" s="1" t="s">
        <v>1253</v>
      </c>
      <c r="B583" s="1" t="str">
        <f>VLOOKUP(A583,'Z-Programme'!$A$2:$A$650,1,FALSE)</f>
        <v>ZSD_SWA_INV_SIK</v>
      </c>
      <c r="C583" s="1" t="s">
        <v>1248</v>
      </c>
      <c r="D583" s="1" t="s">
        <v>1548</v>
      </c>
      <c r="E583" s="1" t="s">
        <v>1540</v>
      </c>
      <c r="F583" s="1" t="s">
        <v>1549</v>
      </c>
      <c r="J583" s="5" t="s">
        <v>1536</v>
      </c>
      <c r="K583" s="1" t="s">
        <v>1542</v>
      </c>
      <c r="L583" s="1" t="s">
        <v>1814</v>
      </c>
      <c r="N583" s="1" t="e">
        <f>IF(#REF!="Ja",VLOOKUP(A583,'[1]ZArtefakte aus Listen'!A:B,2,0),"")</f>
        <v>#REF!</v>
      </c>
      <c r="Q583" s="1" t="e">
        <f>IF(#REF!="Ja",VLOOKUP(A583,'[1]ZArtefakte aus Listen'!A:D,4,0),"")</f>
        <v>#REF!</v>
      </c>
    </row>
    <row r="584" spans="1:17" ht="12.6" hidden="1">
      <c r="A584" s="1" t="s">
        <v>1254</v>
      </c>
      <c r="B584" s="1" t="str">
        <f>VLOOKUP(A584,'Z-Programme'!$A$2:$A$650,1,FALSE)</f>
        <v>ZSD_SWA_LAGERABGANG_UMB</v>
      </c>
      <c r="C584" s="1" t="s">
        <v>1255</v>
      </c>
      <c r="D584" s="1" t="s">
        <v>1533</v>
      </c>
      <c r="E584" s="1" t="s">
        <v>1534</v>
      </c>
      <c r="F584" s="1" t="s">
        <v>1544</v>
      </c>
      <c r="J584" s="5" t="s">
        <v>1536</v>
      </c>
      <c r="K584" s="1" t="s">
        <v>1537</v>
      </c>
      <c r="L584" s="1" t="s">
        <v>1794</v>
      </c>
      <c r="N584" s="1" t="e">
        <f>IF(#REF!="Ja",VLOOKUP(A584,'[1]ZArtefakte aus Listen'!A:B,2,0),"")</f>
        <v>#REF!</v>
      </c>
      <c r="Q584" s="1" t="e">
        <f>IF(#REF!="Ja",VLOOKUP(A584,'[1]ZArtefakte aus Listen'!A:D,4,0),"")</f>
        <v>#REF!</v>
      </c>
    </row>
    <row r="585" spans="1:17" ht="12.6" hidden="1">
      <c r="A585" s="1" t="s">
        <v>1256</v>
      </c>
      <c r="B585" s="1" t="str">
        <f>VLOOKUP(A585,'Z-Programme'!$A$2:$A$650,1,FALSE)</f>
        <v>ZSD_SWA_LAGERABGANG_VERK</v>
      </c>
      <c r="C585" s="1" t="s">
        <v>1257</v>
      </c>
      <c r="D585" s="1" t="s">
        <v>1533</v>
      </c>
      <c r="E585" s="1" t="s">
        <v>1534</v>
      </c>
      <c r="F585" s="1" t="s">
        <v>1544</v>
      </c>
      <c r="J585" s="5" t="s">
        <v>1536</v>
      </c>
      <c r="K585" s="1" t="s">
        <v>1537</v>
      </c>
      <c r="L585" s="1" t="s">
        <v>1794</v>
      </c>
      <c r="N585" s="1" t="e">
        <f>IF(#REF!="Ja",VLOOKUP(A585,'[1]ZArtefakte aus Listen'!A:B,2,0),"")</f>
        <v>#REF!</v>
      </c>
      <c r="Q585" s="1" t="e">
        <f>IF(#REF!="Ja",VLOOKUP(A585,'[1]ZArtefakte aus Listen'!A:D,4,0),"")</f>
        <v>#REF!</v>
      </c>
    </row>
    <row r="586" spans="1:17" ht="12.6" hidden="1">
      <c r="A586" s="1" t="s">
        <v>1258</v>
      </c>
      <c r="B586" s="1" t="str">
        <f>VLOOKUP(A586,'Z-Programme'!$A$2:$A$650,1,FALSE)</f>
        <v>ZSD_SWA_LISTELAGAB</v>
      </c>
      <c r="C586" s="1" t="s">
        <v>1259</v>
      </c>
      <c r="D586" s="1" t="s">
        <v>1533</v>
      </c>
      <c r="E586" s="1" t="s">
        <v>1534</v>
      </c>
      <c r="F586" s="1" t="s">
        <v>1544</v>
      </c>
      <c r="J586" s="5" t="s">
        <v>1536</v>
      </c>
      <c r="K586" s="1" t="s">
        <v>1537</v>
      </c>
      <c r="L586" s="1" t="s">
        <v>1794</v>
      </c>
      <c r="N586" s="1" t="e">
        <f>IF(#REF!="Ja",VLOOKUP(A586,'[1]ZArtefakte aus Listen'!A:B,2,0),"")</f>
        <v>#REF!</v>
      </c>
      <c r="Q586" s="1" t="e">
        <f>IF(#REF!="Ja",VLOOKUP(A586,'[1]ZArtefakte aus Listen'!A:D,4,0),"")</f>
        <v>#REF!</v>
      </c>
    </row>
    <row r="587" spans="1:17" ht="12.6" hidden="1">
      <c r="A587" s="1" t="s">
        <v>1260</v>
      </c>
      <c r="B587" s="1" t="str">
        <f>VLOOKUP(A587,'Z-Programme'!$A$2:$A$650,1,FALSE)</f>
        <v>ZSD_SWA_MEMOFAHRER</v>
      </c>
      <c r="C587" s="1" t="s">
        <v>1261</v>
      </c>
      <c r="D587" s="1" t="s">
        <v>1533</v>
      </c>
      <c r="E587" s="1" t="s">
        <v>1534</v>
      </c>
      <c r="F587" s="1" t="s">
        <v>1544</v>
      </c>
      <c r="J587" s="5" t="s">
        <v>1536</v>
      </c>
      <c r="K587" s="1" t="s">
        <v>1537</v>
      </c>
      <c r="L587" s="1" t="s">
        <v>1794</v>
      </c>
      <c r="N587" s="1" t="e">
        <f>IF(#REF!="Ja",VLOOKUP(A587,'[1]ZArtefakte aus Listen'!A:B,2,0),"")</f>
        <v>#REF!</v>
      </c>
      <c r="Q587" s="1" t="e">
        <f>IF(#REF!="Ja",VLOOKUP(A587,'[1]ZArtefakte aus Listen'!A:D,4,0),"")</f>
        <v>#REF!</v>
      </c>
    </row>
    <row r="588" spans="1:17" ht="12.6" hidden="1">
      <c r="A588" s="1" t="s">
        <v>1262</v>
      </c>
      <c r="B588" s="1" t="str">
        <f>VLOOKUP(A588,'Z-Programme'!$A$2:$A$650,1,FALSE)</f>
        <v>ZSD_SWA_MEMONYM</v>
      </c>
      <c r="C588" s="1" t="s">
        <v>1263</v>
      </c>
      <c r="D588" s="1" t="s">
        <v>1533</v>
      </c>
      <c r="E588" s="1" t="s">
        <v>1534</v>
      </c>
      <c r="F588" s="1" t="s">
        <v>1544</v>
      </c>
      <c r="J588" s="5" t="s">
        <v>1536</v>
      </c>
      <c r="K588" s="1" t="s">
        <v>1537</v>
      </c>
      <c r="L588" s="1" t="s">
        <v>1794</v>
      </c>
      <c r="N588" s="1" t="e">
        <f>IF(#REF!="Ja",VLOOKUP(A588,'[1]ZArtefakte aus Listen'!A:B,2,0),"")</f>
        <v>#REF!</v>
      </c>
      <c r="Q588" s="1" t="e">
        <f>IF(#REF!="Ja",VLOOKUP(A588,'[1]ZArtefakte aus Listen'!A:D,4,0),"")</f>
        <v>#REF!</v>
      </c>
    </row>
    <row r="589" spans="1:17" ht="12.6" hidden="1">
      <c r="A589" s="1" t="s">
        <v>1264</v>
      </c>
      <c r="B589" s="1" t="str">
        <f>VLOOKUP(A589,'Z-Programme'!$A$2:$A$650,1,FALSE)</f>
        <v>ZSD_SWA_MINMAX</v>
      </c>
      <c r="C589" s="1" t="s">
        <v>1265</v>
      </c>
      <c r="D589" s="1" t="s">
        <v>1533</v>
      </c>
      <c r="E589" s="1" t="s">
        <v>1534</v>
      </c>
      <c r="F589" s="1" t="s">
        <v>1544</v>
      </c>
      <c r="J589" s="5" t="s">
        <v>1536</v>
      </c>
      <c r="K589" s="1" t="s">
        <v>1537</v>
      </c>
      <c r="L589" s="1" t="s">
        <v>1762</v>
      </c>
      <c r="N589" s="1" t="e">
        <f>IF(#REF!="Ja",VLOOKUP(A589,'[1]ZArtefakte aus Listen'!A:B,2,0),"")</f>
        <v>#REF!</v>
      </c>
      <c r="Q589" s="1" t="e">
        <f>IF(#REF!="Ja",VLOOKUP(A589,'[1]ZArtefakte aus Listen'!A:D,4,0),"")</f>
        <v>#REF!</v>
      </c>
    </row>
    <row r="590" spans="1:17" ht="12.6" hidden="1">
      <c r="A590" s="1" t="s">
        <v>1266</v>
      </c>
      <c r="B590" s="1" t="str">
        <f>VLOOKUP(A590,'Z-Programme'!$A$2:$A$650,1,FALSE)</f>
        <v>ZSD_SWA_PARTNER_COPY</v>
      </c>
      <c r="C590" s="1" t="s">
        <v>1267</v>
      </c>
      <c r="D590" s="1" t="s">
        <v>1533</v>
      </c>
      <c r="E590" s="1" t="s">
        <v>1534</v>
      </c>
      <c r="F590" s="1" t="s">
        <v>1544</v>
      </c>
      <c r="J590" s="5" t="s">
        <v>1536</v>
      </c>
      <c r="K590" s="1" t="s">
        <v>1537</v>
      </c>
      <c r="L590" s="1" t="s">
        <v>1794</v>
      </c>
      <c r="N590" s="1" t="e">
        <f>IF(#REF!="Ja",VLOOKUP(A590,'[1]ZArtefakte aus Listen'!A:B,2,0),"")</f>
        <v>#REF!</v>
      </c>
      <c r="Q590" s="1" t="e">
        <f>IF(#REF!="Ja",VLOOKUP(A590,'[1]ZArtefakte aus Listen'!A:D,4,0),"")</f>
        <v>#REF!</v>
      </c>
    </row>
    <row r="591" spans="1:17" ht="12.6" hidden="1">
      <c r="A591" s="1" t="s">
        <v>1268</v>
      </c>
      <c r="B591" s="1" t="str">
        <f>VLOOKUP(A591,'Z-Programme'!$A$2:$A$650,1,FALSE)</f>
        <v>ZSD_SWA_PREIS_COPY</v>
      </c>
      <c r="C591" s="1" t="s">
        <v>1269</v>
      </c>
      <c r="D591" s="1" t="s">
        <v>1533</v>
      </c>
      <c r="E591" s="1" t="s">
        <v>1534</v>
      </c>
      <c r="F591" s="1" t="s">
        <v>1544</v>
      </c>
      <c r="J591" s="5" t="s">
        <v>1536</v>
      </c>
      <c r="K591" s="1" t="s">
        <v>1537</v>
      </c>
      <c r="L591" s="1" t="s">
        <v>1794</v>
      </c>
      <c r="N591" s="1" t="e">
        <f>IF(#REF!="Ja",VLOOKUP(A591,'[1]ZArtefakte aus Listen'!A:B,2,0),"")</f>
        <v>#REF!</v>
      </c>
      <c r="Q591" s="1" t="e">
        <f>IF(#REF!="Ja",VLOOKUP(A591,'[1]ZArtefakte aus Listen'!A:D,4,0),"")</f>
        <v>#REF!</v>
      </c>
    </row>
    <row r="592" spans="1:17" ht="12.6" hidden="1">
      <c r="A592" s="1" t="s">
        <v>1270</v>
      </c>
      <c r="B592" s="1" t="str">
        <f>VLOOKUP(A592,'Z-Programme'!$A$2:$A$650,1,FALSE)</f>
        <v>ZSD_SWA_PROV</v>
      </c>
      <c r="C592" s="1" t="s">
        <v>1271</v>
      </c>
      <c r="D592" s="1" t="s">
        <v>1533</v>
      </c>
      <c r="E592" s="1" t="s">
        <v>1633</v>
      </c>
      <c r="F592" s="1" t="s">
        <v>1616</v>
      </c>
      <c r="G592" s="1" t="s">
        <v>1617</v>
      </c>
      <c r="K592" s="58" t="s">
        <v>1573</v>
      </c>
      <c r="N592" s="1" t="e">
        <f>IF(#REF!="Ja",VLOOKUP(A592,'[1]ZArtefakte aus Listen'!A:B,2,0),"")</f>
        <v>#REF!</v>
      </c>
      <c r="P592" s="58"/>
      <c r="Q592" s="1" t="e">
        <f>IF(#REF!="Ja",VLOOKUP(A592,'[1]ZArtefakte aus Listen'!A:D,4,0),"")</f>
        <v>#REF!</v>
      </c>
    </row>
    <row r="593" spans="1:17" ht="12.6" hidden="1">
      <c r="A593" s="1" t="s">
        <v>1272</v>
      </c>
      <c r="B593" s="1" t="str">
        <f>VLOOKUP(A593,'Z-Programme'!$A$2:$A$650,1,FALSE)</f>
        <v>ZSD_SWA_RECHERCHE</v>
      </c>
      <c r="C593" s="1" t="s">
        <v>1273</v>
      </c>
      <c r="D593" s="1" t="s">
        <v>1533</v>
      </c>
      <c r="E593" s="1" t="s">
        <v>1534</v>
      </c>
      <c r="F593" s="1" t="s">
        <v>1544</v>
      </c>
      <c r="J593" s="5" t="s">
        <v>1536</v>
      </c>
      <c r="K593" s="1" t="s">
        <v>1537</v>
      </c>
      <c r="L593" s="1" t="s">
        <v>1794</v>
      </c>
      <c r="N593" s="1" t="e">
        <f>IF(#REF!="Ja",VLOOKUP(A593,'[1]ZArtefakte aus Listen'!A:B,2,0),"")</f>
        <v>#REF!</v>
      </c>
      <c r="Q593" s="1" t="e">
        <f>IF(#REF!="Ja",VLOOKUP(A593,'[1]ZArtefakte aus Listen'!A:D,4,0),"")</f>
        <v>#REF!</v>
      </c>
    </row>
    <row r="594" spans="1:17" ht="12.6" hidden="1">
      <c r="A594" s="1" t="s">
        <v>1274</v>
      </c>
      <c r="B594" s="1" t="str">
        <f>VLOOKUP(A594,'Z-Programme'!$A$2:$A$650,1,FALSE)</f>
        <v>ZSD_SWA_TR_AOBJD</v>
      </c>
      <c r="C594" s="1" t="s">
        <v>1275</v>
      </c>
      <c r="D594" s="1" t="s">
        <v>1533</v>
      </c>
      <c r="E594" s="1" t="s">
        <v>1534</v>
      </c>
      <c r="F594" s="1" t="s">
        <v>1544</v>
      </c>
      <c r="J594" s="5" t="s">
        <v>1536</v>
      </c>
      <c r="K594" s="1" t="s">
        <v>1537</v>
      </c>
      <c r="L594" s="1" t="s">
        <v>1794</v>
      </c>
      <c r="N594" s="1" t="e">
        <f>IF(#REF!="Ja",VLOOKUP(A594,'[1]ZArtefakte aus Listen'!A:B,2,0),"")</f>
        <v>#REF!</v>
      </c>
      <c r="Q594" s="1" t="e">
        <f>IF(#REF!="Ja",VLOOKUP(A594,'[1]ZArtefakte aus Listen'!A:D,4,0),"")</f>
        <v>#REF!</v>
      </c>
    </row>
    <row r="595" spans="1:17" ht="12.6" hidden="1">
      <c r="A595" s="1" t="s">
        <v>1276</v>
      </c>
      <c r="B595" s="1" t="str">
        <f>VLOOKUP(A595,'Z-Programme'!$A$2:$A$650,1,FALSE)</f>
        <v>ZSD_SWA_TR_AOBJR</v>
      </c>
      <c r="C595" s="1" t="s">
        <v>1277</v>
      </c>
      <c r="D595" s="1" t="s">
        <v>1533</v>
      </c>
      <c r="E595" s="1" t="s">
        <v>1534</v>
      </c>
      <c r="F595" s="1" t="s">
        <v>1544</v>
      </c>
      <c r="J595" s="5" t="s">
        <v>1536</v>
      </c>
      <c r="K595" s="1" t="s">
        <v>1537</v>
      </c>
      <c r="L595" s="1" t="s">
        <v>1794</v>
      </c>
      <c r="N595" s="1" t="e">
        <f>IF(#REF!="Ja",VLOOKUP(A595,'[1]ZArtefakte aus Listen'!A:B,2,0),"")</f>
        <v>#REF!</v>
      </c>
      <c r="Q595" s="1" t="e">
        <f>IF(#REF!="Ja",VLOOKUP(A595,'[1]ZArtefakte aus Listen'!A:D,4,0),"")</f>
        <v>#REF!</v>
      </c>
    </row>
    <row r="596" spans="1:17" ht="12.6" hidden="1">
      <c r="A596" s="1" t="s">
        <v>1278</v>
      </c>
      <c r="B596" s="1" t="str">
        <f>VLOOKUP(A596,'Z-Programme'!$A$2:$A$650,1,FALSE)</f>
        <v>ZSD_SWA_TR_AOBJW</v>
      </c>
      <c r="C596" s="1" t="s">
        <v>1279</v>
      </c>
      <c r="D596" s="1" t="s">
        <v>1533</v>
      </c>
      <c r="E596" s="1" t="s">
        <v>1534</v>
      </c>
      <c r="F596" s="1" t="s">
        <v>1544</v>
      </c>
      <c r="J596" s="5" t="s">
        <v>1536</v>
      </c>
      <c r="K596" s="1" t="s">
        <v>1537</v>
      </c>
      <c r="L596" s="1" t="s">
        <v>1794</v>
      </c>
      <c r="N596" s="1" t="e">
        <f>IF(#REF!="Ja",VLOOKUP(A596,'[1]ZArtefakte aus Listen'!A:B,2,0),"")</f>
        <v>#REF!</v>
      </c>
      <c r="Q596" s="1" t="e">
        <f>IF(#REF!="Ja",VLOOKUP(A596,'[1]ZArtefakte aus Listen'!A:D,4,0),"")</f>
        <v>#REF!</v>
      </c>
    </row>
    <row r="597" spans="1:17" ht="12.6" hidden="1">
      <c r="A597" s="1" t="s">
        <v>1280</v>
      </c>
      <c r="B597" s="1" t="str">
        <f>VLOOKUP(A597,'Z-Programme'!$A$2:$A$650,1,FALSE)</f>
        <v>ZSD_SWA_VERBUCHEN_BEST</v>
      </c>
      <c r="C597" s="1" t="s">
        <v>1281</v>
      </c>
      <c r="D597" s="1" t="s">
        <v>1533</v>
      </c>
      <c r="E597" s="1" t="s">
        <v>1534</v>
      </c>
      <c r="F597" s="1" t="s">
        <v>1544</v>
      </c>
      <c r="J597" s="5" t="s">
        <v>1536</v>
      </c>
      <c r="K597" s="1" t="s">
        <v>1537</v>
      </c>
      <c r="L597" s="1" t="s">
        <v>1794</v>
      </c>
      <c r="N597" s="1" t="e">
        <f>IF(#REF!="Ja",VLOOKUP(A597,'[1]ZArtefakte aus Listen'!A:B,2,0),"")</f>
        <v>#REF!</v>
      </c>
      <c r="Q597" s="1" t="e">
        <f>IF(#REF!="Ja",VLOOKUP(A597,'[1]ZArtefakte aus Listen'!A:D,4,0),"")</f>
        <v>#REF!</v>
      </c>
    </row>
    <row r="598" spans="1:17" ht="12.6" hidden="1">
      <c r="A598" s="1" t="s">
        <v>1282</v>
      </c>
      <c r="B598" s="1" t="str">
        <f>VLOOKUP(A598,'Z-Programme'!$A$2:$A$650,1,FALSE)</f>
        <v>ZSD_SWA_VERK_ANZ</v>
      </c>
      <c r="C598" s="1" t="s">
        <v>1283</v>
      </c>
      <c r="D598" s="1" t="s">
        <v>1533</v>
      </c>
      <c r="E598" s="1" t="s">
        <v>1534</v>
      </c>
      <c r="F598" s="1" t="s">
        <v>1544</v>
      </c>
      <c r="J598" s="5" t="s">
        <v>1536</v>
      </c>
      <c r="K598" s="1" t="s">
        <v>1537</v>
      </c>
      <c r="L598" s="1" t="s">
        <v>1794</v>
      </c>
      <c r="N598" s="1" t="e">
        <f>IF(#REF!="Ja",VLOOKUP(A598,'[1]ZArtefakte aus Listen'!A:B,2,0),"")</f>
        <v>#REF!</v>
      </c>
      <c r="Q598" s="1" t="e">
        <f>IF(#REF!="Ja",VLOOKUP(A598,'[1]ZArtefakte aus Listen'!A:D,4,0),"")</f>
        <v>#REF!</v>
      </c>
    </row>
    <row r="599" spans="1:17" ht="12.6" hidden="1">
      <c r="A599" s="1" t="s">
        <v>1284</v>
      </c>
      <c r="B599" s="1" t="str">
        <f>VLOOKUP(A599,'Z-Programme'!$A$2:$A$650,1,FALSE)</f>
        <v>ZSD_SWA_VERK_ANZ2</v>
      </c>
      <c r="C599" s="1" t="s">
        <v>1285</v>
      </c>
      <c r="D599" s="1" t="s">
        <v>1533</v>
      </c>
      <c r="E599" s="1" t="s">
        <v>1534</v>
      </c>
      <c r="F599" s="1" t="s">
        <v>1544</v>
      </c>
      <c r="J599" s="5" t="s">
        <v>1536</v>
      </c>
      <c r="K599" s="1" t="s">
        <v>1537</v>
      </c>
      <c r="L599" s="1" t="s">
        <v>1762</v>
      </c>
      <c r="N599" s="1" t="e">
        <f>IF(#REF!="Ja",VLOOKUP(A599,'[1]ZArtefakte aus Listen'!A:B,2,0),"")</f>
        <v>#REF!</v>
      </c>
      <c r="Q599" s="1" t="e">
        <f>IF(#REF!="Ja",VLOOKUP(A599,'[1]ZArtefakte aus Listen'!A:D,4,0),"")</f>
        <v>#REF!</v>
      </c>
    </row>
    <row r="600" spans="1:17" ht="12.6" hidden="1">
      <c r="A600" s="1" t="s">
        <v>1286</v>
      </c>
      <c r="B600" s="1" t="str">
        <f>VLOOKUP(A600,'Z-Programme'!$A$2:$A$650,1,FALSE)</f>
        <v>ZSD_SWA_VERK_NABU</v>
      </c>
      <c r="C600" s="1" t="s">
        <v>1287</v>
      </c>
      <c r="D600" s="1" t="s">
        <v>1533</v>
      </c>
      <c r="E600" s="1" t="s">
        <v>1534</v>
      </c>
      <c r="F600" s="1" t="s">
        <v>1544</v>
      </c>
      <c r="J600" s="5" t="s">
        <v>1536</v>
      </c>
      <c r="K600" s="1" t="s">
        <v>1537</v>
      </c>
      <c r="L600" s="1" t="s">
        <v>1794</v>
      </c>
      <c r="N600" s="1" t="e">
        <f>IF(#REF!="Ja",VLOOKUP(A600,'[1]ZArtefakte aus Listen'!A:B,2,0),"")</f>
        <v>#REF!</v>
      </c>
      <c r="Q600" s="1" t="e">
        <f>IF(#REF!="Ja",VLOOKUP(A600,'[1]ZArtefakte aus Listen'!A:D,4,0),"")</f>
        <v>#REF!</v>
      </c>
    </row>
    <row r="601" spans="1:17" ht="12.6" hidden="1">
      <c r="A601" s="1" t="s">
        <v>1288</v>
      </c>
      <c r="B601" s="1" t="str">
        <f>VLOOKUP(A601,'Z-Programme'!$A$2:$A$650,1,FALSE)</f>
        <v>ZSD_SWAT_REPAIR</v>
      </c>
      <c r="C601" s="1" t="s">
        <v>1289</v>
      </c>
      <c r="D601" s="1" t="s">
        <v>1533</v>
      </c>
      <c r="E601" s="1" t="s">
        <v>1534</v>
      </c>
      <c r="F601" s="1" t="s">
        <v>1544</v>
      </c>
      <c r="J601" s="5" t="s">
        <v>1536</v>
      </c>
      <c r="K601" s="1" t="s">
        <v>1537</v>
      </c>
      <c r="L601" s="1" t="s">
        <v>1794</v>
      </c>
      <c r="N601" s="1" t="e">
        <f>IF(#REF!="Ja",VLOOKUP(A601,'[1]ZArtefakte aus Listen'!A:B,2,0),"")</f>
        <v>#REF!</v>
      </c>
      <c r="Q601" s="1" t="e">
        <f>IF(#REF!="Ja",VLOOKUP(A601,'[1]ZArtefakte aus Listen'!A:D,4,0),"")</f>
        <v>#REF!</v>
      </c>
    </row>
    <row r="602" spans="1:17" ht="12.6" hidden="1">
      <c r="A602" s="1" t="s">
        <v>1290</v>
      </c>
      <c r="B602" s="1" t="str">
        <f>VLOOKUP(A602,'Z-Programme'!$A$2:$A$650,1,FALSE)</f>
        <v>ZSD_SWAT_TABCHECK</v>
      </c>
      <c r="C602" s="1" t="s">
        <v>1291</v>
      </c>
      <c r="D602" s="1" t="s">
        <v>1533</v>
      </c>
      <c r="E602" s="1" t="s">
        <v>1534</v>
      </c>
      <c r="F602" s="1" t="s">
        <v>1544</v>
      </c>
      <c r="J602" s="5" t="s">
        <v>1536</v>
      </c>
      <c r="K602" s="1" t="s">
        <v>1537</v>
      </c>
      <c r="L602" s="1" t="s">
        <v>1794</v>
      </c>
      <c r="N602" s="1" t="e">
        <f>IF(#REF!="Ja",VLOOKUP(A602,'[1]ZArtefakte aus Listen'!A:B,2,0),"")</f>
        <v>#REF!</v>
      </c>
      <c r="Q602" s="1" t="e">
        <f>IF(#REF!="Ja",VLOOKUP(A602,'[1]ZArtefakte aus Listen'!A:D,4,0),"")</f>
        <v>#REF!</v>
      </c>
    </row>
    <row r="603" spans="1:17" ht="12.6" hidden="1">
      <c r="A603" s="1" t="s">
        <v>1292</v>
      </c>
      <c r="B603" s="1" t="str">
        <f>VLOOKUP(A603,'Z-Programme'!$A$2:$A$650,1,FALSE)</f>
        <v>ZSD_SWAT_TERMINALBELEG</v>
      </c>
      <c r="C603" s="1" t="s">
        <v>1293</v>
      </c>
      <c r="D603" s="1" t="s">
        <v>1533</v>
      </c>
      <c r="E603" s="1" t="s">
        <v>1534</v>
      </c>
      <c r="F603" s="1" t="s">
        <v>1544</v>
      </c>
      <c r="J603" s="5" t="s">
        <v>1536</v>
      </c>
      <c r="K603" s="1" t="s">
        <v>1537</v>
      </c>
      <c r="L603" s="1" t="s">
        <v>1794</v>
      </c>
      <c r="N603" s="1" t="e">
        <f>IF(#REF!="Ja",VLOOKUP(A603,'[1]ZArtefakte aus Listen'!A:B,2,0),"")</f>
        <v>#REF!</v>
      </c>
      <c r="Q603" s="1" t="e">
        <f>IF(#REF!="Ja",VLOOKUP(A603,'[1]ZArtefakte aus Listen'!A:D,4,0),"")</f>
        <v>#REF!</v>
      </c>
    </row>
    <row r="604" spans="1:17" ht="12.6" hidden="1">
      <c r="A604" s="1" t="s">
        <v>1294</v>
      </c>
      <c r="B604" s="1" t="str">
        <f>VLOOKUP(A604,'Z-Programme'!$A$2:$A$650,1,FALSE)</f>
        <v>ZSD_SWAT01</v>
      </c>
      <c r="C604" s="1" t="s">
        <v>1295</v>
      </c>
      <c r="D604" s="1" t="s">
        <v>1533</v>
      </c>
      <c r="E604" s="1" t="s">
        <v>1534</v>
      </c>
      <c r="F604" s="1" t="s">
        <v>1544</v>
      </c>
      <c r="J604" s="5" t="s">
        <v>1536</v>
      </c>
      <c r="K604" s="1" t="s">
        <v>1537</v>
      </c>
      <c r="L604" s="1" t="s">
        <v>1794</v>
      </c>
      <c r="N604" s="1" t="e">
        <f>IF(#REF!="Ja",VLOOKUP(A604,'[1]ZArtefakte aus Listen'!A:B,2,0),"")</f>
        <v>#REF!</v>
      </c>
      <c r="Q604" s="1" t="e">
        <f>IF(#REF!="Ja",VLOOKUP(A604,'[1]ZArtefakte aus Listen'!A:D,4,0),"")</f>
        <v>#REF!</v>
      </c>
    </row>
    <row r="605" spans="1:17" ht="12.6" hidden="1">
      <c r="A605" s="1" t="s">
        <v>1296</v>
      </c>
      <c r="B605" s="1" t="str">
        <f>VLOOKUP(A605,'Z-Programme'!$A$2:$A$650,1,FALSE)</f>
        <v>ZSD_TAB_REORG</v>
      </c>
      <c r="C605" s="1" t="s">
        <v>1298</v>
      </c>
      <c r="D605" s="1" t="s">
        <v>1533</v>
      </c>
      <c r="E605" s="1" t="s">
        <v>1633</v>
      </c>
      <c r="F605" s="1" t="s">
        <v>1549</v>
      </c>
      <c r="G605" s="1" t="s">
        <v>1815</v>
      </c>
      <c r="J605" s="5"/>
      <c r="K605" s="58" t="s">
        <v>1573</v>
      </c>
      <c r="N605" s="1" t="e">
        <f>IF(#REF!="Ja",VLOOKUP(A605,'[1]ZArtefakte aus Listen'!A:B,2,0),"")</f>
        <v>#REF!</v>
      </c>
      <c r="Q605" s="1" t="e">
        <f>IF(#REF!="Ja",VLOOKUP(A605,'[1]ZArtefakte aus Listen'!A:D,4,0),"")</f>
        <v>#REF!</v>
      </c>
    </row>
    <row r="606" spans="1:17" ht="12.6" hidden="1">
      <c r="A606" s="1" t="s">
        <v>1299</v>
      </c>
      <c r="B606" s="1" t="str">
        <f>VLOOKUP(A606,'Z-Programme'!$A$2:$A$650,1,FALSE)</f>
        <v>ZSD_TOL_PROV_LIF_SYNC</v>
      </c>
      <c r="C606" s="1" t="s">
        <v>1300</v>
      </c>
      <c r="D606" s="1" t="s">
        <v>1533</v>
      </c>
      <c r="E606" s="1" t="s">
        <v>1584</v>
      </c>
      <c r="F606" s="1" t="s">
        <v>1816</v>
      </c>
      <c r="J606" s="5" t="s">
        <v>1536</v>
      </c>
      <c r="K606" s="1" t="s">
        <v>1614</v>
      </c>
      <c r="L606" s="1" t="s">
        <v>1817</v>
      </c>
      <c r="M606" s="5" t="s">
        <v>1536</v>
      </c>
      <c r="N606" s="1" t="e">
        <f>IF(#REF!="Ja",VLOOKUP(A606,'[1]ZArtefakte aus Listen'!A:B,2,0),"")</f>
        <v>#REF!</v>
      </c>
      <c r="Q606" s="1" t="e">
        <f>IF(#REF!="Ja",VLOOKUP(A606,'[1]ZArtefakte aus Listen'!A:D,4,0),"")</f>
        <v>#REF!</v>
      </c>
    </row>
    <row r="607" spans="1:17" ht="12.6" hidden="1">
      <c r="A607" s="1" t="s">
        <v>1301</v>
      </c>
      <c r="B607" s="1" t="str">
        <f>VLOOKUP(A607,'Z-Programme'!$A$2:$A$650,1,FALSE)</f>
        <v>ZSD_TOLA00</v>
      </c>
      <c r="C607" s="1" t="s">
        <v>1302</v>
      </c>
      <c r="D607" s="1" t="s">
        <v>1533</v>
      </c>
      <c r="E607" s="1" t="s">
        <v>1633</v>
      </c>
      <c r="F607" s="1" t="s">
        <v>1549</v>
      </c>
      <c r="G607" s="1" t="s">
        <v>1818</v>
      </c>
      <c r="K607" s="58" t="s">
        <v>1573</v>
      </c>
      <c r="N607" s="1" t="e">
        <f>IF(#REF!="Ja",VLOOKUP(A607,'[1]ZArtefakte aus Listen'!A:B,2,0),"")</f>
        <v>#REF!</v>
      </c>
      <c r="P607" s="58"/>
      <c r="Q607" s="1" t="e">
        <f>IF(#REF!="Ja",VLOOKUP(A607,'[1]ZArtefakte aus Listen'!A:D,4,0),"")</f>
        <v>#REF!</v>
      </c>
    </row>
    <row r="608" spans="1:17" ht="12.6" hidden="1">
      <c r="A608" s="1" t="s">
        <v>1303</v>
      </c>
      <c r="B608" s="1" t="str">
        <f>VLOOKUP(A608,'Z-Programme'!$A$2:$A$650,1,FALSE)</f>
        <v>ZSD_TOLA05</v>
      </c>
      <c r="C608" s="1" t="s">
        <v>1304</v>
      </c>
      <c r="D608" s="1" t="s">
        <v>1533</v>
      </c>
      <c r="E608" s="1" t="s">
        <v>1633</v>
      </c>
      <c r="F608" s="1" t="s">
        <v>1549</v>
      </c>
      <c r="G608" s="1" t="s">
        <v>1818</v>
      </c>
      <c r="K608" s="58" t="s">
        <v>1573</v>
      </c>
      <c r="N608" s="1" t="e">
        <f>IF(#REF!="Ja",VLOOKUP(A608,'[1]ZArtefakte aus Listen'!A:B,2,0),"")</f>
        <v>#REF!</v>
      </c>
      <c r="P608" s="58"/>
      <c r="Q608" s="1" t="e">
        <f>IF(#REF!="Ja",VLOOKUP(A608,'[1]ZArtefakte aus Listen'!A:D,4,0),"")</f>
        <v>#REF!</v>
      </c>
    </row>
    <row r="609" spans="1:17" ht="12.6" hidden="1">
      <c r="A609" s="1" t="s">
        <v>1305</v>
      </c>
      <c r="B609" s="1" t="str">
        <f>VLOOKUP(A609,'Z-Programme'!$A$2:$A$650,1,FALSE)</f>
        <v>ZSD_TOLA10</v>
      </c>
      <c r="C609" s="1" t="s">
        <v>1306</v>
      </c>
      <c r="D609" s="1" t="s">
        <v>1548</v>
      </c>
      <c r="E609" s="1" t="s">
        <v>1540</v>
      </c>
      <c r="F609" s="1" t="s">
        <v>1549</v>
      </c>
      <c r="J609" s="5" t="s">
        <v>1536</v>
      </c>
      <c r="K609" s="1" t="s">
        <v>1542</v>
      </c>
      <c r="L609" s="1" t="s">
        <v>1810</v>
      </c>
      <c r="N609" s="1" t="e">
        <f>IF(#REF!="Ja",VLOOKUP(A609,'[1]ZArtefakte aus Listen'!A:B,2,0),"")</f>
        <v>#REF!</v>
      </c>
      <c r="Q609" s="1" t="e">
        <f>IF(#REF!="Ja",VLOOKUP(A609,'[1]ZArtefakte aus Listen'!A:D,4,0),"")</f>
        <v>#REF!</v>
      </c>
    </row>
    <row r="610" spans="1:17" ht="12.6" hidden="1">
      <c r="A610" s="1" t="s">
        <v>1307</v>
      </c>
      <c r="B610" s="1" t="str">
        <f>VLOOKUP(A610,'Z-Programme'!$A$2:$A$650,1,FALSE)</f>
        <v>ZSD_TOLA20</v>
      </c>
      <c r="C610" s="1" t="s">
        <v>1308</v>
      </c>
      <c r="D610" s="1" t="s">
        <v>1533</v>
      </c>
      <c r="E610" s="1" t="s">
        <v>1633</v>
      </c>
      <c r="F610" s="1" t="s">
        <v>1549</v>
      </c>
      <c r="G610" s="1" t="s">
        <v>1818</v>
      </c>
      <c r="K610" s="58" t="s">
        <v>1573</v>
      </c>
      <c r="N610" s="1" t="e">
        <f>IF(#REF!="Ja",VLOOKUP(A610,'[1]ZArtefakte aus Listen'!A:B,2,0),"")</f>
        <v>#REF!</v>
      </c>
      <c r="P610" s="58"/>
      <c r="Q610" s="1" t="e">
        <f>IF(#REF!="Ja",VLOOKUP(A610,'[1]ZArtefakte aus Listen'!A:D,4,0),"")</f>
        <v>#REF!</v>
      </c>
    </row>
    <row r="611" spans="1:17" ht="12.6" hidden="1">
      <c r="A611" s="1" t="s">
        <v>1309</v>
      </c>
      <c r="B611" s="1" t="str">
        <f>VLOOKUP(A611,'Z-Programme'!$A$2:$A$650,1,FALSE)</f>
        <v>ZSD_TOLA25</v>
      </c>
      <c r="C611" s="1" t="s">
        <v>1310</v>
      </c>
      <c r="D611" s="1" t="s">
        <v>1533</v>
      </c>
      <c r="E611" s="1" t="s">
        <v>1633</v>
      </c>
      <c r="F611" s="1" t="s">
        <v>1549</v>
      </c>
      <c r="G611" s="1" t="s">
        <v>1815</v>
      </c>
      <c r="J611" s="5"/>
      <c r="K611" s="58" t="s">
        <v>1573</v>
      </c>
      <c r="N611" s="1" t="e">
        <f>IF(#REF!="Ja",VLOOKUP(A611,'[1]ZArtefakte aus Listen'!A:B,2,0),"")</f>
        <v>#REF!</v>
      </c>
      <c r="Q611" s="1" t="e">
        <f>IF(#REF!="Ja",VLOOKUP(A611,'[1]ZArtefakte aus Listen'!A:D,4,0),"")</f>
        <v>#REF!</v>
      </c>
    </row>
    <row r="612" spans="1:17" ht="12.6" hidden="1">
      <c r="A612" s="1" t="s">
        <v>1311</v>
      </c>
      <c r="B612" s="1" t="str">
        <f>VLOOKUP(A612,'Z-Programme'!$A$2:$A$650,1,FALSE)</f>
        <v>ZSD_TOLA30</v>
      </c>
      <c r="C612" s="1" t="s">
        <v>1312</v>
      </c>
      <c r="D612" s="1" t="s">
        <v>1533</v>
      </c>
      <c r="E612" s="1" t="s">
        <v>1633</v>
      </c>
      <c r="F612" s="1" t="s">
        <v>1549</v>
      </c>
      <c r="G612" s="1" t="s">
        <v>1818</v>
      </c>
      <c r="K612" s="58" t="s">
        <v>1573</v>
      </c>
      <c r="N612" s="1" t="e">
        <f>IF(#REF!="Ja",VLOOKUP(A612,'[1]ZArtefakte aus Listen'!A:B,2,0),"")</f>
        <v>#REF!</v>
      </c>
      <c r="P612" s="58"/>
      <c r="Q612" s="1" t="e">
        <f>IF(#REF!="Ja",VLOOKUP(A612,'[1]ZArtefakte aus Listen'!A:D,4,0),"")</f>
        <v>#REF!</v>
      </c>
    </row>
    <row r="613" spans="1:17" ht="12.6" hidden="1">
      <c r="A613" s="1" t="s">
        <v>1313</v>
      </c>
      <c r="B613" s="1" t="str">
        <f>VLOOKUP(A613,'Z-Programme'!$A$2:$A$650,1,FALSE)</f>
        <v>ZSD_TOLA35</v>
      </c>
      <c r="C613" s="1" t="s">
        <v>1314</v>
      </c>
      <c r="D613" s="1" t="s">
        <v>1533</v>
      </c>
      <c r="E613" s="1" t="s">
        <v>1633</v>
      </c>
      <c r="F613" s="1" t="s">
        <v>1549</v>
      </c>
      <c r="G613" s="1" t="s">
        <v>1818</v>
      </c>
      <c r="K613" s="58" t="s">
        <v>1573</v>
      </c>
      <c r="N613" s="1" t="e">
        <f>IF(#REF!="Ja",VLOOKUP(A613,'[1]ZArtefakte aus Listen'!A:B,2,0),"")</f>
        <v>#REF!</v>
      </c>
      <c r="P613" s="58"/>
      <c r="Q613" s="1" t="e">
        <f>IF(#REF!="Ja",VLOOKUP(A613,'[1]ZArtefakte aus Listen'!A:D,4,0),"")</f>
        <v>#REF!</v>
      </c>
    </row>
    <row r="614" spans="1:17" ht="12.6" hidden="1">
      <c r="A614" s="1" t="s">
        <v>1315</v>
      </c>
      <c r="B614" s="1" t="str">
        <f>VLOOKUP(A614,'Z-Programme'!$A$2:$A$650,1,FALSE)</f>
        <v>ZSD_TOLA40</v>
      </c>
      <c r="C614" s="1" t="s">
        <v>1316</v>
      </c>
      <c r="D614" s="1" t="s">
        <v>1533</v>
      </c>
      <c r="E614" s="1" t="s">
        <v>1633</v>
      </c>
      <c r="F614" s="1" t="s">
        <v>1549</v>
      </c>
      <c r="G614" s="1" t="s">
        <v>1818</v>
      </c>
      <c r="K614" s="58" t="s">
        <v>1573</v>
      </c>
      <c r="N614" s="1" t="e">
        <f>IF(#REF!="Ja",VLOOKUP(A614,'[1]ZArtefakte aus Listen'!A:B,2,0),"")</f>
        <v>#REF!</v>
      </c>
      <c r="P614" s="58"/>
      <c r="Q614" s="1" t="e">
        <f>IF(#REF!="Ja",VLOOKUP(A614,'[1]ZArtefakte aus Listen'!A:D,4,0),"")</f>
        <v>#REF!</v>
      </c>
    </row>
    <row r="615" spans="1:17" ht="12.6" hidden="1">
      <c r="A615" s="1" t="s">
        <v>1317</v>
      </c>
      <c r="B615" s="1" t="str">
        <f>VLOOKUP(A615,'Z-Programme'!$A$2:$A$650,1,FALSE)</f>
        <v>ZSD_TOLA41</v>
      </c>
      <c r="C615" s="1" t="s">
        <v>1318</v>
      </c>
      <c r="D615" s="1" t="s">
        <v>1533</v>
      </c>
      <c r="E615" s="1" t="s">
        <v>1633</v>
      </c>
      <c r="F615" s="1" t="s">
        <v>1549</v>
      </c>
      <c r="G615" s="1" t="s">
        <v>1815</v>
      </c>
      <c r="J615" s="5"/>
      <c r="K615" s="58" t="s">
        <v>1573</v>
      </c>
      <c r="N615" s="1" t="e">
        <f>IF(#REF!="Ja",VLOOKUP(A615,'[1]ZArtefakte aus Listen'!A:B,2,0),"")</f>
        <v>#REF!</v>
      </c>
      <c r="Q615" s="1" t="e">
        <f>IF(#REF!="Ja",VLOOKUP(A615,'[1]ZArtefakte aus Listen'!A:D,4,0),"")</f>
        <v>#REF!</v>
      </c>
    </row>
    <row r="616" spans="1:17" ht="12.6" hidden="1">
      <c r="A616" s="1" t="s">
        <v>1319</v>
      </c>
      <c r="B616" s="1" t="str">
        <f>VLOOKUP(A616,'Z-Programme'!$A$2:$A$650,1,FALSE)</f>
        <v>ZSD_TOLA42</v>
      </c>
      <c r="C616" s="1" t="s">
        <v>1320</v>
      </c>
      <c r="D616" s="1" t="s">
        <v>1533</v>
      </c>
      <c r="E616" s="1" t="s">
        <v>1633</v>
      </c>
      <c r="F616" s="1" t="s">
        <v>1549</v>
      </c>
      <c r="G616" s="1" t="s">
        <v>1815</v>
      </c>
      <c r="J616" s="5"/>
      <c r="K616" s="58" t="s">
        <v>1573</v>
      </c>
      <c r="N616" s="1" t="e">
        <f>IF(#REF!="Ja",VLOOKUP(A616,'[1]ZArtefakte aus Listen'!A:B,2,0),"")</f>
        <v>#REF!</v>
      </c>
      <c r="Q616" s="1" t="e">
        <f>IF(#REF!="Ja",VLOOKUP(A616,'[1]ZArtefakte aus Listen'!A:D,4,0),"")</f>
        <v>#REF!</v>
      </c>
    </row>
    <row r="617" spans="1:17" ht="12.6" hidden="1">
      <c r="A617" s="1" t="s">
        <v>1321</v>
      </c>
      <c r="B617" s="1" t="str">
        <f>VLOOKUP(A617,'Z-Programme'!$A$2:$A$650,1,FALSE)</f>
        <v>ZSD_TOLA43</v>
      </c>
      <c r="C617" s="1" t="s">
        <v>1322</v>
      </c>
      <c r="D617" s="1" t="s">
        <v>1533</v>
      </c>
      <c r="E617" s="1" t="s">
        <v>1633</v>
      </c>
      <c r="F617" s="1" t="s">
        <v>1549</v>
      </c>
      <c r="G617" s="1" t="s">
        <v>1815</v>
      </c>
      <c r="J617" s="5"/>
      <c r="K617" s="58" t="s">
        <v>1573</v>
      </c>
      <c r="N617" s="1" t="e">
        <f>IF(#REF!="Ja",VLOOKUP(A617,'[1]ZArtefakte aus Listen'!A:B,2,0),"")</f>
        <v>#REF!</v>
      </c>
      <c r="Q617" s="1" t="e">
        <f>IF(#REF!="Ja",VLOOKUP(A617,'[1]ZArtefakte aus Listen'!A:D,4,0),"")</f>
        <v>#REF!</v>
      </c>
    </row>
    <row r="618" spans="1:17" ht="12.6" hidden="1">
      <c r="A618" s="1" t="s">
        <v>1323</v>
      </c>
      <c r="B618" s="1" t="str">
        <f>VLOOKUP(A618,'Z-Programme'!$A$2:$A$650,1,FALSE)</f>
        <v>ZSD_TOLA44</v>
      </c>
      <c r="C618" s="1" t="s">
        <v>1324</v>
      </c>
      <c r="D618" s="1" t="s">
        <v>1533</v>
      </c>
      <c r="E618" s="1" t="s">
        <v>1633</v>
      </c>
      <c r="F618" s="1" t="s">
        <v>1549</v>
      </c>
      <c r="G618" s="1" t="s">
        <v>1815</v>
      </c>
      <c r="J618" s="5"/>
      <c r="K618" s="58" t="s">
        <v>1573</v>
      </c>
      <c r="N618" s="1" t="e">
        <f>IF(#REF!="Ja",VLOOKUP(A618,'[1]ZArtefakte aus Listen'!A:B,2,0),"")</f>
        <v>#REF!</v>
      </c>
      <c r="Q618" s="1" t="e">
        <f>IF(#REF!="Ja",VLOOKUP(A618,'[1]ZArtefakte aus Listen'!A:D,4,0),"")</f>
        <v>#REF!</v>
      </c>
    </row>
    <row r="619" spans="1:17" ht="12.6" hidden="1">
      <c r="A619" s="1" t="s">
        <v>1325</v>
      </c>
      <c r="B619" s="1" t="str">
        <f>VLOOKUP(A619,'Z-Programme'!$A$2:$A$650,1,FALSE)</f>
        <v>ZSD_TOLA45</v>
      </c>
      <c r="C619" s="1" t="s">
        <v>1326</v>
      </c>
      <c r="D619" s="1" t="s">
        <v>1533</v>
      </c>
      <c r="E619" s="1" t="s">
        <v>1633</v>
      </c>
      <c r="F619" s="1" t="s">
        <v>1549</v>
      </c>
      <c r="G619" s="1" t="s">
        <v>1818</v>
      </c>
      <c r="K619" s="58" t="s">
        <v>1573</v>
      </c>
      <c r="N619" s="1" t="e">
        <f>IF(#REF!="Ja",VLOOKUP(A619,'[1]ZArtefakte aus Listen'!A:B,2,0),"")</f>
        <v>#REF!</v>
      </c>
      <c r="P619" s="58"/>
      <c r="Q619" s="1" t="e">
        <f>IF(#REF!="Ja",VLOOKUP(A619,'[1]ZArtefakte aus Listen'!A:D,4,0),"")</f>
        <v>#REF!</v>
      </c>
    </row>
    <row r="620" spans="1:17" ht="12.6" hidden="1">
      <c r="A620" s="1" t="s">
        <v>1327</v>
      </c>
      <c r="B620" s="1" t="str">
        <f>VLOOKUP(A620,'Z-Programme'!$A$2:$A$650,1,FALSE)</f>
        <v>ZSD_TOLA46</v>
      </c>
      <c r="C620" s="1" t="s">
        <v>1328</v>
      </c>
      <c r="D620" s="1" t="s">
        <v>1533</v>
      </c>
      <c r="E620" s="1" t="s">
        <v>1633</v>
      </c>
      <c r="F620" s="1" t="s">
        <v>1549</v>
      </c>
      <c r="G620" s="1" t="s">
        <v>1815</v>
      </c>
      <c r="J620" s="5"/>
      <c r="K620" s="58" t="s">
        <v>1573</v>
      </c>
      <c r="N620" s="1" t="e">
        <f>IF(#REF!="Ja",VLOOKUP(A620,'[1]ZArtefakte aus Listen'!A:B,2,0),"")</f>
        <v>#REF!</v>
      </c>
      <c r="Q620" s="1" t="e">
        <f>IF(#REF!="Ja",VLOOKUP(A620,'[1]ZArtefakte aus Listen'!A:D,4,0),"")</f>
        <v>#REF!</v>
      </c>
    </row>
    <row r="621" spans="1:17" ht="12.6" hidden="1">
      <c r="A621" s="1" t="s">
        <v>1329</v>
      </c>
      <c r="B621" s="1" t="str">
        <f>VLOOKUP(A621,'Z-Programme'!$A$2:$A$650,1,FALSE)</f>
        <v>ZSD_TOLA48</v>
      </c>
      <c r="C621" s="1" t="s">
        <v>1330</v>
      </c>
      <c r="D621" s="1" t="s">
        <v>1533</v>
      </c>
      <c r="E621" s="1" t="s">
        <v>1633</v>
      </c>
      <c r="F621" s="1" t="s">
        <v>1549</v>
      </c>
      <c r="G621" s="1" t="s">
        <v>1818</v>
      </c>
      <c r="K621" s="58" t="s">
        <v>1573</v>
      </c>
      <c r="N621" s="1" t="e">
        <f>IF(#REF!="Ja",VLOOKUP(A621,'[1]ZArtefakte aus Listen'!A:B,2,0),"")</f>
        <v>#REF!</v>
      </c>
      <c r="P621" s="58"/>
      <c r="Q621" s="1" t="e">
        <f>IF(#REF!="Ja",VLOOKUP(A621,'[1]ZArtefakte aus Listen'!A:D,4,0),"")</f>
        <v>#REF!</v>
      </c>
    </row>
    <row r="622" spans="1:17" ht="12.6" hidden="1">
      <c r="A622" s="1" t="s">
        <v>1331</v>
      </c>
      <c r="B622" s="1" t="str">
        <f>VLOOKUP(A622,'Z-Programme'!$A$2:$A$650,1,FALSE)</f>
        <v>ZSD_TOLA50</v>
      </c>
      <c r="C622" s="1" t="s">
        <v>1332</v>
      </c>
      <c r="D622" s="1" t="s">
        <v>1533</v>
      </c>
      <c r="E622" s="1" t="s">
        <v>1633</v>
      </c>
      <c r="F622" s="1" t="s">
        <v>1549</v>
      </c>
      <c r="G622" s="1" t="s">
        <v>1818</v>
      </c>
      <c r="K622" s="58" t="s">
        <v>1573</v>
      </c>
      <c r="N622" s="1" t="e">
        <f>IF(#REF!="Ja",VLOOKUP(A622,'[1]ZArtefakte aus Listen'!A:B,2,0),"")</f>
        <v>#REF!</v>
      </c>
      <c r="P622" s="58"/>
      <c r="Q622" s="1" t="e">
        <f>IF(#REF!="Ja",VLOOKUP(A622,'[1]ZArtefakte aus Listen'!A:D,4,0),"")</f>
        <v>#REF!</v>
      </c>
    </row>
    <row r="623" spans="1:17" ht="12.6" hidden="1">
      <c r="A623" s="1" t="s">
        <v>1333</v>
      </c>
      <c r="B623" s="1" t="str">
        <f>VLOOKUP(A623,'Z-Programme'!$A$2:$A$650,1,FALSE)</f>
        <v>ZSD_TOLA60</v>
      </c>
      <c r="C623" s="1" t="s">
        <v>1334</v>
      </c>
      <c r="D623" s="1" t="s">
        <v>1533</v>
      </c>
      <c r="E623" s="1" t="s">
        <v>1633</v>
      </c>
      <c r="F623" s="1" t="s">
        <v>1549</v>
      </c>
      <c r="G623" s="1" t="s">
        <v>1818</v>
      </c>
      <c r="K623" s="58" t="s">
        <v>1573</v>
      </c>
      <c r="N623" s="1" t="e">
        <f>IF(#REF!="Ja",VLOOKUP(A623,'[1]ZArtefakte aus Listen'!A:B,2,0),"")</f>
        <v>#REF!</v>
      </c>
      <c r="P623" s="58"/>
      <c r="Q623" s="1" t="e">
        <f>IF(#REF!="Ja",VLOOKUP(A623,'[1]ZArtefakte aus Listen'!A:D,4,0),"")</f>
        <v>#REF!</v>
      </c>
    </row>
    <row r="624" spans="1:17" ht="12.6" hidden="1">
      <c r="A624" s="1" t="s">
        <v>1335</v>
      </c>
      <c r="B624" s="1" t="str">
        <f>VLOOKUP(A624,'Z-Programme'!$A$2:$A$650,1,FALSE)</f>
        <v>ZSD_TOLA65</v>
      </c>
      <c r="C624" s="1" t="s">
        <v>1336</v>
      </c>
      <c r="D624" s="1" t="s">
        <v>1533</v>
      </c>
      <c r="E624" s="1" t="s">
        <v>1633</v>
      </c>
      <c r="F624" s="1" t="s">
        <v>1549</v>
      </c>
      <c r="G624" s="1" t="s">
        <v>1818</v>
      </c>
      <c r="K624" s="58" t="s">
        <v>1573</v>
      </c>
      <c r="N624" s="1" t="e">
        <f>IF(#REF!="Ja",VLOOKUP(A624,'[1]ZArtefakte aus Listen'!A:B,2,0),"")</f>
        <v>#REF!</v>
      </c>
      <c r="P624" s="58"/>
      <c r="Q624" s="1" t="e">
        <f>IF(#REF!="Ja",VLOOKUP(A624,'[1]ZArtefakte aus Listen'!A:D,4,0),"")</f>
        <v>#REF!</v>
      </c>
    </row>
    <row r="625" spans="1:17" ht="12.6" hidden="1">
      <c r="A625" s="1" t="s">
        <v>1337</v>
      </c>
      <c r="B625" s="1" t="str">
        <f>VLOOKUP(A625,'Z-Programme'!$A$2:$A$650,1,FALSE)</f>
        <v>ZSD_TOLA70</v>
      </c>
      <c r="C625" s="1" t="s">
        <v>1338</v>
      </c>
      <c r="D625" s="1" t="s">
        <v>1533</v>
      </c>
      <c r="E625" s="1" t="s">
        <v>1633</v>
      </c>
      <c r="F625" s="1" t="s">
        <v>1549</v>
      </c>
      <c r="G625" s="1" t="s">
        <v>1818</v>
      </c>
      <c r="K625" s="58" t="s">
        <v>1573</v>
      </c>
      <c r="N625" s="1" t="e">
        <f>IF(#REF!="Ja",VLOOKUP(A625,'[1]ZArtefakte aus Listen'!A:B,2,0),"")</f>
        <v>#REF!</v>
      </c>
      <c r="P625" s="58"/>
      <c r="Q625" s="1" t="e">
        <f>IF(#REF!="Ja",VLOOKUP(A625,'[1]ZArtefakte aus Listen'!A:D,4,0),"")</f>
        <v>#REF!</v>
      </c>
    </row>
    <row r="626" spans="1:17" ht="12.6" hidden="1">
      <c r="A626" s="1" t="s">
        <v>1339</v>
      </c>
      <c r="B626" s="1" t="str">
        <f>VLOOKUP(A626,'Z-Programme'!$A$2:$A$650,1,FALSE)</f>
        <v>ZSD_TOLA71</v>
      </c>
      <c r="C626" s="1" t="s">
        <v>1340</v>
      </c>
      <c r="D626" s="1" t="s">
        <v>1533</v>
      </c>
      <c r="E626" s="1" t="s">
        <v>1633</v>
      </c>
      <c r="F626" s="1" t="s">
        <v>1549</v>
      </c>
      <c r="G626" s="1" t="s">
        <v>1818</v>
      </c>
      <c r="K626" s="58" t="s">
        <v>1573</v>
      </c>
      <c r="N626" s="1" t="e">
        <f>IF(#REF!="Ja",VLOOKUP(A626,'[1]ZArtefakte aus Listen'!A:B,2,0),"")</f>
        <v>#REF!</v>
      </c>
      <c r="P626" s="58"/>
      <c r="Q626" s="1" t="e">
        <f>IF(#REF!="Ja",VLOOKUP(A626,'[1]ZArtefakte aus Listen'!A:D,4,0),"")</f>
        <v>#REF!</v>
      </c>
    </row>
    <row r="627" spans="1:17" ht="12.6" hidden="1">
      <c r="A627" s="1" t="s">
        <v>1341</v>
      </c>
      <c r="B627" s="1" t="str">
        <f>VLOOKUP(A627,'Z-Programme'!$A$2:$A$650,1,FALSE)</f>
        <v>ZSD_TOLA77</v>
      </c>
      <c r="C627" s="1" t="s">
        <v>1342</v>
      </c>
      <c r="D627" s="1" t="s">
        <v>1533</v>
      </c>
      <c r="E627" s="1" t="s">
        <v>1633</v>
      </c>
      <c r="F627" s="1" t="s">
        <v>1549</v>
      </c>
      <c r="G627" s="1" t="s">
        <v>1815</v>
      </c>
      <c r="J627" s="5"/>
      <c r="K627" s="58" t="s">
        <v>1573</v>
      </c>
      <c r="N627" s="1" t="e">
        <f>IF(#REF!="Ja",VLOOKUP(A627,'[1]ZArtefakte aus Listen'!A:B,2,0),"")</f>
        <v>#REF!</v>
      </c>
      <c r="Q627" s="1" t="e">
        <f>IF(#REF!="Ja",VLOOKUP(A627,'[1]ZArtefakte aus Listen'!A:D,4,0),"")</f>
        <v>#REF!</v>
      </c>
    </row>
    <row r="628" spans="1:17" ht="12.6" hidden="1">
      <c r="A628" s="1" t="s">
        <v>1343</v>
      </c>
      <c r="B628" s="1" t="str">
        <f>VLOOKUP(A628,'Z-Programme'!$A$2:$A$650,1,FALSE)</f>
        <v>ZSD_TOLA80</v>
      </c>
      <c r="C628" s="1" t="s">
        <v>1344</v>
      </c>
      <c r="D628" s="1" t="s">
        <v>1548</v>
      </c>
      <c r="E628" s="1" t="s">
        <v>1540</v>
      </c>
      <c r="F628" s="1" t="s">
        <v>1549</v>
      </c>
      <c r="J628" s="5" t="s">
        <v>1536</v>
      </c>
      <c r="K628" s="1" t="s">
        <v>1542</v>
      </c>
      <c r="L628" s="1" t="s">
        <v>1810</v>
      </c>
      <c r="N628" s="1" t="e">
        <f>IF(#REF!="Ja",VLOOKUP(A628,'[1]ZArtefakte aus Listen'!A:B,2,0),"")</f>
        <v>#REF!</v>
      </c>
      <c r="Q628" s="1" t="e">
        <f>IF(#REF!="Ja",VLOOKUP(A628,'[1]ZArtefakte aus Listen'!A:D,4,0),"")</f>
        <v>#REF!</v>
      </c>
    </row>
    <row r="629" spans="1:17" ht="12.6" hidden="1">
      <c r="A629" s="1" t="s">
        <v>1345</v>
      </c>
      <c r="B629" s="1" t="str">
        <f>VLOOKUP(A629,'Z-Programme'!$A$2:$A$650,1,FALSE)</f>
        <v>ZSD_TOLA90</v>
      </c>
      <c r="C629" s="1" t="s">
        <v>1346</v>
      </c>
      <c r="D629" s="1" t="s">
        <v>1533</v>
      </c>
      <c r="E629" s="1" t="s">
        <v>1633</v>
      </c>
      <c r="F629" s="1" t="s">
        <v>1549</v>
      </c>
      <c r="G629" s="1" t="s">
        <v>1818</v>
      </c>
      <c r="K629" s="58" t="s">
        <v>1573</v>
      </c>
      <c r="N629" s="1" t="e">
        <f>IF(#REF!="Ja",VLOOKUP(A629,'[1]ZArtefakte aus Listen'!A:B,2,0),"")</f>
        <v>#REF!</v>
      </c>
      <c r="P629" s="58"/>
      <c r="Q629" s="1" t="e">
        <f>IF(#REF!="Ja",VLOOKUP(A629,'[1]ZArtefakte aus Listen'!A:D,4,0),"")</f>
        <v>#REF!</v>
      </c>
    </row>
    <row r="630" spans="1:17" ht="12.6" hidden="1">
      <c r="A630" s="1" t="s">
        <v>1347</v>
      </c>
      <c r="B630" s="1" t="str">
        <f>VLOOKUP(A630,'Z-Programme'!$A$2:$A$650,1,FALSE)</f>
        <v>ZSD_TOLA95</v>
      </c>
      <c r="C630" s="1" t="s">
        <v>1348</v>
      </c>
      <c r="D630" s="1" t="s">
        <v>1533</v>
      </c>
      <c r="E630" s="1" t="s">
        <v>1633</v>
      </c>
      <c r="F630" s="1" t="s">
        <v>1549</v>
      </c>
      <c r="G630" s="1" t="s">
        <v>1818</v>
      </c>
      <c r="K630" s="58" t="s">
        <v>1573</v>
      </c>
      <c r="N630" s="1" t="e">
        <f>IF(#REF!="Ja",VLOOKUP(A630,'[1]ZArtefakte aus Listen'!A:B,2,0),"")</f>
        <v>#REF!</v>
      </c>
      <c r="P630" s="58"/>
      <c r="Q630" s="1" t="e">
        <f>IF(#REF!="Ja",VLOOKUP(A630,'[1]ZArtefakte aus Listen'!A:D,4,0),"")</f>
        <v>#REF!</v>
      </c>
    </row>
    <row r="631" spans="1:17" ht="12.6" hidden="1">
      <c r="A631" s="1" t="s">
        <v>1349</v>
      </c>
      <c r="B631" s="1" t="str">
        <f>VLOOKUP(A631,'Z-Programme'!$A$2:$A$650,1,FALSE)</f>
        <v>ZSD_TOURSET_BI</v>
      </c>
      <c r="C631" s="1" t="s">
        <v>1350</v>
      </c>
      <c r="D631" s="1" t="s">
        <v>1533</v>
      </c>
      <c r="E631" s="1" t="s">
        <v>1660</v>
      </c>
      <c r="F631" s="1" t="s">
        <v>1549</v>
      </c>
      <c r="J631" s="5" t="s">
        <v>1536</v>
      </c>
      <c r="K631" s="1" t="s">
        <v>1662</v>
      </c>
      <c r="L631" s="1" t="s">
        <v>1819</v>
      </c>
      <c r="N631" s="1" t="e">
        <f>IF(#REF!="Ja",VLOOKUP(A631,'[1]ZArtefakte aus Listen'!A:B,2,0),"")</f>
        <v>#REF!</v>
      </c>
      <c r="Q631" s="1" t="e">
        <f>IF(#REF!="Ja",VLOOKUP(A631,'[1]ZArtefakte aus Listen'!A:D,4,0),"")</f>
        <v>#REF!</v>
      </c>
    </row>
    <row r="632" spans="1:17" ht="12.6" hidden="1">
      <c r="A632" s="1" t="s">
        <v>1351</v>
      </c>
      <c r="B632" s="1" t="str">
        <f>VLOOKUP(A632,'Z-Programme'!$A$2:$A$650,1,FALSE)</f>
        <v>ZSD_TOURSET_REICHW</v>
      </c>
      <c r="C632" s="1" t="s">
        <v>1353</v>
      </c>
      <c r="D632" s="1" t="s">
        <v>1533</v>
      </c>
      <c r="E632" s="1" t="s">
        <v>1633</v>
      </c>
      <c r="F632" s="1" t="s">
        <v>1616</v>
      </c>
      <c r="G632" s="1" t="s">
        <v>1820</v>
      </c>
      <c r="K632" s="58" t="s">
        <v>1573</v>
      </c>
      <c r="N632" s="1" t="e">
        <f>IF(#REF!="Ja",VLOOKUP(A632,'[1]ZArtefakte aus Listen'!A:B,2,0),"")</f>
        <v>#REF!</v>
      </c>
      <c r="P632" s="58"/>
      <c r="Q632" s="1" t="e">
        <f>IF(#REF!="Ja",VLOOKUP(A632,'[1]ZArtefakte aus Listen'!A:D,4,0),"")</f>
        <v>#REF!</v>
      </c>
    </row>
    <row r="633" spans="1:17" ht="12.6" hidden="1">
      <c r="A633" s="1" t="s">
        <v>1354</v>
      </c>
      <c r="B633" s="1" t="str">
        <f>VLOOKUP(A633,'Z-Programme'!$A$2:$A$650,1,FALSE)</f>
        <v>ZSD_VD01</v>
      </c>
      <c r="C633" s="1" t="s">
        <v>1355</v>
      </c>
      <c r="D633" s="1" t="s">
        <v>1533</v>
      </c>
      <c r="E633" s="1" t="s">
        <v>1534</v>
      </c>
      <c r="F633" s="1" t="s">
        <v>1544</v>
      </c>
      <c r="J633" s="5" t="s">
        <v>1536</v>
      </c>
      <c r="K633" s="1" t="s">
        <v>1537</v>
      </c>
      <c r="L633" s="1" t="s">
        <v>1756</v>
      </c>
      <c r="N633" s="1" t="e">
        <f>IF(#REF!="Ja",VLOOKUP(A633,'[1]ZArtefakte aus Listen'!A:B,2,0),"")</f>
        <v>#REF!</v>
      </c>
      <c r="Q633" s="1" t="e">
        <f>IF(#REF!="Ja",VLOOKUP(A633,'[1]ZArtefakte aus Listen'!A:D,4,0),"")</f>
        <v>#REF!</v>
      </c>
    </row>
    <row r="634" spans="1:17" ht="12.6" hidden="1">
      <c r="A634" s="1" t="s">
        <v>1356</v>
      </c>
      <c r="B634" s="1" t="str">
        <f>VLOOKUP(A634,'Z-Programme'!$A$2:$A$650,1,FALSE)</f>
        <v>ZSD_VST_MENUE_ALV</v>
      </c>
      <c r="C634" s="1" t="s">
        <v>1357</v>
      </c>
      <c r="D634" s="1" t="s">
        <v>1533</v>
      </c>
      <c r="E634" s="1" t="s">
        <v>1633</v>
      </c>
      <c r="F634" s="1" t="s">
        <v>1549</v>
      </c>
      <c r="G634" s="1" t="s">
        <v>1821</v>
      </c>
      <c r="J634" s="5"/>
      <c r="K634" s="58" t="s">
        <v>1573</v>
      </c>
      <c r="N634" s="1" t="e">
        <f>IF(#REF!="Ja",VLOOKUP(A634,'[1]ZArtefakte aus Listen'!A:B,2,0),"")</f>
        <v>#REF!</v>
      </c>
      <c r="Q634" s="1" t="e">
        <f>IF(#REF!="Ja",VLOOKUP(A634,'[1]ZArtefakte aus Listen'!A:D,4,0),"")</f>
        <v>#REF!</v>
      </c>
    </row>
    <row r="635" spans="1:17" ht="12.6" hidden="1">
      <c r="A635" s="1" t="s">
        <v>1358</v>
      </c>
      <c r="B635" s="1" t="str">
        <f>VLOOKUP(A635,'Z-Programme'!$A$2:$A$650,1,FALSE)</f>
        <v>ZSD_VSTABR</v>
      </c>
      <c r="C635" s="1" t="s">
        <v>1359</v>
      </c>
      <c r="D635" s="1" t="s">
        <v>1533</v>
      </c>
      <c r="E635" s="1" t="s">
        <v>1633</v>
      </c>
      <c r="F635" s="1" t="s">
        <v>1549</v>
      </c>
      <c r="G635" s="1" t="s">
        <v>1822</v>
      </c>
      <c r="J635" s="5"/>
      <c r="K635" s="58" t="s">
        <v>1573</v>
      </c>
      <c r="N635" s="1" t="e">
        <f>IF(#REF!="Ja",VLOOKUP(A635,'[1]ZArtefakte aus Listen'!A:B,2,0),"")</f>
        <v>#REF!</v>
      </c>
      <c r="Q635" s="1" t="e">
        <f>IF(#REF!="Ja",VLOOKUP(A635,'[1]ZArtefakte aus Listen'!A:D,4,0),"")</f>
        <v>#REF!</v>
      </c>
    </row>
    <row r="636" spans="1:17" s="9" customFormat="1" ht="12.6" hidden="1">
      <c r="A636" s="9" t="s">
        <v>1360</v>
      </c>
      <c r="B636" s="1" t="str">
        <f>VLOOKUP(A636,'Z-Programme'!$A$2:$A$650,1,FALSE)</f>
        <v>ZSD_VSTEA</v>
      </c>
      <c r="C636" s="9" t="s">
        <v>1361</v>
      </c>
      <c r="D636" s="9" t="s">
        <v>1533</v>
      </c>
      <c r="E636" s="1" t="s">
        <v>1534</v>
      </c>
      <c r="F636" s="9" t="s">
        <v>1549</v>
      </c>
      <c r="G636" s="9" t="s">
        <v>1823</v>
      </c>
      <c r="J636" s="10"/>
      <c r="K636" s="1" t="s">
        <v>1537</v>
      </c>
      <c r="N636" s="9" t="e">
        <f>IF(#REF!="Ja",VLOOKUP(A636,'[1]ZArtefakte aus Listen'!A:B,2,0),"")</f>
        <v>#REF!</v>
      </c>
      <c r="Q636" s="9" t="e">
        <f>IF(#REF!="Ja",VLOOKUP(A636,'[1]ZArtefakte aus Listen'!A:D,4,0),"")</f>
        <v>#REF!</v>
      </c>
    </row>
    <row r="637" spans="1:17" ht="12.6" hidden="1">
      <c r="A637" s="1" t="s">
        <v>1362</v>
      </c>
      <c r="B637" s="1" t="str">
        <f>VLOOKUP(A637,'Z-Programme'!$A$2:$A$650,1,FALSE)</f>
        <v>ZSD_VSTM</v>
      </c>
      <c r="C637" s="1" t="s">
        <v>1824</v>
      </c>
      <c r="D637" s="1" t="s">
        <v>1548</v>
      </c>
      <c r="E637" s="1" t="s">
        <v>1540</v>
      </c>
      <c r="F637" s="1" t="s">
        <v>1549</v>
      </c>
      <c r="J637" s="5" t="s">
        <v>1536</v>
      </c>
      <c r="K637" s="1" t="s">
        <v>1542</v>
      </c>
      <c r="L637" s="1" t="s">
        <v>1810</v>
      </c>
      <c r="N637" s="1" t="e">
        <f>IF(#REF!="Ja",VLOOKUP(A637,'[1]ZArtefakte aus Listen'!A:B,2,0),"")</f>
        <v>#REF!</v>
      </c>
      <c r="Q637" s="1" t="e">
        <f>IF(#REF!="Ja",VLOOKUP(A637,'[1]ZArtefakte aus Listen'!A:D,4,0),"")</f>
        <v>#REF!</v>
      </c>
    </row>
    <row r="638" spans="1:17" ht="12.6" hidden="1">
      <c r="A638" s="1" t="s">
        <v>1364</v>
      </c>
      <c r="B638" s="1" t="str">
        <f>VLOOKUP(A638,'Z-Programme'!$A$2:$A$650,1,FALSE)</f>
        <v>ZSD_WAAGELS</v>
      </c>
      <c r="C638" s="1" t="s">
        <v>1366</v>
      </c>
      <c r="D638" s="1" t="s">
        <v>1533</v>
      </c>
      <c r="E638" s="1" t="s">
        <v>1558</v>
      </c>
      <c r="F638" s="1" t="s">
        <v>1549</v>
      </c>
      <c r="G638" s="1" t="s">
        <v>1825</v>
      </c>
      <c r="J638" s="5"/>
      <c r="K638" s="58" t="s">
        <v>1573</v>
      </c>
      <c r="N638" s="1" t="e">
        <f>IF(#REF!="Ja",VLOOKUP(A638,'[1]ZArtefakte aus Listen'!A:B,2,0),"")</f>
        <v>#REF!</v>
      </c>
      <c r="Q638" s="1" t="e">
        <f>IF(#REF!="Ja",VLOOKUP(A638,'[1]ZArtefakte aus Listen'!A:D,4,0),"")</f>
        <v>#REF!</v>
      </c>
    </row>
    <row r="639" spans="1:17" ht="12.6" hidden="1">
      <c r="A639" s="1" t="s">
        <v>1367</v>
      </c>
      <c r="B639" s="1" t="str">
        <f>VLOOKUP(A639,'Z-Programme'!$A$2:$A$650,1,FALSE)</f>
        <v>ZSD_WAWI_ABZUG</v>
      </c>
      <c r="C639" s="1" t="s">
        <v>1368</v>
      </c>
      <c r="D639" s="1" t="s">
        <v>1533</v>
      </c>
      <c r="E639" s="1" t="s">
        <v>1534</v>
      </c>
      <c r="F639" s="1" t="s">
        <v>1544</v>
      </c>
      <c r="J639" s="5" t="s">
        <v>1536</v>
      </c>
      <c r="K639" s="1" t="s">
        <v>1537</v>
      </c>
      <c r="L639" s="1" t="s">
        <v>1794</v>
      </c>
      <c r="N639" s="1" t="e">
        <f>IF(#REF!="Ja",VLOOKUP(A639,'[1]ZArtefakte aus Listen'!A:B,2,0),"")</f>
        <v>#REF!</v>
      </c>
      <c r="Q639" s="1" t="e">
        <f>IF(#REF!="Ja",VLOOKUP(A639,'[1]ZArtefakte aus Listen'!A:D,4,0),"")</f>
        <v>#REF!</v>
      </c>
    </row>
    <row r="640" spans="1:17" ht="12.6" hidden="1">
      <c r="A640" s="1" t="s">
        <v>1369</v>
      </c>
      <c r="B640" s="1" t="str">
        <f>VLOOKUP(A640,'Z-Programme'!$A$2:$A$650,1,FALSE)</f>
        <v>ZSD_WAWI_FAHRER_TRANSCODE</v>
      </c>
      <c r="C640" s="1" t="s">
        <v>1370</v>
      </c>
      <c r="D640" s="1" t="s">
        <v>1533</v>
      </c>
      <c r="E640" s="1" t="s">
        <v>1534</v>
      </c>
      <c r="F640" s="1" t="s">
        <v>1544</v>
      </c>
      <c r="J640" s="5" t="s">
        <v>1536</v>
      </c>
      <c r="K640" s="1" t="s">
        <v>1537</v>
      </c>
      <c r="L640" s="1" t="s">
        <v>1794</v>
      </c>
      <c r="N640" s="1" t="e">
        <f>IF(#REF!="Ja",VLOOKUP(A640,'[1]ZArtefakte aus Listen'!A:B,2,0),"")</f>
        <v>#REF!</v>
      </c>
      <c r="Q640" s="1" t="e">
        <f>IF(#REF!="Ja",VLOOKUP(A640,'[1]ZArtefakte aus Listen'!A:D,4,0),"")</f>
        <v>#REF!</v>
      </c>
    </row>
    <row r="641" spans="1:17" ht="12.6" hidden="1">
      <c r="A641" s="1" t="s">
        <v>1371</v>
      </c>
      <c r="B641" s="1" t="str">
        <f>VLOOKUP(A641,'Z-Programme'!$A$2:$A$650,1,FALSE)</f>
        <v>ZSD_WPV_PRISMA</v>
      </c>
      <c r="C641" s="1" t="s">
        <v>1372</v>
      </c>
      <c r="D641" s="1" t="s">
        <v>1533</v>
      </c>
      <c r="E641" s="1" t="s">
        <v>1534</v>
      </c>
      <c r="F641" s="1" t="s">
        <v>1544</v>
      </c>
      <c r="J641" s="5" t="s">
        <v>1536</v>
      </c>
      <c r="K641" s="1" t="s">
        <v>1537</v>
      </c>
      <c r="L641" s="1" t="s">
        <v>1680</v>
      </c>
      <c r="N641" s="1" t="e">
        <f>IF(#REF!="Ja",VLOOKUP(A641,'[1]ZArtefakte aus Listen'!A:B,2,0),"")</f>
        <v>#REF!</v>
      </c>
      <c r="Q641" s="1" t="e">
        <f>IF(#REF!="Ja",VLOOKUP(A641,'[1]ZArtefakte aus Listen'!A:D,4,0),"")</f>
        <v>#REF!</v>
      </c>
    </row>
    <row r="642" spans="1:17" ht="12.6" hidden="1">
      <c r="A642" s="1" t="s">
        <v>1373</v>
      </c>
      <c r="B642" s="1" t="str">
        <f>VLOOKUP(A642,'Z-Programme'!$A$2:$A$650,1,FALSE)</f>
        <v>ZSD_WPV_RUECK</v>
      </c>
      <c r="C642" s="1" t="s">
        <v>1374</v>
      </c>
      <c r="D642" s="1" t="s">
        <v>1533</v>
      </c>
      <c r="E642" s="1" t="s">
        <v>1534</v>
      </c>
      <c r="F642" s="1" t="s">
        <v>1544</v>
      </c>
      <c r="J642" s="5" t="s">
        <v>1536</v>
      </c>
      <c r="K642" s="1" t="s">
        <v>1537</v>
      </c>
      <c r="L642" s="1" t="s">
        <v>1680</v>
      </c>
      <c r="N642" s="1" t="e">
        <f>IF(#REF!="Ja",VLOOKUP(A642,'[1]ZArtefakte aus Listen'!A:B,2,0),"")</f>
        <v>#REF!</v>
      </c>
      <c r="Q642" s="1" t="e">
        <f>IF(#REF!="Ja",VLOOKUP(A642,'[1]ZArtefakte aus Listen'!A:D,4,0),"")</f>
        <v>#REF!</v>
      </c>
    </row>
    <row r="643" spans="1:17" ht="12.6" hidden="1">
      <c r="A643" s="1" t="s">
        <v>1375</v>
      </c>
      <c r="B643" s="1" t="str">
        <f>VLOOKUP(A643,'Z-Programme'!$A$2:$A$650,1,FALSE)</f>
        <v>ZSD_WPVLIEF</v>
      </c>
      <c r="C643" s="1" t="s">
        <v>1376</v>
      </c>
      <c r="D643" s="1" t="s">
        <v>1533</v>
      </c>
      <c r="E643" s="1" t="s">
        <v>1534</v>
      </c>
      <c r="F643" s="1" t="s">
        <v>1544</v>
      </c>
      <c r="J643" s="5" t="s">
        <v>1536</v>
      </c>
      <c r="K643" s="1" t="s">
        <v>1537</v>
      </c>
      <c r="L643" s="1" t="s">
        <v>1680</v>
      </c>
      <c r="N643" s="1" t="e">
        <f>IF(#REF!="Ja",VLOOKUP(A643,'[1]ZArtefakte aus Listen'!A:B,2,0),"")</f>
        <v>#REF!</v>
      </c>
      <c r="Q643" s="1" t="e">
        <f>IF(#REF!="Ja",VLOOKUP(A643,'[1]ZArtefakte aus Listen'!A:D,4,0),"")</f>
        <v>#REF!</v>
      </c>
    </row>
    <row r="644" spans="1:17" ht="12.6" hidden="1">
      <c r="A644" s="1" t="s">
        <v>1377</v>
      </c>
      <c r="B644" s="1" t="str">
        <f>VLOOKUP(A644,'Z-Programme'!$A$2:$A$650,1,FALSE)</f>
        <v>ZSD_ZEKEAPC</v>
      </c>
      <c r="C644" s="1" t="s">
        <v>1379</v>
      </c>
      <c r="D644" s="1" t="s">
        <v>1533</v>
      </c>
      <c r="E644" s="1" t="s">
        <v>1633</v>
      </c>
      <c r="F644" s="1" t="s">
        <v>1549</v>
      </c>
      <c r="G644" s="1" t="s">
        <v>1826</v>
      </c>
      <c r="J644" s="5"/>
      <c r="K644" s="58" t="s">
        <v>1573</v>
      </c>
      <c r="N644" s="1" t="e">
        <f>IF(#REF!="Ja",VLOOKUP(A644,'[1]ZArtefakte aus Listen'!A:B,2,0),"")</f>
        <v>#REF!</v>
      </c>
      <c r="Q644" s="1" t="e">
        <f>IF(#REF!="Ja",VLOOKUP(A644,'[1]ZArtefakte aus Listen'!A:D,4,0),"")</f>
        <v>#REF!</v>
      </c>
    </row>
    <row r="645" spans="1:17" ht="12.6" hidden="1">
      <c r="A645" s="1" t="s">
        <v>1380</v>
      </c>
      <c r="B645" s="1" t="e">
        <f>VLOOKUP(A645,'Z-Programme'!$A$2:$A$650,1,FALSE)</f>
        <v>#N/A</v>
      </c>
      <c r="C645" s="1" t="s">
        <v>1381</v>
      </c>
      <c r="D645" s="1" t="s">
        <v>1533</v>
      </c>
      <c r="E645" s="1" t="s">
        <v>1534</v>
      </c>
      <c r="F645" s="6" t="s">
        <v>1827</v>
      </c>
      <c r="J645" s="5" t="s">
        <v>1536</v>
      </c>
      <c r="K645" s="1" t="s">
        <v>1537</v>
      </c>
      <c r="L645" s="1" t="s">
        <v>1752</v>
      </c>
      <c r="M645" s="6"/>
      <c r="N645" s="1" t="e">
        <f>IF(#REF!="Ja",VLOOKUP(A645,'[1]ZArtefakte aus Listen'!A:B,2,0),"")</f>
        <v>#REF!</v>
      </c>
      <c r="Q645" s="1" t="e">
        <f>IF(#REF!="Ja",VLOOKUP(A645,'[1]ZArtefakte aus Listen'!A:D,4,0),"")</f>
        <v>#REF!</v>
      </c>
    </row>
    <row r="646" spans="1:17" ht="12.6" hidden="1">
      <c r="A646" s="1" t="s">
        <v>1382</v>
      </c>
      <c r="B646" s="1" t="e">
        <f>VLOOKUP(A646,'Z-Programme'!$A$2:$A$650,1,FALSE)</f>
        <v>#N/A</v>
      </c>
      <c r="C646" s="1" t="s">
        <v>1384</v>
      </c>
      <c r="D646" s="1" t="s">
        <v>1533</v>
      </c>
      <c r="E646" s="1" t="s">
        <v>1558</v>
      </c>
      <c r="F646" s="1" t="s">
        <v>1493</v>
      </c>
      <c r="J646" s="5" t="s">
        <v>1536</v>
      </c>
      <c r="K646" s="1" t="s">
        <v>1542</v>
      </c>
      <c r="L646" s="1" t="s">
        <v>1737</v>
      </c>
      <c r="N646" s="1" t="e">
        <f>IF(#REF!="Ja",VLOOKUP(A646,'[1]ZArtefakte aus Listen'!A:B,2,0),"")</f>
        <v>#REF!</v>
      </c>
      <c r="Q646" s="1" t="e">
        <f>IF(#REF!="Ja",VLOOKUP(A646,'[1]ZArtefakte aus Listen'!A:D,4,0),"")</f>
        <v>#REF!</v>
      </c>
    </row>
    <row r="647" spans="1:17" ht="12.6" hidden="1">
      <c r="A647" s="1" t="s">
        <v>1385</v>
      </c>
      <c r="B647" s="1" t="e">
        <f>VLOOKUP(A647,'Z-Programme'!$A$2:$A$650,1,FALSE)</f>
        <v>#N/A</v>
      </c>
      <c r="C647" s="1" t="s">
        <v>1390</v>
      </c>
      <c r="D647" s="1" t="s">
        <v>1533</v>
      </c>
      <c r="E647" s="1" t="s">
        <v>1584</v>
      </c>
      <c r="F647" s="1" t="s">
        <v>1828</v>
      </c>
      <c r="J647" s="5" t="s">
        <v>1536</v>
      </c>
      <c r="K647" s="1" t="s">
        <v>1614</v>
      </c>
      <c r="L647" s="1" t="s">
        <v>1829</v>
      </c>
      <c r="N647" s="1" t="e">
        <f>IF(#REF!="Ja",VLOOKUP(A647,'[1]ZArtefakte aus Listen'!A:B,2,0),"")</f>
        <v>#REF!</v>
      </c>
      <c r="Q647" s="1" t="e">
        <f>IF(#REF!="Ja",VLOOKUP(A647,'[1]ZArtefakte aus Listen'!A:D,4,0),"")</f>
        <v>#REF!</v>
      </c>
    </row>
    <row r="648" spans="1:17" ht="12.6" hidden="1">
      <c r="A648" s="1" t="s">
        <v>1387</v>
      </c>
      <c r="B648" s="1" t="e">
        <f>VLOOKUP(A648,'Z-Programme'!$A$2:$A$650,1,FALSE)</f>
        <v>#N/A</v>
      </c>
      <c r="C648" s="1" t="s">
        <v>1388</v>
      </c>
      <c r="D648" s="1" t="s">
        <v>1533</v>
      </c>
      <c r="E648" s="1" t="s">
        <v>1584</v>
      </c>
      <c r="F648" s="1" t="s">
        <v>1830</v>
      </c>
      <c r="J648" s="5" t="s">
        <v>1536</v>
      </c>
      <c r="K648" s="1" t="s">
        <v>1614</v>
      </c>
      <c r="L648" s="1" t="s">
        <v>1829</v>
      </c>
      <c r="N648" s="1" t="e">
        <f>IF(#REF!="Ja",VLOOKUP(A648,'[1]ZArtefakte aus Listen'!A:B,2,0),"")</f>
        <v>#REF!</v>
      </c>
      <c r="Q648" s="1" t="e">
        <f>IF(#REF!="Ja",VLOOKUP(A648,'[1]ZArtefakte aus Listen'!A:D,4,0),"")</f>
        <v>#REF!</v>
      </c>
    </row>
    <row r="649" spans="1:17" ht="12.6" hidden="1">
      <c r="A649" s="1" t="s">
        <v>1389</v>
      </c>
      <c r="B649" s="1" t="e">
        <f>VLOOKUP(A649,'Z-Programme'!$A$2:$A$650,1,FALSE)</f>
        <v>#N/A</v>
      </c>
      <c r="C649" s="1" t="s">
        <v>1390</v>
      </c>
      <c r="D649" s="1" t="s">
        <v>1533</v>
      </c>
      <c r="E649" s="1" t="s">
        <v>1584</v>
      </c>
      <c r="F649" s="1" t="s">
        <v>1828</v>
      </c>
      <c r="J649" s="5" t="s">
        <v>1536</v>
      </c>
      <c r="K649" s="1" t="s">
        <v>1614</v>
      </c>
      <c r="L649" s="1" t="s">
        <v>1829</v>
      </c>
      <c r="N649" s="1" t="e">
        <f>IF(#REF!="Ja",VLOOKUP(A649,'[1]ZArtefakte aus Listen'!A:B,2,0),"")</f>
        <v>#REF!</v>
      </c>
      <c r="Q649" s="1" t="e">
        <f>IF(#REF!="Ja",VLOOKUP(A649,'[1]ZArtefakte aus Listen'!A:D,4,0),"")</f>
        <v>#REF!</v>
      </c>
    </row>
    <row r="650" spans="1:17" ht="12.6" hidden="1">
      <c r="A650" s="1" t="s">
        <v>1391</v>
      </c>
      <c r="B650" s="1" t="e">
        <f>VLOOKUP(A650,'Z-Programme'!$A$2:$A$650,1,FALSE)</f>
        <v>#N/A</v>
      </c>
      <c r="C650" s="1" t="s">
        <v>1392</v>
      </c>
      <c r="D650" s="1" t="s">
        <v>1533</v>
      </c>
      <c r="E650" s="1" t="s">
        <v>1558</v>
      </c>
      <c r="F650" s="1" t="s">
        <v>1831</v>
      </c>
      <c r="J650" s="5" t="s">
        <v>1536</v>
      </c>
      <c r="K650" s="1" t="s">
        <v>1542</v>
      </c>
      <c r="L650" s="1" t="s">
        <v>1832</v>
      </c>
      <c r="N650" s="1" t="e">
        <f>IF(#REF!="Ja",VLOOKUP(A650,'[1]ZArtefakte aus Listen'!A:B,2,0),"")</f>
        <v>#REF!</v>
      </c>
      <c r="Q650" s="1" t="e">
        <f>IF(#REF!="Ja",VLOOKUP(A650,'[1]ZArtefakte aus Listen'!A:D,4,0),"")</f>
        <v>#REF!</v>
      </c>
    </row>
    <row r="651" spans="1:17" ht="12.6" hidden="1">
      <c r="A651" s="1" t="s">
        <v>1393</v>
      </c>
      <c r="B651" s="1" t="e">
        <f>VLOOKUP(A651,'Z-Programme'!$A$2:$A$650,1,FALSE)</f>
        <v>#N/A</v>
      </c>
      <c r="C651" s="1" t="s">
        <v>1395</v>
      </c>
      <c r="D651" s="1" t="s">
        <v>1533</v>
      </c>
      <c r="E651" s="1" t="s">
        <v>1584</v>
      </c>
      <c r="F651" s="1" t="s">
        <v>1833</v>
      </c>
      <c r="J651" s="5" t="s">
        <v>1536</v>
      </c>
      <c r="K651" s="1" t="s">
        <v>1614</v>
      </c>
      <c r="L651" s="1" t="s">
        <v>1829</v>
      </c>
      <c r="N651" s="1" t="e">
        <f>IF(#REF!="Ja",VLOOKUP(A651,'[1]ZArtefakte aus Listen'!A:B,2,0),"")</f>
        <v>#REF!</v>
      </c>
      <c r="Q651" s="1" t="e">
        <f>IF(#REF!="Ja",VLOOKUP(A651,'[1]ZArtefakte aus Listen'!A:D,4,0),"")</f>
        <v>#REF!</v>
      </c>
    </row>
    <row r="652" spans="1:17" ht="12.6" hidden="1">
      <c r="A652" s="1" t="s">
        <v>1396</v>
      </c>
      <c r="B652" s="1" t="e">
        <f>VLOOKUP(A652,'Z-Programme'!$A$2:$A$650,1,FALSE)</f>
        <v>#N/A</v>
      </c>
      <c r="C652" s="1" t="s">
        <v>1388</v>
      </c>
      <c r="D652" s="1" t="s">
        <v>1533</v>
      </c>
      <c r="E652" s="1" t="s">
        <v>1558</v>
      </c>
      <c r="F652" s="1" t="s">
        <v>1830</v>
      </c>
      <c r="J652" s="5" t="s">
        <v>1536</v>
      </c>
      <c r="K652" s="1" t="s">
        <v>1542</v>
      </c>
      <c r="L652" s="11" t="s">
        <v>1834</v>
      </c>
      <c r="N652" s="1" t="e">
        <f>IF(#REF!="Ja",VLOOKUP(A652,'[1]ZArtefakte aus Listen'!A:B,2,0),"")</f>
        <v>#REF!</v>
      </c>
      <c r="Q652" s="1" t="e">
        <f>IF(#REF!="Ja",VLOOKUP(A652,'[1]ZArtefakte aus Listen'!A:D,4,0),"")</f>
        <v>#REF!</v>
      </c>
    </row>
    <row r="653" spans="1:17" ht="12.6" hidden="1">
      <c r="A653" s="1" t="s">
        <v>1397</v>
      </c>
      <c r="B653" s="1" t="e">
        <f>VLOOKUP(A653,'Z-Programme'!$A$2:$A$650,1,FALSE)</f>
        <v>#N/A</v>
      </c>
      <c r="C653" s="1" t="s">
        <v>1399</v>
      </c>
      <c r="D653" s="1" t="s">
        <v>1533</v>
      </c>
      <c r="E653" s="1" t="s">
        <v>1558</v>
      </c>
      <c r="F653" s="1" t="s">
        <v>1549</v>
      </c>
      <c r="G653" s="1" t="s">
        <v>1835</v>
      </c>
      <c r="J653" s="5"/>
      <c r="K653" s="1" t="s">
        <v>1542</v>
      </c>
      <c r="L653" s="1" t="s">
        <v>1836</v>
      </c>
      <c r="M653" s="5" t="s">
        <v>1536</v>
      </c>
      <c r="N653" s="1" t="e">
        <f>IF(#REF!="Ja",VLOOKUP(A653,'[1]ZArtefakte aus Listen'!A:B,2,0),"")</f>
        <v>#REF!</v>
      </c>
      <c r="Q653" s="1" t="e">
        <f>IF(#REF!="Ja",VLOOKUP(A653,'[1]ZArtefakte aus Listen'!A:D,4,0),"")</f>
        <v>#REF!</v>
      </c>
    </row>
    <row r="654" spans="1:17" ht="12.6" hidden="1">
      <c r="A654" s="1" t="s">
        <v>1400</v>
      </c>
      <c r="B654" s="1" t="e">
        <f>VLOOKUP(A654,'Z-Programme'!$A$2:$A$650,1,FALSE)</f>
        <v>#N/A</v>
      </c>
      <c r="C654" s="1" t="s">
        <v>1401</v>
      </c>
      <c r="D654" s="1" t="s">
        <v>1533</v>
      </c>
      <c r="E654" s="1" t="s">
        <v>1558</v>
      </c>
      <c r="F654" s="1" t="s">
        <v>1549</v>
      </c>
      <c r="G654" s="1" t="s">
        <v>1835</v>
      </c>
      <c r="J654" s="5"/>
      <c r="K654" s="1" t="s">
        <v>1542</v>
      </c>
      <c r="L654" s="1" t="s">
        <v>1836</v>
      </c>
      <c r="M654" s="5" t="s">
        <v>1536</v>
      </c>
      <c r="N654" s="1" t="e">
        <f>IF(#REF!="Ja",VLOOKUP(A654,'[1]ZArtefakte aus Listen'!A:B,2,0),"")</f>
        <v>#REF!</v>
      </c>
      <c r="Q654" s="1" t="e">
        <f>IF(#REF!="Ja",VLOOKUP(A654,'[1]ZArtefakte aus Listen'!A:D,4,0),"")</f>
        <v>#REF!</v>
      </c>
    </row>
    <row r="655" spans="1:17" ht="12.6" hidden="1">
      <c r="A655" s="12" t="s">
        <v>1508</v>
      </c>
      <c r="B655" s="1" t="e">
        <f>VLOOKUP(A655,'Z-Programme'!$A$2:$A$650,1,FALSE)</f>
        <v>#N/A</v>
      </c>
      <c r="C655" s="13" t="s">
        <v>1837</v>
      </c>
      <c r="D655" s="1" t="s">
        <v>1533</v>
      </c>
      <c r="E655" s="1" t="s">
        <v>1838</v>
      </c>
      <c r="K655" s="1" t="s">
        <v>1597</v>
      </c>
      <c r="L655" s="1" t="s">
        <v>1839</v>
      </c>
    </row>
    <row r="656" spans="1:17" ht="12.6" hidden="1">
      <c r="A656" t="s">
        <v>1840</v>
      </c>
      <c r="B656" s="1" t="e">
        <f>VLOOKUP(A656,'Z-Programme'!$A$2:$A$650,1,FALSE)</f>
        <v>#N/A</v>
      </c>
      <c r="D656" s="1" t="s">
        <v>1533</v>
      </c>
      <c r="E656" s="1" t="s">
        <v>1558</v>
      </c>
      <c r="G656" s="1" t="s">
        <v>1590</v>
      </c>
      <c r="K656" s="1" t="s">
        <v>1597</v>
      </c>
      <c r="L656" s="1" t="s">
        <v>1841</v>
      </c>
      <c r="M656" s="6" t="s">
        <v>1592</v>
      </c>
    </row>
    <row r="657" spans="1:2" ht="12.6" hidden="1">
      <c r="A657"/>
      <c r="B657"/>
    </row>
  </sheetData>
  <autoFilter ref="A1:Q657" xr:uid="{C5A8425E-BE2C-4CD2-BD2B-4A107F27A545}">
    <filterColumn colId="0">
      <filters>
        <filter val="ZRE_BSID_IMKEY_CLEAR"/>
        <filter val="ZRE_DRUCK_CONTAINER"/>
        <filter val="ZRE_HDVM"/>
        <filter val="ZRE_MIETBLATT"/>
        <filter val="ZRE_OBJEKTBLATT"/>
        <filter val="ZRE_STVARV_UPDATE"/>
      </filters>
    </filterColumn>
  </autoFilter>
  <phoneticPr fontId="15" type="noConversion"/>
  <pageMargins left="0.7" right="0.7" top="0.78740157499999996" bottom="0.78740157499999996" header="0.3" footer="0.3"/>
  <pageSetup paperSize="9" orientation="portrait" r:id="rId1"/>
  <headerFooter>
    <oddHeader>&amp;C&amp;"Calibri"&amp;10&amp;K000000 - Intern -&amp;1#_x000D_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6A7C-7ED4-4976-AB48-DB24AA8C277D}">
  <sheetPr codeName="Tabelle4" filterMode="1">
    <outlinePr summaryBelow="0"/>
  </sheetPr>
  <dimension ref="A1:T189"/>
  <sheetViews>
    <sheetView workbookViewId="0">
      <pane ySplit="1" topLeftCell="A2" activePane="bottomLeft" state="frozen"/>
      <selection pane="bottomLeft" activeCell="E1" sqref="E1"/>
    </sheetView>
  </sheetViews>
  <sheetFormatPr defaultColWidth="10.28515625" defaultRowHeight="13.5" customHeight="1"/>
  <cols>
    <col min="1" max="1" width="10.28515625" style="36"/>
    <col min="2" max="2" width="14.28515625" style="36" bestFit="1" customWidth="1"/>
    <col min="3" max="3" width="24.7109375" style="36" bestFit="1" customWidth="1"/>
    <col min="4" max="16384" width="10.28515625" style="36"/>
  </cols>
  <sheetData>
    <row r="1" spans="1:5" s="38" customFormat="1" ht="13.5" customHeight="1">
      <c r="A1" s="38" t="s">
        <v>1404</v>
      </c>
      <c r="B1" s="38" t="s">
        <v>1842</v>
      </c>
      <c r="C1" s="38" t="s">
        <v>1843</v>
      </c>
    </row>
    <row r="2" spans="1:5" ht="13.5" customHeight="1">
      <c r="A2" s="36" t="s">
        <v>1844</v>
      </c>
      <c r="B2" s="36" t="s">
        <v>1845</v>
      </c>
      <c r="C2" s="36" t="s">
        <v>1846</v>
      </c>
      <c r="D2" s="36" t="s">
        <v>1616</v>
      </c>
      <c r="E2" s="39"/>
    </row>
    <row r="3" spans="1:5" ht="13.5" customHeight="1">
      <c r="A3" s="36" t="s">
        <v>1847</v>
      </c>
      <c r="B3" s="36" t="s">
        <v>1845</v>
      </c>
      <c r="C3" s="36" t="s">
        <v>1846</v>
      </c>
      <c r="D3" s="36" t="s">
        <v>1616</v>
      </c>
      <c r="E3" s="39"/>
    </row>
    <row r="4" spans="1:5" ht="13.5" hidden="1" customHeight="1">
      <c r="A4" s="36" t="s">
        <v>995</v>
      </c>
      <c r="B4" s="36" t="s">
        <v>1848</v>
      </c>
      <c r="C4" s="36" t="s">
        <v>1846</v>
      </c>
      <c r="D4" s="36" t="s">
        <v>1616</v>
      </c>
      <c r="E4" s="39" t="e">
        <f>VLOOKUP(A4,'Z-Programme'!#REF!,1,FALSE)</f>
        <v>#REF!</v>
      </c>
    </row>
    <row r="5" spans="1:5" ht="13.5" customHeight="1">
      <c r="A5" s="36" t="s">
        <v>1849</v>
      </c>
      <c r="B5" s="36" t="s">
        <v>1845</v>
      </c>
      <c r="C5" s="36" t="s">
        <v>1846</v>
      </c>
      <c r="D5" s="36" t="s">
        <v>1629</v>
      </c>
      <c r="E5" s="39"/>
    </row>
    <row r="6" spans="1:5" ht="13.5" customHeight="1">
      <c r="A6" s="36" t="s">
        <v>684</v>
      </c>
      <c r="B6" s="36" t="s">
        <v>1845</v>
      </c>
      <c r="C6" s="36" t="s">
        <v>1850</v>
      </c>
      <c r="D6" s="36" t="s">
        <v>1616</v>
      </c>
      <c r="E6" s="39"/>
    </row>
    <row r="7" spans="1:5" ht="13.5" customHeight="1">
      <c r="A7" s="36" t="s">
        <v>1851</v>
      </c>
      <c r="B7" s="36" t="s">
        <v>1845</v>
      </c>
      <c r="C7" s="36" t="s">
        <v>1852</v>
      </c>
      <c r="D7" s="36" t="s">
        <v>1549</v>
      </c>
      <c r="E7" s="39"/>
    </row>
    <row r="8" spans="1:5" ht="13.5" customHeight="1">
      <c r="A8" s="36" t="s">
        <v>1853</v>
      </c>
      <c r="B8" s="36" t="s">
        <v>1845</v>
      </c>
      <c r="C8" s="36" t="s">
        <v>1852</v>
      </c>
      <c r="D8" s="36" t="s">
        <v>1549</v>
      </c>
      <c r="E8" s="39"/>
    </row>
    <row r="9" spans="1:5" ht="13.5" customHeight="1">
      <c r="A9" s="36" t="s">
        <v>1418</v>
      </c>
      <c r="B9" s="36" t="s">
        <v>1848</v>
      </c>
      <c r="C9" s="36" t="s">
        <v>1846</v>
      </c>
      <c r="D9" s="36" t="s">
        <v>1549</v>
      </c>
      <c r="E9" s="39"/>
    </row>
    <row r="10" spans="1:5" ht="13.5" hidden="1" customHeight="1">
      <c r="A10" s="36" t="s">
        <v>1198</v>
      </c>
      <c r="B10" s="36" t="s">
        <v>1848</v>
      </c>
      <c r="C10" s="36" t="s">
        <v>1846</v>
      </c>
      <c r="D10" s="36" t="s">
        <v>1549</v>
      </c>
      <c r="E10" s="39" t="e">
        <f>VLOOKUP(A10,'Z-Programme'!#REF!,1,FALSE)</f>
        <v>#REF!</v>
      </c>
    </row>
    <row r="11" spans="1:5" ht="13.5" hidden="1" customHeight="1">
      <c r="A11" s="36" t="s">
        <v>359</v>
      </c>
      <c r="B11" s="36" t="s">
        <v>1848</v>
      </c>
      <c r="C11" s="36" t="s">
        <v>1850</v>
      </c>
      <c r="D11" s="36" t="s">
        <v>1549</v>
      </c>
      <c r="E11" s="39" t="e">
        <f>VLOOKUP(A11,'Z-Programme'!#REF!,1,FALSE)</f>
        <v>#REF!</v>
      </c>
    </row>
    <row r="12" spans="1:5" ht="13.5" hidden="1" customHeight="1">
      <c r="A12" s="36" t="s">
        <v>653</v>
      </c>
      <c r="B12" s="36" t="s">
        <v>1845</v>
      </c>
      <c r="C12" s="36" t="s">
        <v>1850</v>
      </c>
      <c r="D12" s="36" t="s">
        <v>1549</v>
      </c>
      <c r="E12" s="39" t="e">
        <f>VLOOKUP(A12,'Z-Programme'!#REF!,1,FALSE)</f>
        <v>#REF!</v>
      </c>
    </row>
    <row r="13" spans="1:5" ht="13.5" hidden="1" customHeight="1">
      <c r="A13" s="36" t="s">
        <v>669</v>
      </c>
      <c r="B13" s="36" t="s">
        <v>1848</v>
      </c>
      <c r="C13" s="36" t="s">
        <v>1850</v>
      </c>
      <c r="D13" s="36" t="s">
        <v>1549</v>
      </c>
      <c r="E13" s="39" t="e">
        <f>VLOOKUP(A13,'Z-Programme'!#REF!,1,FALSE)</f>
        <v>#REF!</v>
      </c>
    </row>
    <row r="14" spans="1:5" ht="13.5" customHeight="1">
      <c r="A14" s="36" t="s">
        <v>1854</v>
      </c>
      <c r="B14" s="36" t="s">
        <v>1845</v>
      </c>
      <c r="C14" s="36" t="s">
        <v>1850</v>
      </c>
      <c r="D14" s="36" t="s">
        <v>1549</v>
      </c>
      <c r="E14" s="39"/>
    </row>
    <row r="15" spans="1:5" ht="13.5" hidden="1" customHeight="1">
      <c r="A15" s="36" t="s">
        <v>421</v>
      </c>
      <c r="B15" s="36" t="s">
        <v>1855</v>
      </c>
      <c r="C15" s="36" t="s">
        <v>1850</v>
      </c>
      <c r="D15" s="36" t="s">
        <v>1549</v>
      </c>
      <c r="E15" s="39" t="e">
        <f>VLOOKUP(A15,'Z-Programme'!#REF!,1,FALSE)</f>
        <v>#REF!</v>
      </c>
    </row>
    <row r="16" spans="1:5" ht="13.5" hidden="1" customHeight="1">
      <c r="A16" s="36" t="s">
        <v>557</v>
      </c>
      <c r="B16" s="36" t="s">
        <v>1845</v>
      </c>
      <c r="C16" s="36" t="s">
        <v>1850</v>
      </c>
      <c r="D16" s="36" t="s">
        <v>1549</v>
      </c>
      <c r="E16" s="39" t="e">
        <f>VLOOKUP(A16,'Z-Programme'!#REF!,1,FALSE)</f>
        <v>#REF!</v>
      </c>
    </row>
    <row r="17" spans="1:5" ht="13.5" hidden="1" customHeight="1">
      <c r="A17" s="36" t="s">
        <v>563</v>
      </c>
      <c r="B17" s="36" t="s">
        <v>1845</v>
      </c>
      <c r="C17" s="36" t="s">
        <v>1850</v>
      </c>
      <c r="D17" s="36" t="s">
        <v>1549</v>
      </c>
      <c r="E17" s="39" t="e">
        <f>VLOOKUP(A17,'Z-Programme'!#REF!,1,FALSE)</f>
        <v>#REF!</v>
      </c>
    </row>
    <row r="18" spans="1:5" ht="13.5" hidden="1" customHeight="1">
      <c r="A18" s="36" t="s">
        <v>554</v>
      </c>
      <c r="B18" s="36" t="s">
        <v>1845</v>
      </c>
      <c r="C18" s="36" t="s">
        <v>1850</v>
      </c>
      <c r="D18" s="36" t="s">
        <v>1549</v>
      </c>
      <c r="E18" s="39" t="e">
        <f>VLOOKUP(A18,'Z-Programme'!#REF!,1,FALSE)</f>
        <v>#REF!</v>
      </c>
    </row>
    <row r="19" spans="1:5" ht="13.5" hidden="1" customHeight="1">
      <c r="A19" s="36" t="s">
        <v>568</v>
      </c>
      <c r="B19" s="36" t="s">
        <v>1845</v>
      </c>
      <c r="C19" s="36" t="s">
        <v>1850</v>
      </c>
      <c r="D19" s="36" t="s">
        <v>1549</v>
      </c>
      <c r="E19" s="39" t="e">
        <f>VLOOKUP(A19,'Z-Programme'!#REF!,1,FALSE)</f>
        <v>#REF!</v>
      </c>
    </row>
    <row r="20" spans="1:5" ht="13.5" customHeight="1">
      <c r="A20" s="36" t="s">
        <v>1856</v>
      </c>
      <c r="B20" s="36" t="s">
        <v>1845</v>
      </c>
      <c r="C20" s="36" t="s">
        <v>1846</v>
      </c>
      <c r="D20" s="36" t="s">
        <v>1549</v>
      </c>
      <c r="E20" s="39"/>
    </row>
    <row r="21" spans="1:5" ht="13.5" customHeight="1">
      <c r="A21" s="36" t="s">
        <v>1857</v>
      </c>
      <c r="B21" s="36" t="s">
        <v>1845</v>
      </c>
      <c r="C21" s="36" t="s">
        <v>1846</v>
      </c>
      <c r="D21" s="36" t="s">
        <v>1629</v>
      </c>
      <c r="E21" s="39"/>
    </row>
    <row r="22" spans="1:5" ht="13.5" customHeight="1">
      <c r="A22" s="36" t="s">
        <v>1858</v>
      </c>
      <c r="B22" s="36" t="s">
        <v>1845</v>
      </c>
      <c r="C22" s="36" t="s">
        <v>1846</v>
      </c>
      <c r="D22" s="36" t="s">
        <v>1629</v>
      </c>
      <c r="E22" s="39"/>
    </row>
    <row r="23" spans="1:5" ht="13.5" customHeight="1">
      <c r="A23" s="36" t="s">
        <v>1859</v>
      </c>
      <c r="B23" s="36" t="s">
        <v>1845</v>
      </c>
      <c r="C23" s="36" t="s">
        <v>1846</v>
      </c>
      <c r="D23" s="36" t="s">
        <v>1629</v>
      </c>
      <c r="E23" s="39"/>
    </row>
    <row r="24" spans="1:5" ht="13.5" customHeight="1">
      <c r="A24" s="36" t="s">
        <v>1860</v>
      </c>
      <c r="B24" s="36" t="s">
        <v>1845</v>
      </c>
      <c r="C24" s="36" t="s">
        <v>1846</v>
      </c>
      <c r="D24" s="36" t="s">
        <v>1549</v>
      </c>
      <c r="E24" s="39"/>
    </row>
    <row r="25" spans="1:5" ht="13.5" customHeight="1">
      <c r="A25" s="36" t="s">
        <v>1861</v>
      </c>
      <c r="B25" s="36" t="s">
        <v>1845</v>
      </c>
      <c r="C25" s="36" t="s">
        <v>1846</v>
      </c>
      <c r="D25" s="36" t="s">
        <v>1549</v>
      </c>
      <c r="E25" s="39"/>
    </row>
    <row r="26" spans="1:5" ht="13.5" hidden="1" customHeight="1">
      <c r="A26" s="36" t="s">
        <v>1028</v>
      </c>
      <c r="B26" s="36" t="s">
        <v>1848</v>
      </c>
      <c r="C26" s="36" t="s">
        <v>1846</v>
      </c>
      <c r="D26" s="36" t="s">
        <v>1549</v>
      </c>
      <c r="E26" s="39" t="e">
        <f>VLOOKUP(A26,'Z-Programme'!#REF!,1,FALSE)</f>
        <v>#REF!</v>
      </c>
    </row>
    <row r="27" spans="1:5" ht="13.5" customHeight="1">
      <c r="A27" s="36" t="s">
        <v>1862</v>
      </c>
      <c r="B27" s="36" t="s">
        <v>1863</v>
      </c>
      <c r="C27" s="36" t="s">
        <v>1846</v>
      </c>
      <c r="D27" s="36" t="s">
        <v>1579</v>
      </c>
      <c r="E27" s="39"/>
    </row>
    <row r="28" spans="1:5" ht="13.5" customHeight="1">
      <c r="A28" s="36" t="s">
        <v>1864</v>
      </c>
      <c r="B28" s="36" t="s">
        <v>1863</v>
      </c>
      <c r="C28" s="36" t="s">
        <v>1846</v>
      </c>
      <c r="D28" s="36" t="s">
        <v>1579</v>
      </c>
      <c r="E28" s="39"/>
    </row>
    <row r="29" spans="1:5" ht="13.5" customHeight="1">
      <c r="A29" s="36" t="s">
        <v>1865</v>
      </c>
      <c r="B29" s="36" t="s">
        <v>1863</v>
      </c>
      <c r="C29" s="36" t="s">
        <v>1846</v>
      </c>
      <c r="D29" s="36" t="s">
        <v>1579</v>
      </c>
      <c r="E29" s="39"/>
    </row>
    <row r="30" spans="1:5" ht="13.5" customHeight="1">
      <c r="A30" s="36" t="s">
        <v>1866</v>
      </c>
      <c r="B30" s="36" t="s">
        <v>1863</v>
      </c>
      <c r="C30" s="36" t="s">
        <v>1846</v>
      </c>
      <c r="D30" s="36" t="s">
        <v>1579</v>
      </c>
      <c r="E30" s="39"/>
    </row>
    <row r="31" spans="1:5" ht="13.5" customHeight="1">
      <c r="A31" s="36" t="s">
        <v>881</v>
      </c>
      <c r="B31" s="36" t="s">
        <v>1845</v>
      </c>
      <c r="C31" s="36" t="s">
        <v>1852</v>
      </c>
      <c r="D31" s="36" t="s">
        <v>1739</v>
      </c>
      <c r="E31" s="39"/>
    </row>
    <row r="32" spans="1:5" ht="13.5" customHeight="1">
      <c r="A32" s="36" t="s">
        <v>1867</v>
      </c>
      <c r="B32" s="36" t="s">
        <v>1863</v>
      </c>
      <c r="C32" s="36" t="s">
        <v>1846</v>
      </c>
      <c r="D32" s="36" t="s">
        <v>1579</v>
      </c>
      <c r="E32" s="39"/>
    </row>
    <row r="33" spans="1:5" ht="13.5" customHeight="1">
      <c r="A33" s="36" t="s">
        <v>1868</v>
      </c>
      <c r="B33" s="36" t="s">
        <v>1863</v>
      </c>
      <c r="C33" s="36" t="s">
        <v>1846</v>
      </c>
      <c r="D33" s="36" t="s">
        <v>1579</v>
      </c>
      <c r="E33" s="39"/>
    </row>
    <row r="34" spans="1:5" ht="13.5" customHeight="1">
      <c r="A34" s="36" t="s">
        <v>300</v>
      </c>
      <c r="B34" s="36" t="s">
        <v>1845</v>
      </c>
      <c r="C34" s="36" t="s">
        <v>1852</v>
      </c>
      <c r="D34" s="36" t="s">
        <v>1616</v>
      </c>
      <c r="E34" s="39"/>
    </row>
    <row r="35" spans="1:5" ht="13.5" customHeight="1">
      <c r="A35" s="36" t="s">
        <v>598</v>
      </c>
      <c r="B35" s="36" t="s">
        <v>1845</v>
      </c>
      <c r="C35" s="36" t="s">
        <v>1852</v>
      </c>
      <c r="D35" s="36" t="s">
        <v>1869</v>
      </c>
      <c r="E35" s="39"/>
    </row>
    <row r="36" spans="1:5" ht="13.5" customHeight="1">
      <c r="A36" s="36" t="s">
        <v>426</v>
      </c>
      <c r="B36" s="36" t="s">
        <v>1845</v>
      </c>
      <c r="C36" s="36" t="s">
        <v>1852</v>
      </c>
      <c r="D36" s="36" t="s">
        <v>1616</v>
      </c>
      <c r="E36" s="39"/>
    </row>
    <row r="37" spans="1:5" ht="13.5" hidden="1" customHeight="1">
      <c r="A37" s="36" t="s">
        <v>486</v>
      </c>
      <c r="B37" s="36" t="s">
        <v>1848</v>
      </c>
      <c r="C37" s="36" t="s">
        <v>1846</v>
      </c>
      <c r="D37" s="36" t="s">
        <v>1616</v>
      </c>
      <c r="E37" s="39" t="e">
        <f>VLOOKUP(A37,'Z-Programme'!#REF!,1,FALSE)</f>
        <v>#REF!</v>
      </c>
    </row>
    <row r="38" spans="1:5" ht="13.5" hidden="1" customHeight="1">
      <c r="A38" s="36" t="s">
        <v>1104</v>
      </c>
      <c r="B38" s="36" t="s">
        <v>1848</v>
      </c>
      <c r="C38" s="36" t="s">
        <v>1846</v>
      </c>
      <c r="D38" s="36" t="s">
        <v>1549</v>
      </c>
      <c r="E38" s="39" t="e">
        <f>VLOOKUP(A38,'Z-Programme'!#REF!,1,FALSE)</f>
        <v>#REF!</v>
      </c>
    </row>
    <row r="39" spans="1:5" ht="13.5" hidden="1" customHeight="1">
      <c r="A39" s="36" t="s">
        <v>1000</v>
      </c>
      <c r="B39" s="36" t="s">
        <v>1848</v>
      </c>
      <c r="C39" s="36" t="s">
        <v>1846</v>
      </c>
      <c r="D39" s="36" t="s">
        <v>1616</v>
      </c>
      <c r="E39" s="39" t="e">
        <f>VLOOKUP(A39,'Z-Programme'!#REF!,1,FALSE)</f>
        <v>#REF!</v>
      </c>
    </row>
    <row r="40" spans="1:5" ht="13.5" hidden="1" customHeight="1">
      <c r="A40" s="36" t="s">
        <v>356</v>
      </c>
      <c r="B40" s="36" t="s">
        <v>1848</v>
      </c>
      <c r="C40" s="36" t="s">
        <v>1846</v>
      </c>
      <c r="D40" s="36" t="s">
        <v>1616</v>
      </c>
      <c r="E40" s="39" t="e">
        <f>VLOOKUP(A40,'Z-Programme'!#REF!,1,FALSE)</f>
        <v>#REF!</v>
      </c>
    </row>
    <row r="41" spans="1:5" ht="13.5" hidden="1" customHeight="1">
      <c r="A41" s="36" t="s">
        <v>313</v>
      </c>
      <c r="B41" s="36" t="s">
        <v>1848</v>
      </c>
      <c r="C41" s="36" t="s">
        <v>1846</v>
      </c>
      <c r="D41" s="36" t="s">
        <v>1579</v>
      </c>
      <c r="E41" s="39" t="e">
        <f>VLOOKUP(A41,'Z-Programme'!#REF!,1,FALSE)</f>
        <v>#REF!</v>
      </c>
    </row>
    <row r="42" spans="1:5" ht="13.5" customHeight="1">
      <c r="A42" s="36" t="s">
        <v>907</v>
      </c>
      <c r="B42" s="36" t="s">
        <v>1845</v>
      </c>
      <c r="C42" s="36" t="s">
        <v>1852</v>
      </c>
      <c r="D42" s="36" t="s">
        <v>1616</v>
      </c>
      <c r="E42" s="39"/>
    </row>
    <row r="43" spans="1:5" ht="13.5" customHeight="1">
      <c r="A43" s="36" t="s">
        <v>763</v>
      </c>
      <c r="B43" s="36" t="s">
        <v>1845</v>
      </c>
      <c r="C43" s="36" t="s">
        <v>1852</v>
      </c>
      <c r="D43" s="36" t="s">
        <v>1870</v>
      </c>
      <c r="E43" s="39"/>
    </row>
    <row r="44" spans="1:5" ht="13.5" hidden="1" customHeight="1">
      <c r="A44" s="36" t="s">
        <v>1215</v>
      </c>
      <c r="B44" s="36" t="s">
        <v>1848</v>
      </c>
      <c r="C44" s="36" t="s">
        <v>1846</v>
      </c>
      <c r="D44" s="36" t="s">
        <v>1549</v>
      </c>
      <c r="E44" s="39" t="e">
        <f>VLOOKUP(A44,'Z-Programme'!#REF!,1,FALSE)</f>
        <v>#REF!</v>
      </c>
    </row>
    <row r="45" spans="1:5" ht="13.5" hidden="1" customHeight="1">
      <c r="A45" s="36" t="s">
        <v>410</v>
      </c>
      <c r="B45" s="36" t="s">
        <v>1863</v>
      </c>
      <c r="C45" s="36" t="s">
        <v>1846</v>
      </c>
      <c r="D45" s="36" t="s">
        <v>1549</v>
      </c>
      <c r="E45" s="39" t="e">
        <f>VLOOKUP(A45,'Z-Programme'!#REF!,1,FALSE)</f>
        <v>#REF!</v>
      </c>
    </row>
    <row r="46" spans="1:5" ht="13.5" hidden="1" customHeight="1">
      <c r="A46" s="36" t="s">
        <v>483</v>
      </c>
      <c r="B46" s="36" t="s">
        <v>1848</v>
      </c>
      <c r="C46" s="36" t="s">
        <v>1846</v>
      </c>
      <c r="D46" s="36" t="s">
        <v>1870</v>
      </c>
      <c r="E46" s="39" t="e">
        <f>VLOOKUP(A46,'Z-Programme'!#REF!,1,FALSE)</f>
        <v>#REF!</v>
      </c>
    </row>
    <row r="47" spans="1:5" ht="13.5" hidden="1" customHeight="1">
      <c r="A47" s="36" t="s">
        <v>316</v>
      </c>
      <c r="B47" s="36" t="s">
        <v>1848</v>
      </c>
      <c r="C47" s="36" t="s">
        <v>1846</v>
      </c>
      <c r="D47" s="36" t="s">
        <v>1629</v>
      </c>
      <c r="E47" s="39" t="e">
        <f>VLOOKUP(A47,'Z-Programme'!#REF!,1,FALSE)</f>
        <v>#REF!</v>
      </c>
    </row>
    <row r="48" spans="1:5" ht="13.5" hidden="1" customHeight="1">
      <c r="A48" s="36" t="s">
        <v>142</v>
      </c>
      <c r="B48" s="36" t="s">
        <v>1848</v>
      </c>
      <c r="C48" s="36" t="s">
        <v>1846</v>
      </c>
      <c r="D48" s="36" t="s">
        <v>1616</v>
      </c>
      <c r="E48" s="39" t="e">
        <f>VLOOKUP(A48,'Z-Programme'!#REF!,1,FALSE)</f>
        <v>#REF!</v>
      </c>
    </row>
    <row r="49" spans="1:5" ht="13.5" customHeight="1">
      <c r="A49" s="36" t="s">
        <v>923</v>
      </c>
      <c r="B49" s="36" t="s">
        <v>1845</v>
      </c>
      <c r="C49" s="36" t="s">
        <v>1852</v>
      </c>
      <c r="D49" s="36" t="s">
        <v>1549</v>
      </c>
      <c r="E49" s="39"/>
    </row>
    <row r="50" spans="1:5" ht="13.5" hidden="1" customHeight="1">
      <c r="A50" s="36" t="s">
        <v>497</v>
      </c>
      <c r="B50" s="36" t="s">
        <v>1848</v>
      </c>
      <c r="C50" s="36" t="s">
        <v>1846</v>
      </c>
      <c r="D50" s="36" t="s">
        <v>1629</v>
      </c>
      <c r="E50" s="39" t="e">
        <f>VLOOKUP(A50,'Z-Programme'!#REF!,1,FALSE)</f>
        <v>#REF!</v>
      </c>
    </row>
    <row r="51" spans="1:5" ht="13.5" hidden="1" customHeight="1">
      <c r="A51" s="36" t="s">
        <v>418</v>
      </c>
      <c r="B51" s="36" t="s">
        <v>1848</v>
      </c>
      <c r="C51" s="36" t="s">
        <v>1846</v>
      </c>
      <c r="D51" s="36" t="s">
        <v>1616</v>
      </c>
      <c r="E51" s="39" t="e">
        <f>VLOOKUP(A51,'Z-Programme'!#REF!,1,FALSE)</f>
        <v>#REF!</v>
      </c>
    </row>
    <row r="52" spans="1:5" ht="13.5" customHeight="1">
      <c r="A52" s="36" t="s">
        <v>1871</v>
      </c>
      <c r="B52" s="36" t="s">
        <v>1845</v>
      </c>
      <c r="C52" s="36" t="s">
        <v>1852</v>
      </c>
      <c r="D52" s="36" t="s">
        <v>1629</v>
      </c>
      <c r="E52" s="39"/>
    </row>
    <row r="53" spans="1:5" ht="13.5" hidden="1" customHeight="1">
      <c r="A53" s="36" t="s">
        <v>537</v>
      </c>
      <c r="B53" s="36" t="s">
        <v>1845</v>
      </c>
      <c r="C53" s="36" t="s">
        <v>1852</v>
      </c>
      <c r="D53" s="36" t="s">
        <v>1629</v>
      </c>
      <c r="E53" s="39" t="e">
        <f>VLOOKUP(A53,'Z-Programme'!#REF!,1,FALSE)</f>
        <v>#REF!</v>
      </c>
    </row>
    <row r="54" spans="1:5" ht="13.5" customHeight="1">
      <c r="A54" s="36" t="s">
        <v>1872</v>
      </c>
      <c r="B54" s="36" t="s">
        <v>1845</v>
      </c>
      <c r="C54" s="36" t="s">
        <v>1852</v>
      </c>
      <c r="D54" s="36" t="s">
        <v>1549</v>
      </c>
      <c r="E54" s="39"/>
    </row>
    <row r="55" spans="1:5" ht="13.5" hidden="1" customHeight="1">
      <c r="A55" s="36" t="s">
        <v>349</v>
      </c>
      <c r="B55" s="36" t="s">
        <v>1848</v>
      </c>
      <c r="C55" s="36" t="s">
        <v>1846</v>
      </c>
      <c r="D55" s="36" t="s">
        <v>1549</v>
      </c>
      <c r="E55" s="39" t="e">
        <f>VLOOKUP(A55,'Z-Programme'!#REF!,1,FALSE)</f>
        <v>#REF!</v>
      </c>
    </row>
    <row r="56" spans="1:5" ht="13.5" hidden="1" customHeight="1">
      <c r="A56" s="36" t="s">
        <v>644</v>
      </c>
      <c r="B56" s="36" t="s">
        <v>1848</v>
      </c>
      <c r="C56" s="36" t="s">
        <v>1852</v>
      </c>
      <c r="D56" s="36" t="s">
        <v>1616</v>
      </c>
      <c r="E56" s="39" t="e">
        <f>VLOOKUP(A56,'Z-Programme'!#REF!,1,FALSE)</f>
        <v>#REF!</v>
      </c>
    </row>
    <row r="57" spans="1:5" ht="13.5" customHeight="1">
      <c r="A57" s="36" t="s">
        <v>1873</v>
      </c>
      <c r="B57" s="36" t="s">
        <v>1845</v>
      </c>
      <c r="C57" s="36" t="s">
        <v>1874</v>
      </c>
      <c r="D57" s="36" t="s">
        <v>1549</v>
      </c>
      <c r="E57" s="39"/>
    </row>
    <row r="58" spans="1:5" ht="13.5" customHeight="1">
      <c r="A58" s="36" t="s">
        <v>1875</v>
      </c>
      <c r="B58" s="36" t="s">
        <v>1863</v>
      </c>
      <c r="C58" s="36" t="s">
        <v>1846</v>
      </c>
      <c r="D58" s="36" t="s">
        <v>1579</v>
      </c>
      <c r="E58" s="39"/>
    </row>
    <row r="59" spans="1:5" ht="13.5" hidden="1" customHeight="1">
      <c r="A59" s="36" t="s">
        <v>374</v>
      </c>
      <c r="B59" s="36" t="s">
        <v>1848</v>
      </c>
      <c r="C59" s="36" t="s">
        <v>1846</v>
      </c>
      <c r="D59" s="36" t="s">
        <v>1616</v>
      </c>
      <c r="E59" s="39" t="e">
        <f>VLOOKUP(A59,'Z-Programme'!#REF!,1,FALSE)</f>
        <v>#REF!</v>
      </c>
    </row>
    <row r="60" spans="1:5" ht="13.5" customHeight="1">
      <c r="A60" s="36" t="s">
        <v>1876</v>
      </c>
      <c r="B60" s="36" t="s">
        <v>1863</v>
      </c>
      <c r="C60" s="36" t="s">
        <v>1846</v>
      </c>
      <c r="D60" s="36" t="s">
        <v>1579</v>
      </c>
      <c r="E60" s="39"/>
    </row>
    <row r="61" spans="1:5" ht="13.5" customHeight="1">
      <c r="A61" s="36" t="s">
        <v>1877</v>
      </c>
      <c r="B61" s="36" t="s">
        <v>1863</v>
      </c>
      <c r="C61" s="36" t="s">
        <v>1846</v>
      </c>
      <c r="D61" s="36" t="s">
        <v>1878</v>
      </c>
      <c r="E61" s="39"/>
    </row>
    <row r="62" spans="1:5" ht="13.5" customHeight="1">
      <c r="A62" s="36" t="s">
        <v>1879</v>
      </c>
      <c r="B62" s="36" t="s">
        <v>1845</v>
      </c>
      <c r="C62" s="36" t="s">
        <v>1852</v>
      </c>
      <c r="D62" s="36" t="s">
        <v>1616</v>
      </c>
      <c r="E62" s="39"/>
    </row>
    <row r="63" spans="1:5" ht="13.5" customHeight="1">
      <c r="A63" s="36" t="s">
        <v>1880</v>
      </c>
      <c r="B63" s="36" t="s">
        <v>1845</v>
      </c>
      <c r="C63" s="36" t="s">
        <v>1852</v>
      </c>
      <c r="D63" s="36" t="s">
        <v>1616</v>
      </c>
      <c r="E63" s="39"/>
    </row>
    <row r="64" spans="1:5" ht="13.5" customHeight="1">
      <c r="A64" s="36" t="s">
        <v>310</v>
      </c>
      <c r="B64" s="36" t="s">
        <v>1845</v>
      </c>
      <c r="C64" s="36" t="s">
        <v>1881</v>
      </c>
      <c r="D64" s="36" t="s">
        <v>1882</v>
      </c>
      <c r="E64" s="39"/>
    </row>
    <row r="65" spans="1:5" ht="13.5" hidden="1" customHeight="1">
      <c r="A65" s="36" t="s">
        <v>346</v>
      </c>
      <c r="B65" s="36" t="s">
        <v>85</v>
      </c>
      <c r="C65" s="36" t="s">
        <v>1883</v>
      </c>
      <c r="D65" s="36" t="s">
        <v>1549</v>
      </c>
      <c r="E65" s="39" t="e">
        <f>VLOOKUP(A65,'Z-Programme'!#REF!,1,FALSE)</f>
        <v>#REF!</v>
      </c>
    </row>
    <row r="66" spans="1:5" ht="13.5" hidden="1" customHeight="1">
      <c r="A66" s="36" t="s">
        <v>114</v>
      </c>
      <c r="B66" s="36" t="s">
        <v>1848</v>
      </c>
      <c r="C66" s="36" t="s">
        <v>1846</v>
      </c>
      <c r="D66" s="36" t="s">
        <v>1616</v>
      </c>
      <c r="E66" s="39" t="e">
        <f>VLOOKUP(A66,'Z-Programme'!#REF!,1,FALSE)</f>
        <v>#REF!</v>
      </c>
    </row>
    <row r="67" spans="1:5" ht="13.5" hidden="1" customHeight="1">
      <c r="A67" s="36" t="s">
        <v>1365</v>
      </c>
      <c r="B67" s="36" t="s">
        <v>1848</v>
      </c>
      <c r="C67" s="36" t="s">
        <v>1846</v>
      </c>
      <c r="D67" s="36" t="s">
        <v>1549</v>
      </c>
      <c r="E67" s="39" t="e">
        <f>VLOOKUP(A67,'Z-Programme'!#REF!,1,FALSE)</f>
        <v>#REF!</v>
      </c>
    </row>
    <row r="68" spans="1:5" ht="13.5" customHeight="1">
      <c r="A68" s="36" t="s">
        <v>176</v>
      </c>
      <c r="B68" s="36" t="s">
        <v>1845</v>
      </c>
      <c r="C68" s="36" t="s">
        <v>1881</v>
      </c>
      <c r="D68" s="36" t="s">
        <v>1579</v>
      </c>
      <c r="E68" s="39"/>
    </row>
    <row r="69" spans="1:5" ht="13.5" customHeight="1">
      <c r="A69" s="36" t="s">
        <v>179</v>
      </c>
      <c r="B69" s="36" t="s">
        <v>1845</v>
      </c>
      <c r="C69" s="36" t="s">
        <v>1881</v>
      </c>
      <c r="D69" s="36" t="s">
        <v>1579</v>
      </c>
      <c r="E69" s="39"/>
    </row>
    <row r="70" spans="1:5" ht="13.5" customHeight="1">
      <c r="A70" s="36" t="s">
        <v>185</v>
      </c>
      <c r="B70" s="36" t="s">
        <v>1845</v>
      </c>
      <c r="C70" s="36" t="s">
        <v>1881</v>
      </c>
      <c r="D70" s="36" t="s">
        <v>1579</v>
      </c>
      <c r="E70" s="39"/>
    </row>
    <row r="71" spans="1:5" ht="13.5" customHeight="1">
      <c r="A71" s="36" t="s">
        <v>227</v>
      </c>
      <c r="B71" s="36" t="s">
        <v>1845</v>
      </c>
      <c r="C71" s="36" t="s">
        <v>1881</v>
      </c>
      <c r="D71" s="36" t="s">
        <v>1579</v>
      </c>
      <c r="E71" s="39"/>
    </row>
    <row r="72" spans="1:5" ht="13.5" hidden="1" customHeight="1">
      <c r="A72" s="36" t="s">
        <v>238</v>
      </c>
      <c r="B72" s="36" t="s">
        <v>1845</v>
      </c>
      <c r="C72" s="36" t="s">
        <v>1846</v>
      </c>
      <c r="D72" s="36" t="s">
        <v>1579</v>
      </c>
      <c r="E72" s="39" t="e">
        <f>VLOOKUP(A72,'Z-Programme'!#REF!,1,FALSE)</f>
        <v>#REF!</v>
      </c>
    </row>
    <row r="73" spans="1:5" ht="13.5" hidden="1" customHeight="1">
      <c r="A73" s="36" t="s">
        <v>243</v>
      </c>
      <c r="B73" s="36" t="s">
        <v>1848</v>
      </c>
      <c r="C73" s="36" t="s">
        <v>1846</v>
      </c>
      <c r="D73" s="36" t="s">
        <v>1579</v>
      </c>
      <c r="E73" s="39" t="e">
        <f>VLOOKUP(A73,'Z-Programme'!#REF!,1,FALSE)</f>
        <v>#REF!</v>
      </c>
    </row>
    <row r="74" spans="1:5" ht="13.5" customHeight="1">
      <c r="A74" s="36" t="s">
        <v>248</v>
      </c>
      <c r="B74" s="36" t="s">
        <v>1845</v>
      </c>
      <c r="C74" s="36" t="s">
        <v>1881</v>
      </c>
      <c r="D74" s="36" t="s">
        <v>1579</v>
      </c>
      <c r="E74" s="39"/>
    </row>
    <row r="75" spans="1:5" ht="13.5" customHeight="1">
      <c r="A75" s="36" t="s">
        <v>264</v>
      </c>
      <c r="B75" s="36" t="s">
        <v>1845</v>
      </c>
      <c r="C75" s="36" t="s">
        <v>1881</v>
      </c>
      <c r="D75" s="36" t="s">
        <v>1579</v>
      </c>
      <c r="E75" s="39"/>
    </row>
    <row r="76" spans="1:5" ht="13.5" customHeight="1">
      <c r="A76" s="36" t="s">
        <v>267</v>
      </c>
      <c r="B76" s="36" t="s">
        <v>1845</v>
      </c>
      <c r="C76" s="36" t="s">
        <v>1881</v>
      </c>
      <c r="D76" s="36" t="s">
        <v>1739</v>
      </c>
      <c r="E76" s="39"/>
    </row>
    <row r="77" spans="1:5" ht="13.5" hidden="1" customHeight="1">
      <c r="A77" s="36" t="s">
        <v>273</v>
      </c>
      <c r="B77" s="36" t="s">
        <v>1848</v>
      </c>
      <c r="C77" s="36" t="s">
        <v>1846</v>
      </c>
      <c r="D77" s="36" t="s">
        <v>1579</v>
      </c>
      <c r="E77" s="39" t="e">
        <f>VLOOKUP(A77,'Z-Programme'!#REF!,1,FALSE)</f>
        <v>#REF!</v>
      </c>
    </row>
    <row r="78" spans="1:5" ht="13.5" hidden="1" customHeight="1">
      <c r="A78" s="36" t="s">
        <v>303</v>
      </c>
      <c r="B78" s="36" t="s">
        <v>1848</v>
      </c>
      <c r="C78" s="36" t="s">
        <v>1846</v>
      </c>
      <c r="D78" s="36" t="s">
        <v>1629</v>
      </c>
      <c r="E78" s="39" t="e">
        <f>VLOOKUP(A78,'Z-Programme'!#REF!,1,FALSE)</f>
        <v>#REF!</v>
      </c>
    </row>
    <row r="79" spans="1:5" ht="13.5" hidden="1" customHeight="1">
      <c r="A79" s="36" t="s">
        <v>333</v>
      </c>
      <c r="B79" s="36" t="s">
        <v>85</v>
      </c>
      <c r="C79" s="36" t="s">
        <v>1883</v>
      </c>
      <c r="D79" s="36" t="s">
        <v>1629</v>
      </c>
      <c r="E79" s="39" t="e">
        <f>VLOOKUP(A79,'Z-Programme'!#REF!,1,FALSE)</f>
        <v>#REF!</v>
      </c>
    </row>
    <row r="80" spans="1:5" ht="13.5" hidden="1" customHeight="1">
      <c r="A80" s="36" t="s">
        <v>429</v>
      </c>
      <c r="B80" s="36" t="s">
        <v>1863</v>
      </c>
      <c r="C80" s="36" t="s">
        <v>1846</v>
      </c>
      <c r="D80" s="36" t="s">
        <v>1549</v>
      </c>
      <c r="E80" s="39" t="e">
        <f>VLOOKUP(A80,'Z-Programme'!#REF!,1,FALSE)</f>
        <v>#REF!</v>
      </c>
    </row>
    <row r="81" spans="1:5" ht="13.5" customHeight="1">
      <c r="A81" s="36" t="s">
        <v>531</v>
      </c>
      <c r="B81" s="36" t="s">
        <v>1845</v>
      </c>
      <c r="C81" s="36" t="s">
        <v>1881</v>
      </c>
      <c r="D81" s="36" t="s">
        <v>1629</v>
      </c>
      <c r="E81" s="39"/>
    </row>
    <row r="82" spans="1:5" ht="13.5" customHeight="1">
      <c r="A82" s="36" t="s">
        <v>1884</v>
      </c>
      <c r="B82" s="36" t="s">
        <v>1845</v>
      </c>
      <c r="C82" s="36" t="s">
        <v>1881</v>
      </c>
      <c r="D82" s="36" t="s">
        <v>1629</v>
      </c>
      <c r="E82" s="39"/>
    </row>
    <row r="83" spans="1:5" ht="13.5" hidden="1" customHeight="1">
      <c r="A83" s="36" t="s">
        <v>687</v>
      </c>
      <c r="B83" s="36" t="s">
        <v>1848</v>
      </c>
      <c r="C83" s="36" t="s">
        <v>1846</v>
      </c>
      <c r="D83" s="36" t="s">
        <v>1549</v>
      </c>
      <c r="E83" s="39" t="e">
        <f>VLOOKUP(A83,'Z-Programme'!#REF!,1,FALSE)</f>
        <v>#REF!</v>
      </c>
    </row>
    <row r="84" spans="1:5" ht="13.5" hidden="1" customHeight="1">
      <c r="A84" s="36" t="s">
        <v>770</v>
      </c>
      <c r="B84" s="36" t="s">
        <v>85</v>
      </c>
      <c r="C84" s="36" t="s">
        <v>1883</v>
      </c>
      <c r="D84" s="36" t="s">
        <v>1629</v>
      </c>
      <c r="E84" s="39" t="e">
        <f>VLOOKUP(A84,'Z-Programme'!#REF!,1,FALSE)</f>
        <v>#REF!</v>
      </c>
    </row>
    <row r="85" spans="1:5" ht="13.5" customHeight="1">
      <c r="A85" s="36" t="s">
        <v>788</v>
      </c>
      <c r="B85" s="36" t="s">
        <v>1845</v>
      </c>
      <c r="C85" s="36" t="s">
        <v>1885</v>
      </c>
      <c r="D85" s="36" t="s">
        <v>1629</v>
      </c>
      <c r="E85" s="39"/>
    </row>
    <row r="86" spans="1:5" ht="13.5" hidden="1" customHeight="1">
      <c r="A86" s="36" t="s">
        <v>796</v>
      </c>
      <c r="B86" s="36" t="s">
        <v>85</v>
      </c>
      <c r="C86" s="36" t="s">
        <v>1883</v>
      </c>
      <c r="D86" s="36" t="s">
        <v>1493</v>
      </c>
      <c r="E86" s="39" t="e">
        <f>VLOOKUP(A86,'Z-Programme'!#REF!,1,FALSE)</f>
        <v>#REF!</v>
      </c>
    </row>
    <row r="87" spans="1:5" ht="13.5" hidden="1" customHeight="1">
      <c r="A87" s="36" t="s">
        <v>803</v>
      </c>
      <c r="B87" s="36" t="s">
        <v>1848</v>
      </c>
      <c r="C87" s="36" t="s">
        <v>1846</v>
      </c>
      <c r="D87" s="36" t="s">
        <v>1616</v>
      </c>
      <c r="E87" s="39" t="e">
        <f>VLOOKUP(A87,'Z-Programme'!#REF!,1,FALSE)</f>
        <v>#REF!</v>
      </c>
    </row>
    <row r="88" spans="1:5" ht="13.5" hidden="1" customHeight="1">
      <c r="A88" s="36" t="s">
        <v>866</v>
      </c>
      <c r="B88" s="36" t="s">
        <v>85</v>
      </c>
      <c r="C88" s="36" t="s">
        <v>1883</v>
      </c>
      <c r="D88" s="36" t="s">
        <v>1629</v>
      </c>
      <c r="E88" s="39" t="e">
        <f>VLOOKUP(A88,'Z-Programme'!#REF!,1,FALSE)</f>
        <v>#REF!</v>
      </c>
    </row>
    <row r="89" spans="1:5" ht="13.5" hidden="1" customHeight="1">
      <c r="A89" s="36" t="s">
        <v>853</v>
      </c>
      <c r="B89" s="36" t="s">
        <v>85</v>
      </c>
      <c r="C89" s="36" t="s">
        <v>1883</v>
      </c>
      <c r="D89" s="36" t="s">
        <v>1886</v>
      </c>
      <c r="E89" s="39" t="e">
        <f>VLOOKUP(A89,'Z-Programme'!#REF!,1,FALSE)</f>
        <v>#REF!</v>
      </c>
    </row>
    <row r="90" spans="1:5" ht="13.5" hidden="1" customHeight="1">
      <c r="A90" s="36" t="s">
        <v>877</v>
      </c>
      <c r="B90" s="36" t="s">
        <v>85</v>
      </c>
      <c r="C90" s="36" t="s">
        <v>1883</v>
      </c>
      <c r="D90" s="36" t="s">
        <v>1493</v>
      </c>
      <c r="E90" s="39" t="e">
        <f>VLOOKUP(A90,'Z-Programme'!#REF!,1,FALSE)</f>
        <v>#REF!</v>
      </c>
    </row>
    <row r="91" spans="1:5" ht="13.5" hidden="1" customHeight="1">
      <c r="A91" s="36" t="s">
        <v>938</v>
      </c>
      <c r="B91" s="36" t="s">
        <v>1855</v>
      </c>
      <c r="C91" s="36" t="s">
        <v>1881</v>
      </c>
      <c r="D91" s="36" t="s">
        <v>1549</v>
      </c>
      <c r="E91" s="39" t="e">
        <f>VLOOKUP(A91,'Z-Programme'!#REF!,1,FALSE)</f>
        <v>#REF!</v>
      </c>
    </row>
    <row r="92" spans="1:5" ht="13.5" hidden="1" customHeight="1">
      <c r="A92" s="36" t="s">
        <v>1082</v>
      </c>
      <c r="B92" s="36" t="s">
        <v>85</v>
      </c>
      <c r="C92" s="36" t="s">
        <v>1883</v>
      </c>
      <c r="D92" s="36" t="s">
        <v>1887</v>
      </c>
      <c r="E92" s="39" t="e">
        <f>VLOOKUP(A92,'Z-Programme'!#REF!,1,FALSE)</f>
        <v>#REF!</v>
      </c>
    </row>
    <row r="93" spans="1:5" ht="13.5" hidden="1" customHeight="1">
      <c r="A93" s="36" t="s">
        <v>1398</v>
      </c>
      <c r="B93" s="36" t="s">
        <v>1848</v>
      </c>
      <c r="C93" s="36" t="s">
        <v>1846</v>
      </c>
      <c r="D93" s="36" t="s">
        <v>1616</v>
      </c>
      <c r="E93" s="39" t="e">
        <f>VLOOKUP(A93,'Z-Programme'!#REF!,1,FALSE)</f>
        <v>#REF!</v>
      </c>
    </row>
    <row r="94" spans="1:5" ht="13.5" customHeight="1">
      <c r="A94" s="36" t="s">
        <v>617</v>
      </c>
      <c r="B94" s="36" t="s">
        <v>1845</v>
      </c>
      <c r="C94" s="36" t="s">
        <v>1881</v>
      </c>
      <c r="D94" s="36" t="s">
        <v>1886</v>
      </c>
      <c r="E94" s="39"/>
    </row>
    <row r="95" spans="1:5" ht="13.5" hidden="1" customHeight="1">
      <c r="A95" s="36" t="s">
        <v>785</v>
      </c>
      <c r="B95" s="36" t="s">
        <v>85</v>
      </c>
      <c r="C95" s="36" t="s">
        <v>1883</v>
      </c>
      <c r="D95" s="36" t="s">
        <v>1549</v>
      </c>
      <c r="E95" s="39" t="e">
        <f>VLOOKUP(A95,'Z-Programme'!#REF!,1,FALSE)</f>
        <v>#REF!</v>
      </c>
    </row>
    <row r="96" spans="1:5" ht="13.5" customHeight="1">
      <c r="A96" s="36" t="s">
        <v>1888</v>
      </c>
      <c r="B96" s="36" t="s">
        <v>1845</v>
      </c>
      <c r="C96" s="36" t="s">
        <v>1881</v>
      </c>
      <c r="D96" s="36" t="s">
        <v>1886</v>
      </c>
      <c r="E96" s="39"/>
    </row>
    <row r="97" spans="1:5" ht="13.5" hidden="1" customHeight="1">
      <c r="A97" s="36" t="s">
        <v>1394</v>
      </c>
      <c r="B97" s="36" t="s">
        <v>1855</v>
      </c>
      <c r="C97" s="36" t="s">
        <v>1881</v>
      </c>
      <c r="D97" s="36" t="s">
        <v>1889</v>
      </c>
      <c r="E97" s="39" t="e">
        <f>VLOOKUP(A97,'Z-Programme'!#REF!,1,FALSE)</f>
        <v>#REF!</v>
      </c>
    </row>
    <row r="98" spans="1:5" ht="13.5" customHeight="1">
      <c r="A98" s="36" t="s">
        <v>523</v>
      </c>
      <c r="B98" s="36" t="s">
        <v>1845</v>
      </c>
      <c r="C98" s="36" t="s">
        <v>1881</v>
      </c>
      <c r="D98" s="36" t="s">
        <v>1886</v>
      </c>
      <c r="E98" s="39"/>
    </row>
    <row r="99" spans="1:5" ht="13.5" customHeight="1">
      <c r="A99" s="36" t="s">
        <v>1500</v>
      </c>
      <c r="B99" s="36" t="s">
        <v>1855</v>
      </c>
      <c r="C99" s="36" t="s">
        <v>1881</v>
      </c>
      <c r="D99" s="36" t="s">
        <v>1889</v>
      </c>
      <c r="E99" s="39"/>
    </row>
    <row r="100" spans="1:5" ht="13.5" customHeight="1">
      <c r="A100" s="36" t="s">
        <v>1890</v>
      </c>
      <c r="B100" s="36" t="s">
        <v>1845</v>
      </c>
      <c r="C100" s="36" t="s">
        <v>1881</v>
      </c>
      <c r="D100" s="36" t="s">
        <v>1889</v>
      </c>
      <c r="E100" s="39"/>
    </row>
    <row r="101" spans="1:5" ht="13.5" hidden="1" customHeight="1">
      <c r="A101" s="36" t="s">
        <v>1383</v>
      </c>
      <c r="B101" s="36" t="s">
        <v>1855</v>
      </c>
      <c r="C101" s="36" t="s">
        <v>1881</v>
      </c>
      <c r="D101" s="36" t="s">
        <v>1889</v>
      </c>
      <c r="E101" s="39" t="e">
        <f>VLOOKUP(A101,'Z-Programme'!#REF!,1,FALSE)</f>
        <v>#REF!</v>
      </c>
    </row>
    <row r="102" spans="1:5" ht="13.5" customHeight="1">
      <c r="A102" s="36" t="s">
        <v>1504</v>
      </c>
      <c r="B102" s="36" t="s">
        <v>1855</v>
      </c>
      <c r="C102" s="36" t="s">
        <v>1881</v>
      </c>
      <c r="D102" s="36" t="s">
        <v>1889</v>
      </c>
      <c r="E102" s="39"/>
    </row>
    <row r="103" spans="1:5" ht="13.5" customHeight="1">
      <c r="A103" s="36" t="s">
        <v>1891</v>
      </c>
      <c r="B103" s="36" t="s">
        <v>1855</v>
      </c>
      <c r="C103" s="36" t="s">
        <v>1881</v>
      </c>
      <c r="D103" s="36" t="s">
        <v>1889</v>
      </c>
      <c r="E103" s="39"/>
    </row>
    <row r="104" spans="1:5" ht="13.5" customHeight="1">
      <c r="A104" s="36" t="s">
        <v>1892</v>
      </c>
      <c r="B104" s="36" t="s">
        <v>1855</v>
      </c>
      <c r="C104" s="36" t="s">
        <v>1881</v>
      </c>
      <c r="D104" s="36" t="s">
        <v>1889</v>
      </c>
      <c r="E104" s="39"/>
    </row>
    <row r="105" spans="1:5" ht="13.5" customHeight="1">
      <c r="A105" s="36" t="s">
        <v>1893</v>
      </c>
      <c r="B105" s="36" t="s">
        <v>1855</v>
      </c>
      <c r="C105" s="36" t="s">
        <v>1881</v>
      </c>
      <c r="D105" s="36" t="s">
        <v>1889</v>
      </c>
      <c r="E105" s="39"/>
    </row>
    <row r="106" spans="1:5" ht="13.5" hidden="1" customHeight="1">
      <c r="A106" s="36" t="s">
        <v>812</v>
      </c>
      <c r="B106" s="36" t="s">
        <v>1848</v>
      </c>
      <c r="C106" s="36" t="s">
        <v>1846</v>
      </c>
      <c r="D106" s="36" t="s">
        <v>1870</v>
      </c>
      <c r="E106" s="39" t="e">
        <f>VLOOKUP(A106,'Z-Programme'!#REF!,1,FALSE)</f>
        <v>#REF!</v>
      </c>
    </row>
    <row r="107" spans="1:5" ht="13.5" hidden="1" customHeight="1">
      <c r="A107" s="36" t="s">
        <v>233</v>
      </c>
      <c r="B107" s="36" t="s">
        <v>1848</v>
      </c>
      <c r="C107" s="36" t="s">
        <v>1846</v>
      </c>
      <c r="D107" s="36" t="s">
        <v>1579</v>
      </c>
      <c r="E107" s="39" t="e">
        <f>VLOOKUP(A107,'Z-Programme'!#REF!,1,FALSE)</f>
        <v>#REF!</v>
      </c>
    </row>
    <row r="108" spans="1:5" ht="13.5" hidden="1" customHeight="1">
      <c r="A108" s="36" t="s">
        <v>607</v>
      </c>
      <c r="B108" s="36" t="s">
        <v>1848</v>
      </c>
      <c r="C108" s="36" t="s">
        <v>1846</v>
      </c>
      <c r="D108" s="36" t="s">
        <v>1549</v>
      </c>
      <c r="E108" s="39" t="e">
        <f>VLOOKUP(A108,'Z-Programme'!#REF!,1,FALSE)</f>
        <v>#REF!</v>
      </c>
    </row>
    <row r="109" spans="1:5" ht="13.5" hidden="1" customHeight="1">
      <c r="A109" s="36" t="s">
        <v>52</v>
      </c>
      <c r="B109" s="36" t="s">
        <v>1848</v>
      </c>
      <c r="C109" s="36" t="s">
        <v>1846</v>
      </c>
      <c r="D109" s="36" t="s">
        <v>1616</v>
      </c>
      <c r="E109" s="39" t="e">
        <f>VLOOKUP(A109,'Z-Programme'!#REF!,1,FALSE)</f>
        <v>#REF!</v>
      </c>
    </row>
    <row r="110" spans="1:5" ht="13.5" hidden="1" customHeight="1">
      <c r="A110" s="36" t="s">
        <v>534</v>
      </c>
      <c r="B110" s="36" t="s">
        <v>1848</v>
      </c>
      <c r="C110" s="36" t="s">
        <v>1846</v>
      </c>
      <c r="D110" s="36" t="s">
        <v>1616</v>
      </c>
      <c r="E110" s="39" t="e">
        <f>VLOOKUP(A110,'Z-Programme'!#REF!,1,FALSE)</f>
        <v>#REF!</v>
      </c>
    </row>
    <row r="111" spans="1:5" ht="13.5" hidden="1" customHeight="1">
      <c r="A111" s="36" t="s">
        <v>958</v>
      </c>
      <c r="B111" s="36" t="s">
        <v>1848</v>
      </c>
      <c r="C111" s="36" t="s">
        <v>1852</v>
      </c>
      <c r="D111" s="36" t="s">
        <v>1616</v>
      </c>
      <c r="E111" s="39" t="e">
        <f>VLOOKUP(A111,'Z-Programme'!#REF!,1,FALSE)</f>
        <v>#REF!</v>
      </c>
    </row>
    <row r="112" spans="1:5" ht="13.5" hidden="1" customHeight="1">
      <c r="A112" s="36" t="s">
        <v>1028</v>
      </c>
      <c r="B112" s="36" t="s">
        <v>1848</v>
      </c>
      <c r="C112" s="36" t="s">
        <v>1846</v>
      </c>
      <c r="D112" s="36" t="s">
        <v>1549</v>
      </c>
      <c r="E112" s="39" t="e">
        <f>VLOOKUP(A112,'Z-Programme'!#REF!,1,FALSE)</f>
        <v>#REF!</v>
      </c>
    </row>
    <row r="113" spans="1:20" ht="13.5" hidden="1" customHeight="1">
      <c r="A113" s="36" t="s">
        <v>1028</v>
      </c>
      <c r="B113" s="36" t="s">
        <v>1848</v>
      </c>
      <c r="C113" s="36" t="s">
        <v>1846</v>
      </c>
      <c r="D113" s="36" t="s">
        <v>1549</v>
      </c>
      <c r="E113" s="39" t="e">
        <f>VLOOKUP(A113,'Z-Programme'!#REF!,1,FALSE)</f>
        <v>#REF!</v>
      </c>
    </row>
    <row r="114" spans="1:20" ht="13.5" hidden="1" customHeight="1">
      <c r="A114" s="36" t="s">
        <v>1028</v>
      </c>
      <c r="B114" s="36" t="s">
        <v>1848</v>
      </c>
      <c r="C114" s="36" t="s">
        <v>1846</v>
      </c>
      <c r="D114" s="36" t="s">
        <v>1549</v>
      </c>
      <c r="E114" s="39" t="e">
        <f>VLOOKUP(A114,'Z-Programme'!#REF!,1,FALSE)</f>
        <v>#REF!</v>
      </c>
    </row>
    <row r="115" spans="1:20" ht="13.5" hidden="1" customHeight="1">
      <c r="A115" s="36" t="s">
        <v>1028</v>
      </c>
      <c r="B115" s="36" t="s">
        <v>1848</v>
      </c>
      <c r="C115" s="36" t="s">
        <v>1846</v>
      </c>
      <c r="D115" s="36" t="s">
        <v>1549</v>
      </c>
      <c r="E115" s="39" t="e">
        <f>VLOOKUP(A115,'Z-Programme'!#REF!,1,FALSE)</f>
        <v>#REF!</v>
      </c>
    </row>
    <row r="116" spans="1:20" ht="13.5" hidden="1" customHeight="1">
      <c r="A116" s="36" t="s">
        <v>1028</v>
      </c>
      <c r="B116" s="36" t="s">
        <v>1848</v>
      </c>
      <c r="C116" s="36" t="s">
        <v>1846</v>
      </c>
      <c r="D116" s="36" t="s">
        <v>1549</v>
      </c>
      <c r="E116" s="39" t="e">
        <f>VLOOKUP(A116,'Z-Programme'!#REF!,1,FALSE)</f>
        <v>#REF!</v>
      </c>
    </row>
    <row r="117" spans="1:20" ht="13.5" hidden="1" customHeight="1">
      <c r="A117" s="36" t="s">
        <v>1028</v>
      </c>
      <c r="B117" s="36" t="s">
        <v>1848</v>
      </c>
      <c r="C117" s="36" t="s">
        <v>1846</v>
      </c>
      <c r="D117" s="36" t="s">
        <v>1549</v>
      </c>
      <c r="E117" s="39" t="e">
        <f>VLOOKUP(A117,'Z-Programme'!#REF!,1,FALSE)</f>
        <v>#REF!</v>
      </c>
    </row>
    <row r="118" spans="1:20" ht="13.5" hidden="1" customHeight="1">
      <c r="A118" s="36" t="s">
        <v>1028</v>
      </c>
      <c r="B118" s="36" t="s">
        <v>1848</v>
      </c>
      <c r="C118" s="36" t="s">
        <v>1846</v>
      </c>
      <c r="D118" s="36" t="s">
        <v>1549</v>
      </c>
      <c r="E118" s="39" t="e">
        <f>VLOOKUP(A118,'Z-Programme'!#REF!,1,FALSE)</f>
        <v>#REF!</v>
      </c>
    </row>
    <row r="119" spans="1:20" ht="13.5" hidden="1" customHeight="1">
      <c r="A119" s="36" t="s">
        <v>1028</v>
      </c>
      <c r="B119" s="36" t="s">
        <v>1848</v>
      </c>
      <c r="C119" s="36" t="s">
        <v>1846</v>
      </c>
      <c r="D119" s="36" t="s">
        <v>1549</v>
      </c>
      <c r="E119" s="39" t="e">
        <f>VLOOKUP(A119,'Z-Programme'!#REF!,1,FALSE)</f>
        <v>#REF!</v>
      </c>
    </row>
    <row r="120" spans="1:20" ht="13.5" hidden="1" customHeight="1">
      <c r="A120" s="36" t="s">
        <v>1028</v>
      </c>
      <c r="B120" s="36" t="s">
        <v>1848</v>
      </c>
      <c r="C120" s="36" t="s">
        <v>1846</v>
      </c>
      <c r="D120" s="36" t="s">
        <v>1549</v>
      </c>
      <c r="E120" s="39" t="e">
        <f>VLOOKUP(A120,'Z-Programme'!#REF!,1,FALSE)</f>
        <v>#REF!</v>
      </c>
    </row>
    <row r="121" spans="1:20" ht="13.5" hidden="1" customHeight="1">
      <c r="A121" s="36" t="s">
        <v>1028</v>
      </c>
      <c r="B121" s="36" t="s">
        <v>1848</v>
      </c>
      <c r="C121" s="36" t="s">
        <v>1846</v>
      </c>
      <c r="D121" s="36" t="s">
        <v>1549</v>
      </c>
      <c r="E121" s="39" t="e">
        <f>VLOOKUP(A121,'Z-Programme'!#REF!,1,FALSE)</f>
        <v>#REF!</v>
      </c>
      <c r="S121" s="36" t="s">
        <v>1894</v>
      </c>
      <c r="T121" s="36" t="s">
        <v>1895</v>
      </c>
    </row>
    <row r="122" spans="1:20" ht="13.5" hidden="1" customHeight="1">
      <c r="A122" s="36" t="s">
        <v>1028</v>
      </c>
      <c r="B122" s="36" t="s">
        <v>1848</v>
      </c>
      <c r="C122" s="36" t="s">
        <v>1846</v>
      </c>
      <c r="D122" s="36" t="s">
        <v>1549</v>
      </c>
      <c r="E122" s="39" t="e">
        <f>VLOOKUP(A122,'Z-Programme'!#REF!,1,FALSE)</f>
        <v>#REF!</v>
      </c>
    </row>
    <row r="123" spans="1:20" ht="13.5" hidden="1" customHeight="1">
      <c r="A123" s="36" t="s">
        <v>1028</v>
      </c>
      <c r="B123" s="36" t="s">
        <v>1848</v>
      </c>
      <c r="C123" s="36" t="s">
        <v>1846</v>
      </c>
      <c r="D123" s="36" t="s">
        <v>1549</v>
      </c>
      <c r="E123" s="39" t="e">
        <f>VLOOKUP(A123,'Z-Programme'!#REF!,1,FALSE)</f>
        <v>#REF!</v>
      </c>
    </row>
    <row r="124" spans="1:20" ht="13.5" hidden="1" customHeight="1">
      <c r="A124" s="36" t="s">
        <v>1028</v>
      </c>
      <c r="B124" s="36" t="s">
        <v>1848</v>
      </c>
      <c r="C124" s="36" t="s">
        <v>1846</v>
      </c>
      <c r="D124" s="36" t="s">
        <v>1549</v>
      </c>
      <c r="E124" s="39" t="e">
        <f>VLOOKUP(A124,'Z-Programme'!#REF!,1,FALSE)</f>
        <v>#REF!</v>
      </c>
    </row>
    <row r="125" spans="1:20" ht="13.5" hidden="1" customHeight="1">
      <c r="A125" s="36" t="s">
        <v>1028</v>
      </c>
      <c r="B125" s="36" t="s">
        <v>1848</v>
      </c>
      <c r="C125" s="36" t="s">
        <v>1846</v>
      </c>
      <c r="D125" s="36" t="s">
        <v>1549</v>
      </c>
      <c r="E125" s="39" t="e">
        <f>VLOOKUP(A125,'Z-Programme'!#REF!,1,FALSE)</f>
        <v>#REF!</v>
      </c>
    </row>
    <row r="126" spans="1:20" ht="13.5" hidden="1" customHeight="1">
      <c r="A126" s="36" t="s">
        <v>1028</v>
      </c>
      <c r="B126" s="36" t="s">
        <v>1848</v>
      </c>
      <c r="C126" s="36" t="s">
        <v>1846</v>
      </c>
      <c r="D126" s="36" t="s">
        <v>1549</v>
      </c>
      <c r="E126" s="39" t="e">
        <f>VLOOKUP(A126,'Z-Programme'!#REF!,1,FALSE)</f>
        <v>#REF!</v>
      </c>
    </row>
    <row r="127" spans="1:20" ht="13.5" hidden="1" customHeight="1">
      <c r="A127" s="36" t="s">
        <v>1028</v>
      </c>
      <c r="B127" s="36" t="s">
        <v>1848</v>
      </c>
      <c r="C127" s="36" t="s">
        <v>1846</v>
      </c>
      <c r="D127" s="36" t="s">
        <v>1549</v>
      </c>
      <c r="E127" s="39" t="e">
        <f>VLOOKUP(A127,'Z-Programme'!#REF!,1,FALSE)</f>
        <v>#REF!</v>
      </c>
    </row>
    <row r="128" spans="1:20" ht="13.5" hidden="1" customHeight="1">
      <c r="A128" s="36" t="s">
        <v>1028</v>
      </c>
      <c r="B128" s="36" t="s">
        <v>1848</v>
      </c>
      <c r="C128" s="36" t="s">
        <v>1846</v>
      </c>
      <c r="D128" s="36" t="s">
        <v>1549</v>
      </c>
      <c r="E128" s="39" t="e">
        <f>VLOOKUP(A128,'Z-Programme'!#REF!,1,FALSE)</f>
        <v>#REF!</v>
      </c>
    </row>
    <row r="129" spans="1:5" ht="13.5" hidden="1" customHeight="1">
      <c r="A129" s="36" t="s">
        <v>1028</v>
      </c>
      <c r="B129" s="36" t="s">
        <v>1848</v>
      </c>
      <c r="C129" s="36" t="s">
        <v>1846</v>
      </c>
      <c r="D129" s="36" t="s">
        <v>1549</v>
      </c>
      <c r="E129" s="39" t="e">
        <f>VLOOKUP(A129,'Z-Programme'!#REF!,1,FALSE)</f>
        <v>#REF!</v>
      </c>
    </row>
    <row r="130" spans="1:5" ht="13.5" hidden="1" customHeight="1">
      <c r="A130" s="36" t="s">
        <v>1028</v>
      </c>
      <c r="B130" s="36" t="s">
        <v>1848</v>
      </c>
      <c r="C130" s="36" t="s">
        <v>1846</v>
      </c>
      <c r="D130" s="36" t="s">
        <v>1549</v>
      </c>
      <c r="E130" s="39" t="e">
        <f>VLOOKUP(A130,'Z-Programme'!#REF!,1,FALSE)</f>
        <v>#REF!</v>
      </c>
    </row>
    <row r="131" spans="1:5" ht="13.5" hidden="1" customHeight="1">
      <c r="A131" s="36" t="s">
        <v>1215</v>
      </c>
      <c r="B131" s="36" t="s">
        <v>1848</v>
      </c>
      <c r="C131" s="36" t="s">
        <v>1846</v>
      </c>
      <c r="D131" s="36" t="s">
        <v>1549</v>
      </c>
      <c r="E131" s="39" t="e">
        <f>VLOOKUP(A131,'Z-Programme'!#REF!,1,FALSE)</f>
        <v>#REF!</v>
      </c>
    </row>
    <row r="132" spans="1:5" ht="13.5" customHeight="1">
      <c r="A132" s="36" t="s">
        <v>1896</v>
      </c>
      <c r="B132" s="36" t="s">
        <v>1848</v>
      </c>
      <c r="C132" s="36" t="s">
        <v>1852</v>
      </c>
      <c r="D132" s="36" t="s">
        <v>1549</v>
      </c>
      <c r="E132" s="39"/>
    </row>
    <row r="133" spans="1:5" ht="13.5" hidden="1" customHeight="1">
      <c r="A133" s="36" t="s">
        <v>216</v>
      </c>
      <c r="B133" s="36" t="s">
        <v>1848</v>
      </c>
      <c r="C133" s="36" t="s">
        <v>1846</v>
      </c>
      <c r="D133" s="36" t="s">
        <v>1616</v>
      </c>
      <c r="E133" s="39" t="e">
        <f>VLOOKUP(A133,'Z-Programme'!#REF!,1,FALSE)</f>
        <v>#REF!</v>
      </c>
    </row>
    <row r="134" spans="1:5" ht="13.5" customHeight="1">
      <c r="A134" s="36" t="s">
        <v>1512</v>
      </c>
      <c r="B134" s="36" t="s">
        <v>1848</v>
      </c>
      <c r="C134" s="36" t="s">
        <v>1846</v>
      </c>
      <c r="D134" s="36" t="s">
        <v>1616</v>
      </c>
      <c r="E134" s="39"/>
    </row>
    <row r="135" spans="1:5" ht="13.5" hidden="1" customHeight="1">
      <c r="A135" s="36" t="s">
        <v>270</v>
      </c>
      <c r="B135" s="36" t="s">
        <v>1848</v>
      </c>
      <c r="C135" s="36" t="s">
        <v>1846</v>
      </c>
      <c r="D135" s="36" t="s">
        <v>1579</v>
      </c>
      <c r="E135" s="39" t="e">
        <f>VLOOKUP(A135,'Z-Programme'!#REF!,1,FALSE)</f>
        <v>#REF!</v>
      </c>
    </row>
    <row r="136" spans="1:5" ht="13.5" customHeight="1">
      <c r="A136" s="36" t="s">
        <v>1515</v>
      </c>
      <c r="B136" s="36" t="s">
        <v>1848</v>
      </c>
      <c r="C136" s="36" t="s">
        <v>1846</v>
      </c>
      <c r="D136" s="36" t="s">
        <v>1870</v>
      </c>
      <c r="E136" s="39"/>
    </row>
    <row r="137" spans="1:5" ht="13.5" customHeight="1">
      <c r="A137" s="36" t="s">
        <v>1897</v>
      </c>
      <c r="B137" s="36" t="s">
        <v>1848</v>
      </c>
      <c r="C137" s="36" t="s">
        <v>1846</v>
      </c>
      <c r="D137" s="36" t="s">
        <v>1549</v>
      </c>
      <c r="E137" s="39"/>
    </row>
    <row r="138" spans="1:5" ht="13.5" customHeight="1">
      <c r="A138" s="36" t="s">
        <v>1898</v>
      </c>
      <c r="B138" s="36" t="s">
        <v>1848</v>
      </c>
      <c r="C138" s="36" t="s">
        <v>1846</v>
      </c>
      <c r="D138" s="36" t="s">
        <v>1549</v>
      </c>
      <c r="E138" s="39"/>
    </row>
    <row r="139" spans="1:5" ht="13.5" customHeight="1">
      <c r="A139" s="36" t="s">
        <v>1899</v>
      </c>
      <c r="B139" s="36" t="s">
        <v>1848</v>
      </c>
      <c r="C139" s="36" t="s">
        <v>1846</v>
      </c>
      <c r="D139" s="36" t="s">
        <v>1616</v>
      </c>
      <c r="E139" s="39"/>
    </row>
    <row r="140" spans="1:5" ht="13.5" customHeight="1">
      <c r="A140" s="36" t="s">
        <v>1900</v>
      </c>
      <c r="B140" s="36" t="s">
        <v>1848</v>
      </c>
      <c r="C140" s="36" t="s">
        <v>1846</v>
      </c>
      <c r="D140" s="36" t="s">
        <v>1901</v>
      </c>
      <c r="E140" s="39"/>
    </row>
    <row r="141" spans="1:5" ht="13.5" customHeight="1">
      <c r="A141" s="36" t="s">
        <v>1902</v>
      </c>
      <c r="B141" s="36" t="s">
        <v>1848</v>
      </c>
      <c r="C141" s="36" t="s">
        <v>1846</v>
      </c>
      <c r="D141" s="36" t="s">
        <v>1579</v>
      </c>
      <c r="E141" s="39"/>
    </row>
    <row r="142" spans="1:5" ht="13.5" customHeight="1">
      <c r="A142" s="36" t="s">
        <v>1903</v>
      </c>
      <c r="B142" s="36" t="s">
        <v>1848</v>
      </c>
      <c r="C142" s="36" t="s">
        <v>1846</v>
      </c>
      <c r="D142" s="36" t="s">
        <v>1579</v>
      </c>
      <c r="E142" s="39"/>
    </row>
    <row r="143" spans="1:5" ht="13.5" hidden="1" customHeight="1">
      <c r="A143" s="36" t="s">
        <v>812</v>
      </c>
      <c r="B143" s="36" t="s">
        <v>1848</v>
      </c>
      <c r="C143" s="36" t="s">
        <v>1852</v>
      </c>
      <c r="D143" s="36" t="s">
        <v>1870</v>
      </c>
      <c r="E143" s="39" t="e">
        <f>VLOOKUP(A143,'Z-Programme'!#REF!,1,FALSE)</f>
        <v>#REF!</v>
      </c>
    </row>
    <row r="144" spans="1:5" ht="13.5" hidden="1" customHeight="1">
      <c r="A144" s="36" t="s">
        <v>812</v>
      </c>
      <c r="B144" s="36" t="s">
        <v>1848</v>
      </c>
      <c r="C144" s="36" t="s">
        <v>1852</v>
      </c>
      <c r="D144" s="36" t="s">
        <v>1870</v>
      </c>
      <c r="E144" s="39" t="e">
        <f>VLOOKUP(A144,'Z-Programme'!#REF!,1,FALSE)</f>
        <v>#REF!</v>
      </c>
    </row>
    <row r="145" spans="1:5" ht="13.5" hidden="1" customHeight="1">
      <c r="A145" s="36" t="s">
        <v>812</v>
      </c>
      <c r="B145" s="36" t="s">
        <v>1848</v>
      </c>
      <c r="C145" s="36" t="s">
        <v>1852</v>
      </c>
      <c r="D145" s="36" t="s">
        <v>1870</v>
      </c>
      <c r="E145" s="39" t="e">
        <f>VLOOKUP(A145,'Z-Programme'!#REF!,1,FALSE)</f>
        <v>#REF!</v>
      </c>
    </row>
    <row r="146" spans="1:5" ht="13.5" customHeight="1">
      <c r="A146" s="36" t="s">
        <v>1904</v>
      </c>
      <c r="B146" s="36" t="s">
        <v>1848</v>
      </c>
      <c r="C146" s="36" t="s">
        <v>1846</v>
      </c>
      <c r="D146" s="36" t="s">
        <v>1549</v>
      </c>
      <c r="E146" s="39"/>
    </row>
    <row r="147" spans="1:5" ht="13.5" customHeight="1">
      <c r="A147" s="36" t="s">
        <v>1905</v>
      </c>
      <c r="B147" s="36" t="s">
        <v>85</v>
      </c>
      <c r="C147" s="36" t="s">
        <v>1846</v>
      </c>
      <c r="D147" s="36" t="s">
        <v>1889</v>
      </c>
      <c r="E147" s="39"/>
    </row>
    <row r="148" spans="1:5" ht="13.5" customHeight="1">
      <c r="A148" s="36" t="s">
        <v>1906</v>
      </c>
      <c r="B148" s="36" t="s">
        <v>85</v>
      </c>
      <c r="C148" s="36" t="s">
        <v>1846</v>
      </c>
      <c r="D148" s="36" t="s">
        <v>1889</v>
      </c>
      <c r="E148" s="39"/>
    </row>
    <row r="149" spans="1:5" ht="13.5" customHeight="1">
      <c r="A149" s="36" t="s">
        <v>1907</v>
      </c>
      <c r="B149" s="36" t="s">
        <v>1845</v>
      </c>
      <c r="C149" s="36" t="s">
        <v>1883</v>
      </c>
      <c r="D149" s="36" t="s">
        <v>1616</v>
      </c>
      <c r="E149" s="39"/>
    </row>
    <row r="150" spans="1:5" ht="13.5" customHeight="1">
      <c r="A150" s="36" t="s">
        <v>1908</v>
      </c>
      <c r="B150" s="36" t="s">
        <v>1845</v>
      </c>
      <c r="C150" s="36" t="s">
        <v>1883</v>
      </c>
      <c r="D150" s="36" t="s">
        <v>1616</v>
      </c>
      <c r="E150" s="39"/>
    </row>
    <row r="151" spans="1:5" ht="13.5" customHeight="1">
      <c r="A151" s="36" t="s">
        <v>1909</v>
      </c>
      <c r="B151" s="36" t="s">
        <v>1845</v>
      </c>
      <c r="C151" s="36" t="s">
        <v>1883</v>
      </c>
      <c r="D151" s="36" t="s">
        <v>1549</v>
      </c>
      <c r="E151" s="39"/>
    </row>
    <row r="152" spans="1:5" ht="13.5" customHeight="1">
      <c r="A152" s="36" t="s">
        <v>1203</v>
      </c>
      <c r="B152" s="36" t="s">
        <v>1845</v>
      </c>
      <c r="C152" s="36" t="s">
        <v>1883</v>
      </c>
      <c r="D152" s="36" t="s">
        <v>1549</v>
      </c>
      <c r="E152" s="39"/>
    </row>
    <row r="153" spans="1:5" ht="13.5" customHeight="1">
      <c r="A153" s="36" t="s">
        <v>1910</v>
      </c>
      <c r="B153" s="36" t="s">
        <v>1845</v>
      </c>
      <c r="C153" s="36" t="s">
        <v>1883</v>
      </c>
      <c r="D153" s="36" t="s">
        <v>1549</v>
      </c>
      <c r="E153" s="39"/>
    </row>
    <row r="154" spans="1:5" ht="13.5" customHeight="1">
      <c r="A154" s="36" t="s">
        <v>1911</v>
      </c>
      <c r="B154" s="36" t="s">
        <v>1845</v>
      </c>
      <c r="C154" s="36" t="s">
        <v>1883</v>
      </c>
      <c r="D154" s="36" t="s">
        <v>1549</v>
      </c>
      <c r="E154" s="39"/>
    </row>
    <row r="155" spans="1:5" ht="13.5" customHeight="1">
      <c r="A155" s="36" t="s">
        <v>1912</v>
      </c>
      <c r="B155" s="36" t="s">
        <v>1845</v>
      </c>
      <c r="C155" s="36" t="s">
        <v>1883</v>
      </c>
      <c r="D155" s="36" t="s">
        <v>1549</v>
      </c>
      <c r="E155" s="39"/>
    </row>
    <row r="156" spans="1:5" ht="13.5" customHeight="1">
      <c r="A156" s="36" t="s">
        <v>1913</v>
      </c>
      <c r="B156" s="36" t="s">
        <v>1845</v>
      </c>
      <c r="C156" s="36" t="s">
        <v>1883</v>
      </c>
      <c r="D156" s="36" t="s">
        <v>1549</v>
      </c>
      <c r="E156" s="39"/>
    </row>
    <row r="157" spans="1:5" ht="13.5" customHeight="1">
      <c r="A157" s="36" t="s">
        <v>1378</v>
      </c>
      <c r="B157" s="36" t="s">
        <v>1845</v>
      </c>
      <c r="C157" s="36" t="s">
        <v>1883</v>
      </c>
      <c r="D157" s="36" t="s">
        <v>1549</v>
      </c>
      <c r="E157" s="39"/>
    </row>
    <row r="158" spans="1:5" ht="13.5" customHeight="1">
      <c r="A158" s="36" t="s">
        <v>1914</v>
      </c>
      <c r="B158" s="36" t="s">
        <v>1845</v>
      </c>
      <c r="C158" s="36" t="s">
        <v>1883</v>
      </c>
      <c r="D158" s="36" t="s">
        <v>1549</v>
      </c>
      <c r="E158" s="39"/>
    </row>
    <row r="159" spans="1:5" ht="13.5" customHeight="1">
      <c r="A159" s="36" t="s">
        <v>1915</v>
      </c>
      <c r="B159" s="36" t="s">
        <v>1845</v>
      </c>
      <c r="C159" s="36" t="s">
        <v>1883</v>
      </c>
      <c r="D159" s="36" t="s">
        <v>1549</v>
      </c>
      <c r="E159" s="39"/>
    </row>
    <row r="160" spans="1:5" ht="13.5" customHeight="1">
      <c r="A160" s="36" t="s">
        <v>748</v>
      </c>
      <c r="B160" s="36" t="s">
        <v>1845</v>
      </c>
      <c r="C160" s="36" t="s">
        <v>1883</v>
      </c>
      <c r="D160" s="36" t="s">
        <v>1549</v>
      </c>
      <c r="E160" s="39"/>
    </row>
    <row r="161" spans="1:5" ht="13.5" customHeight="1">
      <c r="A161" s="36" t="s">
        <v>1206</v>
      </c>
      <c r="B161" s="36" t="s">
        <v>1845</v>
      </c>
      <c r="C161" s="36" t="s">
        <v>1883</v>
      </c>
      <c r="D161" s="36" t="s">
        <v>1870</v>
      </c>
      <c r="E161" s="39"/>
    </row>
    <row r="162" spans="1:5" ht="13.5" customHeight="1">
      <c r="A162" s="36" t="s">
        <v>503</v>
      </c>
      <c r="B162" s="36" t="s">
        <v>1845</v>
      </c>
      <c r="C162" s="36" t="s">
        <v>1883</v>
      </c>
      <c r="D162" s="36" t="s">
        <v>1616</v>
      </c>
      <c r="E162" s="39"/>
    </row>
    <row r="163" spans="1:5" ht="13.5" customHeight="1">
      <c r="A163" s="36" t="s">
        <v>519</v>
      </c>
      <c r="B163" s="36" t="s">
        <v>1845</v>
      </c>
      <c r="C163" s="36" t="s">
        <v>1883</v>
      </c>
      <c r="D163" s="36" t="s">
        <v>1629</v>
      </c>
      <c r="E163" s="39"/>
    </row>
    <row r="164" spans="1:5" ht="13.5" customHeight="1">
      <c r="A164" s="36" t="s">
        <v>779</v>
      </c>
      <c r="B164" s="36" t="s">
        <v>1845</v>
      </c>
      <c r="C164" s="36" t="s">
        <v>1883</v>
      </c>
      <c r="D164" s="36" t="s">
        <v>1549</v>
      </c>
      <c r="E164" s="39"/>
    </row>
    <row r="165" spans="1:5" ht="13.5" customHeight="1">
      <c r="A165" s="36" t="s">
        <v>1297</v>
      </c>
      <c r="B165" s="36" t="s">
        <v>1845</v>
      </c>
      <c r="C165" s="36" t="s">
        <v>1883</v>
      </c>
      <c r="D165" s="36" t="s">
        <v>1549</v>
      </c>
      <c r="E165" s="39"/>
    </row>
    <row r="166" spans="1:5" ht="13.5" customHeight="1">
      <c r="A166" s="36" t="s">
        <v>690</v>
      </c>
      <c r="B166" s="36" t="s">
        <v>1845</v>
      </c>
      <c r="C166" s="36" t="s">
        <v>1883</v>
      </c>
      <c r="D166" s="36" t="s">
        <v>1629</v>
      </c>
      <c r="E166" s="39"/>
    </row>
    <row r="167" spans="1:5" ht="13.5" customHeight="1">
      <c r="A167" s="36" t="s">
        <v>328</v>
      </c>
      <c r="B167" s="36" t="s">
        <v>1845</v>
      </c>
      <c r="C167" s="36" t="s">
        <v>1883</v>
      </c>
      <c r="D167" s="36" t="s">
        <v>1629</v>
      </c>
      <c r="E167" s="39"/>
    </row>
    <row r="168" spans="1:5" ht="13.5" customHeight="1">
      <c r="A168" s="36" t="s">
        <v>1916</v>
      </c>
      <c r="B168" s="36" t="s">
        <v>1845</v>
      </c>
      <c r="C168" s="36" t="s">
        <v>1883</v>
      </c>
      <c r="D168" s="36" t="s">
        <v>1549</v>
      </c>
      <c r="E168" s="39"/>
    </row>
    <row r="169" spans="1:5" ht="13.5" hidden="1" customHeight="1">
      <c r="A169" s="36" t="s">
        <v>1119</v>
      </c>
      <c r="B169" s="36" t="s">
        <v>85</v>
      </c>
      <c r="C169" s="36" t="s">
        <v>1883</v>
      </c>
      <c r="D169" s="36" t="s">
        <v>1616</v>
      </c>
      <c r="E169" s="39" t="e">
        <f>VLOOKUP(A169,'Z-Programme'!#REF!,1,FALSE)</f>
        <v>#REF!</v>
      </c>
    </row>
    <row r="170" spans="1:5" ht="13.5" customHeight="1">
      <c r="A170" s="36" t="s">
        <v>1352</v>
      </c>
      <c r="B170" s="36" t="s">
        <v>1845</v>
      </c>
      <c r="C170" s="36" t="s">
        <v>1883</v>
      </c>
      <c r="D170" s="36" t="s">
        <v>1549</v>
      </c>
      <c r="E170" s="39"/>
    </row>
    <row r="171" spans="1:5" ht="13.5" customHeight="1">
      <c r="A171" s="36" t="s">
        <v>1917</v>
      </c>
      <c r="B171" s="36" t="s">
        <v>1845</v>
      </c>
      <c r="C171" s="36" t="s">
        <v>1918</v>
      </c>
      <c r="D171" s="36" t="s">
        <v>1549</v>
      </c>
      <c r="E171" s="39"/>
    </row>
    <row r="172" spans="1:5" ht="13.5" customHeight="1">
      <c r="A172" s="36" t="s">
        <v>1919</v>
      </c>
      <c r="B172" s="36" t="s">
        <v>1845</v>
      </c>
      <c r="C172" s="36" t="s">
        <v>1918</v>
      </c>
      <c r="D172" s="36" t="s">
        <v>1549</v>
      </c>
      <c r="E172" s="39"/>
    </row>
    <row r="173" spans="1:5" ht="13.5" customHeight="1">
      <c r="A173" s="36" t="s">
        <v>1920</v>
      </c>
      <c r="B173" s="36" t="s">
        <v>1845</v>
      </c>
      <c r="C173" s="36" t="s">
        <v>1918</v>
      </c>
      <c r="D173" s="36" t="s">
        <v>1549</v>
      </c>
      <c r="E173" s="39"/>
    </row>
    <row r="174" spans="1:5" ht="13.5" customHeight="1">
      <c r="A174" s="36" t="s">
        <v>1921</v>
      </c>
      <c r="B174" s="36" t="s">
        <v>1845</v>
      </c>
      <c r="C174" s="36" t="s">
        <v>1918</v>
      </c>
      <c r="D174" s="36" t="s">
        <v>1549</v>
      </c>
      <c r="E174" s="39"/>
    </row>
    <row r="175" spans="1:5" ht="13.5" customHeight="1">
      <c r="A175" s="36" t="s">
        <v>1922</v>
      </c>
      <c r="B175" s="36" t="s">
        <v>1845</v>
      </c>
      <c r="C175" s="36" t="s">
        <v>1918</v>
      </c>
      <c r="D175" s="36" t="s">
        <v>1549</v>
      </c>
      <c r="E175" s="39"/>
    </row>
    <row r="176" spans="1:5" ht="13.5" customHeight="1">
      <c r="A176" s="36" t="s">
        <v>1152</v>
      </c>
      <c r="B176" s="36" t="s">
        <v>1845</v>
      </c>
      <c r="C176" s="36" t="s">
        <v>1918</v>
      </c>
      <c r="D176" s="36" t="s">
        <v>1549</v>
      </c>
      <c r="E176" s="39"/>
    </row>
    <row r="177" spans="1:5" ht="13.5" customHeight="1">
      <c r="A177" s="36" t="s">
        <v>1923</v>
      </c>
      <c r="B177" s="36" t="s">
        <v>1845</v>
      </c>
      <c r="C177" s="36" t="s">
        <v>1918</v>
      </c>
      <c r="D177" s="36" t="s">
        <v>1549</v>
      </c>
      <c r="E177" s="39"/>
    </row>
    <row r="178" spans="1:5" ht="13.5" customHeight="1">
      <c r="A178" s="36" t="s">
        <v>1924</v>
      </c>
      <c r="B178" s="36" t="s">
        <v>1845</v>
      </c>
      <c r="C178" s="36" t="s">
        <v>1918</v>
      </c>
      <c r="D178" s="36" t="s">
        <v>1549</v>
      </c>
      <c r="E178" s="39"/>
    </row>
    <row r="179" spans="1:5" ht="13.5" customHeight="1">
      <c r="A179" s="36" t="s">
        <v>1925</v>
      </c>
      <c r="B179" s="36" t="s">
        <v>1845</v>
      </c>
      <c r="C179" s="36" t="s">
        <v>1918</v>
      </c>
      <c r="D179" s="36" t="s">
        <v>1549</v>
      </c>
      <c r="E179" s="39"/>
    </row>
    <row r="180" spans="1:5" ht="13.5" customHeight="1">
      <c r="A180" s="36" t="s">
        <v>1926</v>
      </c>
      <c r="B180" s="36" t="s">
        <v>1845</v>
      </c>
      <c r="C180" s="36" t="s">
        <v>1918</v>
      </c>
      <c r="D180" s="36" t="s">
        <v>1549</v>
      </c>
      <c r="E180" s="39"/>
    </row>
    <row r="181" spans="1:5" ht="13.5" customHeight="1">
      <c r="A181" s="36" t="s">
        <v>551</v>
      </c>
      <c r="B181" s="36" t="s">
        <v>1845</v>
      </c>
      <c r="C181" s="36" t="s">
        <v>1918</v>
      </c>
      <c r="D181" s="36" t="s">
        <v>1549</v>
      </c>
      <c r="E181" s="39"/>
    </row>
    <row r="182" spans="1:5" ht="13.5" customHeight="1">
      <c r="A182" s="36" t="s">
        <v>551</v>
      </c>
      <c r="B182" s="36" t="s">
        <v>1845</v>
      </c>
      <c r="C182" s="36" t="s">
        <v>1918</v>
      </c>
      <c r="D182" s="36" t="s">
        <v>1549</v>
      </c>
      <c r="E182" s="39"/>
    </row>
    <row r="183" spans="1:5" ht="13.5" customHeight="1">
      <c r="A183" s="36" t="s">
        <v>1927</v>
      </c>
      <c r="B183" s="36" t="s">
        <v>1848</v>
      </c>
      <c r="C183" s="36" t="s">
        <v>1846</v>
      </c>
      <c r="D183" s="36" t="s">
        <v>1549</v>
      </c>
      <c r="E183" s="39"/>
    </row>
    <row r="184" spans="1:5" ht="13.5" customHeight="1">
      <c r="A184" s="36" t="s">
        <v>1928</v>
      </c>
      <c r="B184" s="36" t="s">
        <v>1863</v>
      </c>
      <c r="C184" s="36" t="s">
        <v>1846</v>
      </c>
      <c r="D184" s="36" t="s">
        <v>1549</v>
      </c>
      <c r="E184" s="39"/>
    </row>
    <row r="185" spans="1:5" ht="13.5" hidden="1" customHeight="1">
      <c r="A185" s="36" t="s">
        <v>1003</v>
      </c>
      <c r="B185" s="36" t="s">
        <v>1848</v>
      </c>
      <c r="C185" s="36" t="s">
        <v>1846</v>
      </c>
      <c r="D185" s="36" t="s">
        <v>1616</v>
      </c>
      <c r="E185" s="39" t="e">
        <f>VLOOKUP(A185,'Z-Programme'!#REF!,1,FALSE)</f>
        <v>#REF!</v>
      </c>
    </row>
    <row r="186" spans="1:5" ht="13.5" hidden="1" customHeight="1">
      <c r="A186" s="36" t="s">
        <v>1035</v>
      </c>
      <c r="B186" s="36" t="s">
        <v>1848</v>
      </c>
      <c r="C186" s="36" t="s">
        <v>1846</v>
      </c>
      <c r="D186" s="36" t="s">
        <v>1616</v>
      </c>
      <c r="E186" s="39" t="e">
        <f>VLOOKUP(A186,'Z-Programme'!#REF!,1,FALSE)</f>
        <v>#REF!</v>
      </c>
    </row>
    <row r="187" spans="1:5" ht="13.5" customHeight="1">
      <c r="A187" s="36" t="s">
        <v>1929</v>
      </c>
      <c r="B187" s="36" t="s">
        <v>1845</v>
      </c>
      <c r="C187" s="36" t="s">
        <v>1846</v>
      </c>
      <c r="D187" s="36" t="s">
        <v>1616</v>
      </c>
      <c r="E187" s="39"/>
    </row>
    <row r="188" spans="1:5" ht="13.5" customHeight="1">
      <c r="A188" s="36" t="s">
        <v>283</v>
      </c>
      <c r="B188" s="36" t="s">
        <v>1845</v>
      </c>
      <c r="C188" s="36" t="s">
        <v>1846</v>
      </c>
      <c r="D188" s="36" t="s">
        <v>1622</v>
      </c>
      <c r="E188" s="39"/>
    </row>
    <row r="189" spans="1:5" ht="13.5" customHeight="1">
      <c r="A189" s="36" t="s">
        <v>41</v>
      </c>
      <c r="B189" s="36" t="s">
        <v>1845</v>
      </c>
      <c r="C189" s="36" t="s">
        <v>1846</v>
      </c>
      <c r="D189" s="36" t="s">
        <v>1622</v>
      </c>
      <c r="E189" s="39"/>
    </row>
  </sheetData>
  <autoFilter ref="A1:AO189" xr:uid="{EC2F6A7C-7ED4-4976-AB48-DB24AA8C277D}">
    <filterColumn colId="4">
      <filters>
        <filter val="#NV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22F6-441E-42F8-934A-930D71B5DA3E}">
  <sheetPr codeName="Tabelle5">
    <outlinePr summaryBelow="0"/>
  </sheetPr>
  <dimension ref="A1:R189"/>
  <sheetViews>
    <sheetView workbookViewId="0">
      <pane ySplit="1" topLeftCell="A2" activePane="bottomLeft" state="frozen"/>
      <selection pane="bottomLeft" activeCell="C2" sqref="C2"/>
    </sheetView>
  </sheetViews>
  <sheetFormatPr defaultColWidth="10.28515625" defaultRowHeight="14.25"/>
  <cols>
    <col min="1" max="1" width="12.28515625" style="37" bestFit="1" customWidth="1"/>
    <col min="2" max="2" width="15.42578125" style="37" bestFit="1" customWidth="1"/>
    <col min="3" max="16384" width="10.28515625" style="36"/>
  </cols>
  <sheetData>
    <row r="1" spans="1:3" s="38" customFormat="1" ht="15">
      <c r="A1" s="41" t="s">
        <v>1404</v>
      </c>
      <c r="B1" s="41" t="s">
        <v>1930</v>
      </c>
      <c r="C1" s="38" t="s">
        <v>1931</v>
      </c>
    </row>
    <row r="2" spans="1:3">
      <c r="A2" s="40" t="s">
        <v>1844</v>
      </c>
      <c r="B2" s="40" t="s">
        <v>11</v>
      </c>
      <c r="C2" s="36" t="e">
        <f>VLOOKUP(A2,'Z-Programme'!#REF!,1,FALSE)</f>
        <v>#REF!</v>
      </c>
    </row>
    <row r="3" spans="1:3">
      <c r="A3" s="40" t="s">
        <v>1847</v>
      </c>
      <c r="B3" s="40" t="s">
        <v>11</v>
      </c>
      <c r="C3" s="36" t="e">
        <f>VLOOKUP(A3,'Z-Programme'!#REF!,1,FALSE)</f>
        <v>#REF!</v>
      </c>
    </row>
    <row r="4" spans="1:3">
      <c r="A4" s="40" t="s">
        <v>995</v>
      </c>
      <c r="B4" s="40" t="s">
        <v>14</v>
      </c>
      <c r="C4" s="36" t="e">
        <f>VLOOKUP(A4,'Z-Programme'!#REF!,1,FALSE)</f>
        <v>#REF!</v>
      </c>
    </row>
    <row r="5" spans="1:3">
      <c r="A5" s="40" t="s">
        <v>1849</v>
      </c>
      <c r="B5" s="40" t="s">
        <v>11</v>
      </c>
      <c r="C5" s="36" t="e">
        <f>VLOOKUP(A5,'Z-Programme'!#REF!,1,FALSE)</f>
        <v>#REF!</v>
      </c>
    </row>
    <row r="6" spans="1:3">
      <c r="A6" s="40" t="s">
        <v>684</v>
      </c>
      <c r="B6" s="40" t="s">
        <v>14</v>
      </c>
      <c r="C6" s="36" t="e">
        <f>VLOOKUP(A6,'Z-Programme'!#REF!,1,FALSE)</f>
        <v>#REF!</v>
      </c>
    </row>
    <row r="7" spans="1:3">
      <c r="A7" s="40" t="s">
        <v>1851</v>
      </c>
      <c r="B7" s="40" t="s">
        <v>11</v>
      </c>
      <c r="C7" s="36" t="e">
        <f>VLOOKUP(A7,'Z-Programme'!#REF!,1,FALSE)</f>
        <v>#REF!</v>
      </c>
    </row>
    <row r="8" spans="1:3">
      <c r="A8" s="40" t="s">
        <v>1853</v>
      </c>
      <c r="B8" s="40" t="s">
        <v>11</v>
      </c>
      <c r="C8" s="36" t="e">
        <f>VLOOKUP(A8,'Z-Programme'!#REF!,1,FALSE)</f>
        <v>#REF!</v>
      </c>
    </row>
    <row r="9" spans="1:3">
      <c r="A9" s="40" t="s">
        <v>1418</v>
      </c>
      <c r="B9" s="40" t="s">
        <v>11</v>
      </c>
      <c r="C9" s="36" t="e">
        <f>VLOOKUP(A9,'Z-Programme'!#REF!,1,FALSE)</f>
        <v>#REF!</v>
      </c>
    </row>
    <row r="10" spans="1:3">
      <c r="A10" s="40" t="s">
        <v>1198</v>
      </c>
      <c r="B10" s="40" t="s">
        <v>14</v>
      </c>
      <c r="C10" s="36" t="e">
        <f>VLOOKUP(A10,'Z-Programme'!#REF!,1,FALSE)</f>
        <v>#REF!</v>
      </c>
    </row>
    <row r="11" spans="1:3">
      <c r="A11" s="40" t="s">
        <v>359</v>
      </c>
      <c r="B11" s="40" t="s">
        <v>14</v>
      </c>
      <c r="C11" s="36" t="e">
        <f>VLOOKUP(A11,'Z-Programme'!#REF!,1,FALSE)</f>
        <v>#REF!</v>
      </c>
    </row>
    <row r="12" spans="1:3">
      <c r="A12" s="40" t="s">
        <v>653</v>
      </c>
      <c r="B12" s="40" t="s">
        <v>14</v>
      </c>
      <c r="C12" s="36" t="e">
        <f>VLOOKUP(A12,'Z-Programme'!#REF!,1,FALSE)</f>
        <v>#REF!</v>
      </c>
    </row>
    <row r="13" spans="1:3">
      <c r="A13" s="40" t="s">
        <v>669</v>
      </c>
      <c r="B13" s="40" t="s">
        <v>14</v>
      </c>
      <c r="C13" s="36" t="e">
        <f>VLOOKUP(A13,'Z-Programme'!#REF!,1,FALSE)</f>
        <v>#REF!</v>
      </c>
    </row>
    <row r="14" spans="1:3">
      <c r="A14" s="40" t="s">
        <v>1854</v>
      </c>
      <c r="B14" s="40" t="s">
        <v>11</v>
      </c>
      <c r="C14" s="36" t="e">
        <f>VLOOKUP(A14,'Z-Programme'!#REF!,1,FALSE)</f>
        <v>#REF!</v>
      </c>
    </row>
    <row r="15" spans="1:3">
      <c r="A15" s="40" t="s">
        <v>421</v>
      </c>
      <c r="B15" s="40" t="s">
        <v>14</v>
      </c>
      <c r="C15" s="36" t="e">
        <f>VLOOKUP(A15,'Z-Programme'!#REF!,1,FALSE)</f>
        <v>#REF!</v>
      </c>
    </row>
    <row r="16" spans="1:3">
      <c r="A16" s="40" t="s">
        <v>557</v>
      </c>
      <c r="B16" s="40" t="s">
        <v>14</v>
      </c>
      <c r="C16" s="36" t="e">
        <f>VLOOKUP(A16,'Z-Programme'!#REF!,1,FALSE)</f>
        <v>#REF!</v>
      </c>
    </row>
    <row r="17" spans="1:3">
      <c r="A17" s="40" t="s">
        <v>563</v>
      </c>
      <c r="B17" s="40" t="s">
        <v>14</v>
      </c>
      <c r="C17" s="36" t="e">
        <f>VLOOKUP(A17,'Z-Programme'!#REF!,1,FALSE)</f>
        <v>#REF!</v>
      </c>
    </row>
    <row r="18" spans="1:3">
      <c r="A18" s="40" t="s">
        <v>554</v>
      </c>
      <c r="B18" s="40" t="s">
        <v>14</v>
      </c>
      <c r="C18" s="36" t="e">
        <f>VLOOKUP(A18,'Z-Programme'!#REF!,1,FALSE)</f>
        <v>#REF!</v>
      </c>
    </row>
    <row r="19" spans="1:3">
      <c r="A19" s="40" t="s">
        <v>568</v>
      </c>
      <c r="B19" s="40" t="s">
        <v>14</v>
      </c>
      <c r="C19" s="36" t="e">
        <f>VLOOKUP(A19,'Z-Programme'!#REF!,1,FALSE)</f>
        <v>#REF!</v>
      </c>
    </row>
    <row r="20" spans="1:3">
      <c r="A20" s="40" t="s">
        <v>1856</v>
      </c>
      <c r="B20" s="40" t="s">
        <v>11</v>
      </c>
      <c r="C20" s="36" t="e">
        <f>VLOOKUP(A20,'Z-Programme'!#REF!,1,FALSE)</f>
        <v>#REF!</v>
      </c>
    </row>
    <row r="21" spans="1:3">
      <c r="A21" s="40" t="s">
        <v>1857</v>
      </c>
      <c r="B21" s="40" t="s">
        <v>11</v>
      </c>
      <c r="C21" s="36" t="e">
        <f>VLOOKUP(A21,'Z-Programme'!#REF!,1,FALSE)</f>
        <v>#REF!</v>
      </c>
    </row>
    <row r="22" spans="1:3">
      <c r="A22" s="40" t="s">
        <v>1858</v>
      </c>
      <c r="B22" s="40" t="s">
        <v>11</v>
      </c>
      <c r="C22" s="36" t="e">
        <f>VLOOKUP(A22,'Z-Programme'!#REF!,1,FALSE)</f>
        <v>#REF!</v>
      </c>
    </row>
    <row r="23" spans="1:3">
      <c r="A23" s="40" t="s">
        <v>1859</v>
      </c>
      <c r="B23" s="40" t="s">
        <v>11</v>
      </c>
      <c r="C23" s="36" t="e">
        <f>VLOOKUP(A23,'Z-Programme'!#REF!,1,FALSE)</f>
        <v>#REF!</v>
      </c>
    </row>
    <row r="24" spans="1:3">
      <c r="A24" s="40" t="s">
        <v>1860</v>
      </c>
      <c r="B24" s="40" t="s">
        <v>11</v>
      </c>
      <c r="C24" s="36" t="e">
        <f>VLOOKUP(A24,'Z-Programme'!#REF!,1,FALSE)</f>
        <v>#REF!</v>
      </c>
    </row>
    <row r="25" spans="1:3">
      <c r="A25" s="40" t="s">
        <v>1861</v>
      </c>
      <c r="B25" s="40" t="s">
        <v>11</v>
      </c>
      <c r="C25" s="36" t="e">
        <f>VLOOKUP(A25,'Z-Programme'!#REF!,1,FALSE)</f>
        <v>#REF!</v>
      </c>
    </row>
    <row r="26" spans="1:3">
      <c r="A26" s="40" t="s">
        <v>1028</v>
      </c>
      <c r="B26" s="40" t="s">
        <v>14</v>
      </c>
      <c r="C26" s="36" t="e">
        <f>VLOOKUP(A26,'Z-Programme'!#REF!,1,FALSE)</f>
        <v>#REF!</v>
      </c>
    </row>
    <row r="27" spans="1:3">
      <c r="A27" s="40" t="s">
        <v>1862</v>
      </c>
      <c r="B27" s="40" t="s">
        <v>11</v>
      </c>
      <c r="C27" s="36" t="e">
        <f>VLOOKUP(A27,'Z-Programme'!#REF!,1,FALSE)</f>
        <v>#REF!</v>
      </c>
    </row>
    <row r="28" spans="1:3">
      <c r="A28" s="40" t="s">
        <v>1864</v>
      </c>
      <c r="B28" s="40" t="s">
        <v>11</v>
      </c>
      <c r="C28" s="36" t="e">
        <f>VLOOKUP(A28,'Z-Programme'!#REF!,1,FALSE)</f>
        <v>#REF!</v>
      </c>
    </row>
    <row r="29" spans="1:3">
      <c r="A29" s="40" t="s">
        <v>1865</v>
      </c>
      <c r="B29" s="40" t="s">
        <v>11</v>
      </c>
      <c r="C29" s="36" t="e">
        <f>VLOOKUP(A29,'Z-Programme'!#REF!,1,FALSE)</f>
        <v>#REF!</v>
      </c>
    </row>
    <row r="30" spans="1:3">
      <c r="A30" s="40" t="s">
        <v>1866</v>
      </c>
      <c r="B30" s="40" t="s">
        <v>11</v>
      </c>
      <c r="C30" s="36" t="e">
        <f>VLOOKUP(A30,'Z-Programme'!#REF!,1,FALSE)</f>
        <v>#REF!</v>
      </c>
    </row>
    <row r="31" spans="1:3">
      <c r="A31" s="40" t="s">
        <v>881</v>
      </c>
      <c r="B31" s="40" t="s">
        <v>14</v>
      </c>
      <c r="C31" s="36" t="e">
        <f>VLOOKUP(A31,'Z-Programme'!#REF!,1,FALSE)</f>
        <v>#REF!</v>
      </c>
    </row>
    <row r="32" spans="1:3">
      <c r="A32" s="40" t="s">
        <v>1867</v>
      </c>
      <c r="B32" s="40" t="s">
        <v>11</v>
      </c>
      <c r="C32" s="36" t="e">
        <f>VLOOKUP(A32,'Z-Programme'!#REF!,1,FALSE)</f>
        <v>#REF!</v>
      </c>
    </row>
    <row r="33" spans="1:3">
      <c r="A33" s="40" t="s">
        <v>1868</v>
      </c>
      <c r="B33" s="40" t="s">
        <v>11</v>
      </c>
      <c r="C33" s="36" t="e">
        <f>VLOOKUP(A33,'Z-Programme'!#REF!,1,FALSE)</f>
        <v>#REF!</v>
      </c>
    </row>
    <row r="34" spans="1:3">
      <c r="A34" s="40" t="s">
        <v>300</v>
      </c>
      <c r="B34" s="40" t="s">
        <v>14</v>
      </c>
      <c r="C34" s="36" t="e">
        <f>VLOOKUP(A34,'Z-Programme'!#REF!,1,FALSE)</f>
        <v>#REF!</v>
      </c>
    </row>
    <row r="35" spans="1:3">
      <c r="A35" s="40" t="s">
        <v>598</v>
      </c>
      <c r="B35" s="40" t="s">
        <v>14</v>
      </c>
      <c r="C35" s="36" t="e">
        <f>VLOOKUP(A35,'Z-Programme'!#REF!,1,FALSE)</f>
        <v>#REF!</v>
      </c>
    </row>
    <row r="36" spans="1:3">
      <c r="A36" s="40" t="s">
        <v>426</v>
      </c>
      <c r="B36" s="40" t="s">
        <v>14</v>
      </c>
      <c r="C36" s="36" t="e">
        <f>VLOOKUP(A36,'Z-Programme'!#REF!,1,FALSE)</f>
        <v>#REF!</v>
      </c>
    </row>
    <row r="37" spans="1:3">
      <c r="A37" s="40" t="s">
        <v>486</v>
      </c>
      <c r="B37" s="40" t="s">
        <v>14</v>
      </c>
      <c r="C37" s="36" t="e">
        <f>VLOOKUP(A37,'Z-Programme'!#REF!,1,FALSE)</f>
        <v>#REF!</v>
      </c>
    </row>
    <row r="38" spans="1:3">
      <c r="A38" s="40" t="s">
        <v>1104</v>
      </c>
      <c r="B38" s="40" t="s">
        <v>14</v>
      </c>
      <c r="C38" s="36" t="e">
        <f>VLOOKUP(A38,'Z-Programme'!#REF!,1,FALSE)</f>
        <v>#REF!</v>
      </c>
    </row>
    <row r="39" spans="1:3">
      <c r="A39" s="40" t="s">
        <v>1000</v>
      </c>
      <c r="B39" s="40" t="s">
        <v>14</v>
      </c>
      <c r="C39" s="36" t="e">
        <f>VLOOKUP(A39,'Z-Programme'!#REF!,1,FALSE)</f>
        <v>#REF!</v>
      </c>
    </row>
    <row r="40" spans="1:3">
      <c r="A40" s="40" t="s">
        <v>356</v>
      </c>
      <c r="B40" s="40" t="s">
        <v>14</v>
      </c>
      <c r="C40" s="36" t="e">
        <f>VLOOKUP(A40,'Z-Programme'!#REF!,1,FALSE)</f>
        <v>#REF!</v>
      </c>
    </row>
    <row r="41" spans="1:3">
      <c r="A41" s="40" t="s">
        <v>313</v>
      </c>
      <c r="B41" s="40" t="s">
        <v>14</v>
      </c>
      <c r="C41" s="36" t="e">
        <f>VLOOKUP(A41,'Z-Programme'!#REF!,1,FALSE)</f>
        <v>#REF!</v>
      </c>
    </row>
    <row r="42" spans="1:3">
      <c r="A42" s="40" t="s">
        <v>907</v>
      </c>
      <c r="B42" s="40" t="s">
        <v>14</v>
      </c>
      <c r="C42" s="36" t="e">
        <f>VLOOKUP(A42,'Z-Programme'!#REF!,1,FALSE)</f>
        <v>#REF!</v>
      </c>
    </row>
    <row r="43" spans="1:3">
      <c r="A43" s="40" t="s">
        <v>763</v>
      </c>
      <c r="B43" s="40" t="s">
        <v>14</v>
      </c>
      <c r="C43" s="36" t="e">
        <f>VLOOKUP(A43,'Z-Programme'!#REF!,1,FALSE)</f>
        <v>#REF!</v>
      </c>
    </row>
    <row r="44" spans="1:3">
      <c r="A44" s="40" t="s">
        <v>1215</v>
      </c>
      <c r="B44" s="40" t="s">
        <v>14</v>
      </c>
      <c r="C44" s="36" t="e">
        <f>VLOOKUP(A44,'Z-Programme'!#REF!,1,FALSE)</f>
        <v>#REF!</v>
      </c>
    </row>
    <row r="45" spans="1:3">
      <c r="A45" s="40" t="s">
        <v>410</v>
      </c>
      <c r="B45" s="40" t="s">
        <v>14</v>
      </c>
      <c r="C45" s="36" t="e">
        <f>VLOOKUP(A45,'Z-Programme'!#REF!,1,FALSE)</f>
        <v>#REF!</v>
      </c>
    </row>
    <row r="46" spans="1:3">
      <c r="A46" s="40" t="s">
        <v>483</v>
      </c>
      <c r="B46" s="40" t="s">
        <v>14</v>
      </c>
      <c r="C46" s="36" t="e">
        <f>VLOOKUP(A46,'Z-Programme'!#REF!,1,FALSE)</f>
        <v>#REF!</v>
      </c>
    </row>
    <row r="47" spans="1:3">
      <c r="A47" s="40" t="s">
        <v>316</v>
      </c>
      <c r="B47" s="40" t="s">
        <v>14</v>
      </c>
      <c r="C47" s="36" t="e">
        <f>VLOOKUP(A47,'Z-Programme'!#REF!,1,FALSE)</f>
        <v>#REF!</v>
      </c>
    </row>
    <row r="48" spans="1:3">
      <c r="A48" s="40" t="s">
        <v>142</v>
      </c>
      <c r="B48" s="40" t="s">
        <v>14</v>
      </c>
      <c r="C48" s="36" t="e">
        <f>VLOOKUP(A48,'Z-Programme'!#REF!,1,FALSE)</f>
        <v>#REF!</v>
      </c>
    </row>
    <row r="49" spans="1:3">
      <c r="A49" s="40" t="s">
        <v>923</v>
      </c>
      <c r="B49" s="40" t="s">
        <v>14</v>
      </c>
      <c r="C49" s="36" t="e">
        <f>VLOOKUP(A49,'Z-Programme'!#REF!,1,FALSE)</f>
        <v>#REF!</v>
      </c>
    </row>
    <row r="50" spans="1:3">
      <c r="A50" s="40" t="s">
        <v>497</v>
      </c>
      <c r="B50" s="40" t="s">
        <v>14</v>
      </c>
      <c r="C50" s="36" t="e">
        <f>VLOOKUP(A50,'Z-Programme'!#REF!,1,FALSE)</f>
        <v>#REF!</v>
      </c>
    </row>
    <row r="51" spans="1:3">
      <c r="A51" s="40" t="s">
        <v>418</v>
      </c>
      <c r="B51" s="40" t="s">
        <v>14</v>
      </c>
      <c r="C51" s="36" t="e">
        <f>VLOOKUP(A51,'Z-Programme'!#REF!,1,FALSE)</f>
        <v>#REF!</v>
      </c>
    </row>
    <row r="52" spans="1:3">
      <c r="A52" s="42" t="s">
        <v>1871</v>
      </c>
      <c r="B52" s="40" t="s">
        <v>14</v>
      </c>
      <c r="C52" s="36" t="e">
        <f>VLOOKUP(A52,'Z-Programme'!#REF!,1,FALSE)</f>
        <v>#REF!</v>
      </c>
    </row>
    <row r="53" spans="1:3">
      <c r="A53" s="40" t="s">
        <v>537</v>
      </c>
      <c r="B53" s="40" t="s">
        <v>14</v>
      </c>
      <c r="C53" s="36" t="e">
        <f>VLOOKUP(A53,'Z-Programme'!#REF!,1,FALSE)</f>
        <v>#REF!</v>
      </c>
    </row>
    <row r="54" spans="1:3">
      <c r="A54" s="42" t="s">
        <v>1872</v>
      </c>
      <c r="B54" s="40" t="s">
        <v>14</v>
      </c>
      <c r="C54" s="36" t="e">
        <f>VLOOKUP(A54,'Z-Programme'!#REF!,1,FALSE)</f>
        <v>#REF!</v>
      </c>
    </row>
    <row r="55" spans="1:3">
      <c r="A55" s="40" t="s">
        <v>349</v>
      </c>
      <c r="B55" s="40" t="s">
        <v>14</v>
      </c>
      <c r="C55" s="36" t="e">
        <f>VLOOKUP(A55,'Z-Programme'!#REF!,1,FALSE)</f>
        <v>#REF!</v>
      </c>
    </row>
    <row r="56" spans="1:3">
      <c r="A56" s="40" t="s">
        <v>644</v>
      </c>
      <c r="B56" s="40" t="s">
        <v>14</v>
      </c>
      <c r="C56" s="36" t="e">
        <f>VLOOKUP(A56,'Z-Programme'!#REF!,1,FALSE)</f>
        <v>#REF!</v>
      </c>
    </row>
    <row r="57" spans="1:3">
      <c r="A57" s="40" t="s">
        <v>1873</v>
      </c>
      <c r="B57" s="40" t="s">
        <v>11</v>
      </c>
      <c r="C57" s="36" t="e">
        <f>VLOOKUP(A57,'Z-Programme'!#REF!,1,FALSE)</f>
        <v>#REF!</v>
      </c>
    </row>
    <row r="58" spans="1:3">
      <c r="A58" s="40" t="s">
        <v>1875</v>
      </c>
      <c r="B58" s="40" t="s">
        <v>11</v>
      </c>
      <c r="C58" s="36" t="e">
        <f>VLOOKUP(A58,'Z-Programme'!#REF!,1,FALSE)</f>
        <v>#REF!</v>
      </c>
    </row>
    <row r="59" spans="1:3">
      <c r="A59" s="40" t="s">
        <v>374</v>
      </c>
      <c r="B59" s="40" t="s">
        <v>14</v>
      </c>
      <c r="C59" s="36" t="e">
        <f>VLOOKUP(A59,'Z-Programme'!#REF!,1,FALSE)</f>
        <v>#REF!</v>
      </c>
    </row>
    <row r="60" spans="1:3">
      <c r="A60" s="40" t="s">
        <v>1876</v>
      </c>
      <c r="B60" s="40" t="s">
        <v>11</v>
      </c>
      <c r="C60" s="36" t="e">
        <f>VLOOKUP(A60,'Z-Programme'!#REF!,1,FALSE)</f>
        <v>#REF!</v>
      </c>
    </row>
    <row r="61" spans="1:3">
      <c r="A61" s="40" t="s">
        <v>1877</v>
      </c>
      <c r="B61" s="40" t="s">
        <v>11</v>
      </c>
      <c r="C61" s="36" t="e">
        <f>VLOOKUP(A61,'Z-Programme'!#REF!,1,FALSE)</f>
        <v>#REF!</v>
      </c>
    </row>
    <row r="62" spans="1:3">
      <c r="A62" s="42" t="s">
        <v>1879</v>
      </c>
      <c r="B62" s="40" t="s">
        <v>14</v>
      </c>
      <c r="C62" s="36" t="e">
        <f>VLOOKUP(A62,'Z-Programme'!#REF!,1,FALSE)</f>
        <v>#REF!</v>
      </c>
    </row>
    <row r="63" spans="1:3">
      <c r="A63" s="42" t="s">
        <v>1880</v>
      </c>
      <c r="B63" s="40" t="s">
        <v>14</v>
      </c>
      <c r="C63" s="36" t="e">
        <f>VLOOKUP(A63,'Z-Programme'!#REF!,1,FALSE)</f>
        <v>#REF!</v>
      </c>
    </row>
    <row r="64" spans="1:3">
      <c r="A64" s="40" t="s">
        <v>310</v>
      </c>
      <c r="B64" s="40" t="s">
        <v>14</v>
      </c>
      <c r="C64" s="36" t="e">
        <f>VLOOKUP(A64,'Z-Programme'!#REF!,1,FALSE)</f>
        <v>#REF!</v>
      </c>
    </row>
    <row r="65" spans="1:3">
      <c r="A65" s="40" t="s">
        <v>346</v>
      </c>
      <c r="B65" s="40" t="s">
        <v>14</v>
      </c>
      <c r="C65" s="36" t="e">
        <f>VLOOKUP(A65,'Z-Programme'!#REF!,1,FALSE)</f>
        <v>#REF!</v>
      </c>
    </row>
    <row r="66" spans="1:3">
      <c r="A66" s="40" t="s">
        <v>114</v>
      </c>
      <c r="B66" s="40" t="s">
        <v>14</v>
      </c>
      <c r="C66" s="36" t="e">
        <f>VLOOKUP(A66,'Z-Programme'!#REF!,1,FALSE)</f>
        <v>#REF!</v>
      </c>
    </row>
    <row r="67" spans="1:3">
      <c r="A67" s="40" t="s">
        <v>1365</v>
      </c>
      <c r="B67" s="40" t="s">
        <v>14</v>
      </c>
      <c r="C67" s="36" t="e">
        <f>VLOOKUP(A67,'Z-Programme'!#REF!,1,FALSE)</f>
        <v>#REF!</v>
      </c>
    </row>
    <row r="68" spans="1:3">
      <c r="A68" s="40" t="s">
        <v>176</v>
      </c>
      <c r="B68" s="40" t="s">
        <v>14</v>
      </c>
      <c r="C68" s="36" t="e">
        <f>VLOOKUP(A68,'Z-Programme'!#REF!,1,FALSE)</f>
        <v>#REF!</v>
      </c>
    </row>
    <row r="69" spans="1:3">
      <c r="A69" s="40" t="s">
        <v>179</v>
      </c>
      <c r="B69" s="40" t="s">
        <v>14</v>
      </c>
      <c r="C69" s="36" t="e">
        <f>VLOOKUP(A69,'Z-Programme'!#REF!,1,FALSE)</f>
        <v>#REF!</v>
      </c>
    </row>
    <row r="70" spans="1:3">
      <c r="A70" s="40" t="s">
        <v>185</v>
      </c>
      <c r="B70" s="40" t="s">
        <v>14</v>
      </c>
      <c r="C70" s="36" t="e">
        <f>VLOOKUP(A70,'Z-Programme'!#REF!,1,FALSE)</f>
        <v>#REF!</v>
      </c>
    </row>
    <row r="71" spans="1:3">
      <c r="A71" s="40" t="s">
        <v>227</v>
      </c>
      <c r="B71" s="40" t="s">
        <v>14</v>
      </c>
      <c r="C71" s="36" t="e">
        <f>VLOOKUP(A71,'Z-Programme'!#REF!,1,FALSE)</f>
        <v>#REF!</v>
      </c>
    </row>
    <row r="72" spans="1:3">
      <c r="A72" s="40" t="s">
        <v>238</v>
      </c>
      <c r="B72" s="40" t="s">
        <v>14</v>
      </c>
      <c r="C72" s="36" t="e">
        <f>VLOOKUP(A72,'Z-Programme'!#REF!,1,FALSE)</f>
        <v>#REF!</v>
      </c>
    </row>
    <row r="73" spans="1:3">
      <c r="A73" s="40" t="s">
        <v>243</v>
      </c>
      <c r="B73" s="40" t="s">
        <v>14</v>
      </c>
      <c r="C73" s="36" t="e">
        <f>VLOOKUP(A73,'Z-Programme'!#REF!,1,FALSE)</f>
        <v>#REF!</v>
      </c>
    </row>
    <row r="74" spans="1:3">
      <c r="A74" s="40" t="s">
        <v>248</v>
      </c>
      <c r="B74" s="40" t="s">
        <v>14</v>
      </c>
      <c r="C74" s="36" t="e">
        <f>VLOOKUP(A74,'Z-Programme'!#REF!,1,FALSE)</f>
        <v>#REF!</v>
      </c>
    </row>
    <row r="75" spans="1:3">
      <c r="A75" s="40" t="s">
        <v>264</v>
      </c>
      <c r="B75" s="40" t="s">
        <v>14</v>
      </c>
      <c r="C75" s="36" t="e">
        <f>VLOOKUP(A75,'Z-Programme'!#REF!,1,FALSE)</f>
        <v>#REF!</v>
      </c>
    </row>
    <row r="76" spans="1:3">
      <c r="A76" s="40" t="s">
        <v>267</v>
      </c>
      <c r="B76" s="40" t="s">
        <v>14</v>
      </c>
      <c r="C76" s="36" t="e">
        <f>VLOOKUP(A76,'Z-Programme'!#REF!,1,FALSE)</f>
        <v>#REF!</v>
      </c>
    </row>
    <row r="77" spans="1:3">
      <c r="A77" s="40" t="s">
        <v>273</v>
      </c>
      <c r="B77" s="40" t="s">
        <v>14</v>
      </c>
      <c r="C77" s="36" t="e">
        <f>VLOOKUP(A77,'Z-Programme'!#REF!,1,FALSE)</f>
        <v>#REF!</v>
      </c>
    </row>
    <row r="78" spans="1:3">
      <c r="A78" s="40" t="s">
        <v>303</v>
      </c>
      <c r="B78" s="40" t="s">
        <v>14</v>
      </c>
      <c r="C78" s="36" t="e">
        <f>VLOOKUP(A78,'Z-Programme'!#REF!,1,FALSE)</f>
        <v>#REF!</v>
      </c>
    </row>
    <row r="79" spans="1:3">
      <c r="A79" s="40" t="s">
        <v>333</v>
      </c>
      <c r="B79" s="40" t="s">
        <v>14</v>
      </c>
      <c r="C79" s="36" t="e">
        <f>VLOOKUP(A79,'Z-Programme'!#REF!,1,FALSE)</f>
        <v>#REF!</v>
      </c>
    </row>
    <row r="80" spans="1:3">
      <c r="A80" s="40" t="s">
        <v>429</v>
      </c>
      <c r="B80" s="40" t="s">
        <v>14</v>
      </c>
      <c r="C80" s="36" t="e">
        <f>VLOOKUP(A80,'Z-Programme'!#REF!,1,FALSE)</f>
        <v>#REF!</v>
      </c>
    </row>
    <row r="81" spans="1:3">
      <c r="A81" s="40" t="s">
        <v>531</v>
      </c>
      <c r="B81" s="40" t="s">
        <v>14</v>
      </c>
      <c r="C81" s="36" t="e">
        <f>VLOOKUP(A81,'Z-Programme'!#REF!,1,FALSE)</f>
        <v>#REF!</v>
      </c>
    </row>
    <row r="82" spans="1:3">
      <c r="A82" s="40" t="s">
        <v>1884</v>
      </c>
      <c r="B82" s="40" t="s">
        <v>11</v>
      </c>
      <c r="C82" s="36" t="e">
        <f>VLOOKUP(A82,'Z-Programme'!#REF!,1,FALSE)</f>
        <v>#REF!</v>
      </c>
    </row>
    <row r="83" spans="1:3">
      <c r="A83" s="40" t="s">
        <v>687</v>
      </c>
      <c r="B83" s="40" t="s">
        <v>14</v>
      </c>
      <c r="C83" s="36" t="e">
        <f>VLOOKUP(A83,'Z-Programme'!#REF!,1,FALSE)</f>
        <v>#REF!</v>
      </c>
    </row>
    <row r="84" spans="1:3">
      <c r="A84" s="40" t="s">
        <v>770</v>
      </c>
      <c r="B84" s="40" t="s">
        <v>14</v>
      </c>
      <c r="C84" s="36" t="e">
        <f>VLOOKUP(A84,'Z-Programme'!#REF!,1,FALSE)</f>
        <v>#REF!</v>
      </c>
    </row>
    <row r="85" spans="1:3">
      <c r="A85" s="40" t="s">
        <v>788</v>
      </c>
      <c r="B85" s="40" t="s">
        <v>14</v>
      </c>
      <c r="C85" s="36" t="e">
        <f>VLOOKUP(A85,'Z-Programme'!#REF!,1,FALSE)</f>
        <v>#REF!</v>
      </c>
    </row>
    <row r="86" spans="1:3">
      <c r="A86" s="40" t="s">
        <v>796</v>
      </c>
      <c r="B86" s="40" t="s">
        <v>14</v>
      </c>
      <c r="C86" s="36" t="e">
        <f>VLOOKUP(A86,'Z-Programme'!#REF!,1,FALSE)</f>
        <v>#REF!</v>
      </c>
    </row>
    <row r="87" spans="1:3">
      <c r="A87" s="40" t="s">
        <v>803</v>
      </c>
      <c r="B87" s="40" t="s">
        <v>14</v>
      </c>
      <c r="C87" s="36" t="e">
        <f>VLOOKUP(A87,'Z-Programme'!#REF!,1,FALSE)</f>
        <v>#REF!</v>
      </c>
    </row>
    <row r="88" spans="1:3">
      <c r="A88" s="40" t="s">
        <v>866</v>
      </c>
      <c r="B88" s="40" t="s">
        <v>14</v>
      </c>
      <c r="C88" s="36" t="e">
        <f>VLOOKUP(A88,'Z-Programme'!#REF!,1,FALSE)</f>
        <v>#REF!</v>
      </c>
    </row>
    <row r="89" spans="1:3">
      <c r="A89" s="40" t="s">
        <v>853</v>
      </c>
      <c r="B89" s="40" t="s">
        <v>14</v>
      </c>
      <c r="C89" s="36" t="e">
        <f>VLOOKUP(A89,'Z-Programme'!#REF!,1,FALSE)</f>
        <v>#REF!</v>
      </c>
    </row>
    <row r="90" spans="1:3">
      <c r="A90" s="40" t="s">
        <v>877</v>
      </c>
      <c r="B90" s="40" t="s">
        <v>14</v>
      </c>
      <c r="C90" s="36" t="e">
        <f>VLOOKUP(A90,'Z-Programme'!#REF!,1,FALSE)</f>
        <v>#REF!</v>
      </c>
    </row>
    <row r="91" spans="1:3">
      <c r="A91" s="40" t="s">
        <v>938</v>
      </c>
      <c r="B91" s="40" t="s">
        <v>14</v>
      </c>
      <c r="C91" s="36" t="e">
        <f>VLOOKUP(A91,'Z-Programme'!#REF!,1,FALSE)</f>
        <v>#REF!</v>
      </c>
    </row>
    <row r="92" spans="1:3">
      <c r="A92" s="40" t="s">
        <v>1082</v>
      </c>
      <c r="B92" s="40" t="s">
        <v>14</v>
      </c>
      <c r="C92" s="36" t="e">
        <f>VLOOKUP(A92,'Z-Programme'!#REF!,1,FALSE)</f>
        <v>#REF!</v>
      </c>
    </row>
    <row r="93" spans="1:3">
      <c r="A93" s="40" t="s">
        <v>1398</v>
      </c>
      <c r="B93" s="40" t="s">
        <v>14</v>
      </c>
      <c r="C93" s="36" t="e">
        <f>VLOOKUP(A93,'Z-Programme'!#REF!,1,FALSE)</f>
        <v>#REF!</v>
      </c>
    </row>
    <row r="94" spans="1:3">
      <c r="A94" s="40" t="s">
        <v>617</v>
      </c>
      <c r="B94" s="40" t="s">
        <v>14</v>
      </c>
      <c r="C94" s="36" t="e">
        <f>VLOOKUP(A94,'Z-Programme'!#REF!,1,FALSE)</f>
        <v>#REF!</v>
      </c>
    </row>
    <row r="95" spans="1:3">
      <c r="A95" s="40" t="s">
        <v>785</v>
      </c>
      <c r="B95" s="40" t="s">
        <v>14</v>
      </c>
      <c r="C95" s="36" t="e">
        <f>VLOOKUP(A95,'Z-Programme'!#REF!,1,FALSE)</f>
        <v>#REF!</v>
      </c>
    </row>
    <row r="96" spans="1:3">
      <c r="A96" s="42" t="s">
        <v>1888</v>
      </c>
      <c r="B96" s="40" t="s">
        <v>14</v>
      </c>
      <c r="C96" s="36" t="e">
        <f>VLOOKUP(A96,'Z-Programme'!#REF!,1,FALSE)</f>
        <v>#REF!</v>
      </c>
    </row>
    <row r="97" spans="1:3">
      <c r="A97" s="40" t="s">
        <v>1394</v>
      </c>
      <c r="B97" s="40" t="s">
        <v>14</v>
      </c>
      <c r="C97" s="36" t="e">
        <f>VLOOKUP(A97,'Z-Programme'!#REF!,1,FALSE)</f>
        <v>#REF!</v>
      </c>
    </row>
    <row r="98" spans="1:3">
      <c r="A98" s="42" t="s">
        <v>523</v>
      </c>
      <c r="B98" s="40" t="s">
        <v>14</v>
      </c>
      <c r="C98" s="36" t="e">
        <f>VLOOKUP(A98,'Z-Programme'!#REF!,1,FALSE)</f>
        <v>#REF!</v>
      </c>
    </row>
    <row r="99" spans="1:3">
      <c r="A99" s="40" t="s">
        <v>1500</v>
      </c>
      <c r="B99" s="40" t="s">
        <v>14</v>
      </c>
      <c r="C99" s="36" t="e">
        <f>VLOOKUP(A99,'Z-Programme'!#REF!,1,FALSE)</f>
        <v>#REF!</v>
      </c>
    </row>
    <row r="100" spans="1:3">
      <c r="A100" s="40" t="s">
        <v>1890</v>
      </c>
      <c r="B100" s="40" t="s">
        <v>14</v>
      </c>
      <c r="C100" s="36" t="e">
        <f>VLOOKUP(A100,'Z-Programme'!#REF!,1,FALSE)</f>
        <v>#REF!</v>
      </c>
    </row>
    <row r="101" spans="1:3">
      <c r="A101" s="40" t="s">
        <v>1383</v>
      </c>
      <c r="B101" s="40" t="s">
        <v>11</v>
      </c>
      <c r="C101" s="36" t="e">
        <f>VLOOKUP(A101,'Z-Programme'!#REF!,1,FALSE)</f>
        <v>#REF!</v>
      </c>
    </row>
    <row r="102" spans="1:3">
      <c r="A102" s="40" t="s">
        <v>1504</v>
      </c>
      <c r="B102" s="40" t="s">
        <v>11</v>
      </c>
      <c r="C102" s="36" t="e">
        <f>VLOOKUP(A102,'Z-Programme'!#REF!,1,FALSE)</f>
        <v>#REF!</v>
      </c>
    </row>
    <row r="103" spans="1:3">
      <c r="A103" s="40" t="s">
        <v>1891</v>
      </c>
      <c r="B103" s="40" t="s">
        <v>11</v>
      </c>
      <c r="C103" s="36" t="e">
        <f>VLOOKUP(A103,'Z-Programme'!#REF!,1,FALSE)</f>
        <v>#REF!</v>
      </c>
    </row>
    <row r="104" spans="1:3">
      <c r="A104" s="40" t="s">
        <v>1892</v>
      </c>
      <c r="B104" s="40" t="s">
        <v>11</v>
      </c>
      <c r="C104" s="36" t="e">
        <f>VLOOKUP(A104,'Z-Programme'!#REF!,1,FALSE)</f>
        <v>#REF!</v>
      </c>
    </row>
    <row r="105" spans="1:3">
      <c r="A105" s="40" t="s">
        <v>1893</v>
      </c>
      <c r="B105" s="40" t="s">
        <v>14</v>
      </c>
      <c r="C105" s="36" t="e">
        <f>VLOOKUP(A105,'Z-Programme'!#REF!,1,FALSE)</f>
        <v>#REF!</v>
      </c>
    </row>
    <row r="106" spans="1:3">
      <c r="A106" s="40" t="s">
        <v>812</v>
      </c>
      <c r="B106" s="40" t="s">
        <v>14</v>
      </c>
      <c r="C106" s="36" t="e">
        <f>VLOOKUP(A106,'Z-Programme'!#REF!,1,FALSE)</f>
        <v>#REF!</v>
      </c>
    </row>
    <row r="107" spans="1:3">
      <c r="A107" s="40" t="s">
        <v>233</v>
      </c>
      <c r="B107" s="40" t="s">
        <v>14</v>
      </c>
      <c r="C107" s="36" t="e">
        <f>VLOOKUP(A107,'Z-Programme'!#REF!,1,FALSE)</f>
        <v>#REF!</v>
      </c>
    </row>
    <row r="108" spans="1:3">
      <c r="A108" s="40" t="s">
        <v>607</v>
      </c>
      <c r="B108" s="40" t="s">
        <v>14</v>
      </c>
      <c r="C108" s="36" t="e">
        <f>VLOOKUP(A108,'Z-Programme'!#REF!,1,FALSE)</f>
        <v>#REF!</v>
      </c>
    </row>
    <row r="109" spans="1:3">
      <c r="A109" s="40" t="s">
        <v>52</v>
      </c>
      <c r="B109" s="40" t="s">
        <v>14</v>
      </c>
      <c r="C109" s="36" t="e">
        <f>VLOOKUP(A109,'Z-Programme'!#REF!,1,FALSE)</f>
        <v>#REF!</v>
      </c>
    </row>
    <row r="110" spans="1:3">
      <c r="A110" s="40" t="s">
        <v>534</v>
      </c>
      <c r="B110" s="40" t="s">
        <v>14</v>
      </c>
      <c r="C110" s="36" t="e">
        <f>VLOOKUP(A110,'Z-Programme'!#REF!,1,FALSE)</f>
        <v>#REF!</v>
      </c>
    </row>
    <row r="111" spans="1:3">
      <c r="A111" s="40" t="s">
        <v>958</v>
      </c>
      <c r="B111" s="40" t="s">
        <v>14</v>
      </c>
      <c r="C111" s="36" t="e">
        <f>VLOOKUP(A111,'Z-Programme'!#REF!,1,FALSE)</f>
        <v>#REF!</v>
      </c>
    </row>
    <row r="112" spans="1:3">
      <c r="A112" s="40" t="s">
        <v>1028</v>
      </c>
      <c r="B112" s="40" t="s">
        <v>11</v>
      </c>
      <c r="C112" s="36" t="e">
        <f>VLOOKUP(A112,'Z-Programme'!#REF!,1,FALSE)</f>
        <v>#REF!</v>
      </c>
    </row>
    <row r="113" spans="1:18">
      <c r="A113" s="40" t="s">
        <v>1028</v>
      </c>
      <c r="B113" s="40" t="s">
        <v>11</v>
      </c>
      <c r="C113" s="36" t="e">
        <f>VLOOKUP(A113,'Z-Programme'!#REF!,1,FALSE)</f>
        <v>#REF!</v>
      </c>
    </row>
    <row r="114" spans="1:18">
      <c r="A114" s="40" t="s">
        <v>1028</v>
      </c>
      <c r="B114" s="40" t="s">
        <v>11</v>
      </c>
      <c r="C114" s="36" t="e">
        <f>VLOOKUP(A114,'Z-Programme'!#REF!,1,FALSE)</f>
        <v>#REF!</v>
      </c>
    </row>
    <row r="115" spans="1:18">
      <c r="A115" s="40" t="s">
        <v>1028</v>
      </c>
      <c r="B115" s="40" t="s">
        <v>11</v>
      </c>
      <c r="C115" s="36" t="e">
        <f>VLOOKUP(A115,'Z-Programme'!#REF!,1,FALSE)</f>
        <v>#REF!</v>
      </c>
    </row>
    <row r="116" spans="1:18">
      <c r="A116" s="40" t="s">
        <v>1028</v>
      </c>
      <c r="B116" s="40" t="s">
        <v>11</v>
      </c>
      <c r="C116" s="36" t="e">
        <f>VLOOKUP(A116,'Z-Programme'!#REF!,1,FALSE)</f>
        <v>#REF!</v>
      </c>
    </row>
    <row r="117" spans="1:18">
      <c r="A117" s="40" t="s">
        <v>1028</v>
      </c>
      <c r="B117" s="40" t="s">
        <v>11</v>
      </c>
      <c r="C117" s="36" t="e">
        <f>VLOOKUP(A117,'Z-Programme'!#REF!,1,FALSE)</f>
        <v>#REF!</v>
      </c>
    </row>
    <row r="118" spans="1:18">
      <c r="A118" s="40" t="s">
        <v>1028</v>
      </c>
      <c r="B118" s="40" t="s">
        <v>11</v>
      </c>
      <c r="C118" s="36" t="e">
        <f>VLOOKUP(A118,'Z-Programme'!#REF!,1,FALSE)</f>
        <v>#REF!</v>
      </c>
    </row>
    <row r="119" spans="1:18">
      <c r="A119" s="40" t="s">
        <v>1028</v>
      </c>
      <c r="B119" s="40" t="s">
        <v>11</v>
      </c>
      <c r="C119" s="36" t="e">
        <f>VLOOKUP(A119,'Z-Programme'!#REF!,1,FALSE)</f>
        <v>#REF!</v>
      </c>
    </row>
    <row r="120" spans="1:18">
      <c r="A120" s="40" t="s">
        <v>1028</v>
      </c>
      <c r="B120" s="40" t="s">
        <v>11</v>
      </c>
      <c r="C120" s="36" t="e">
        <f>VLOOKUP(A120,'Z-Programme'!#REF!,1,FALSE)</f>
        <v>#REF!</v>
      </c>
    </row>
    <row r="121" spans="1:18">
      <c r="A121" s="40" t="s">
        <v>1028</v>
      </c>
      <c r="B121" s="40" t="s">
        <v>11</v>
      </c>
      <c r="C121" s="36" t="e">
        <f>VLOOKUP(A121,'Z-Programme'!#REF!,1,FALSE)</f>
        <v>#REF!</v>
      </c>
      <c r="R121" s="36" t="s">
        <v>1895</v>
      </c>
    </row>
    <row r="122" spans="1:18">
      <c r="A122" s="40" t="s">
        <v>1028</v>
      </c>
      <c r="B122" s="40" t="s">
        <v>11</v>
      </c>
      <c r="C122" s="36" t="e">
        <f>VLOOKUP(A122,'Z-Programme'!#REF!,1,FALSE)</f>
        <v>#REF!</v>
      </c>
    </row>
    <row r="123" spans="1:18">
      <c r="A123" s="40" t="s">
        <v>1028</v>
      </c>
      <c r="B123" s="40" t="s">
        <v>11</v>
      </c>
      <c r="C123" s="36" t="e">
        <f>VLOOKUP(A123,'Z-Programme'!#REF!,1,FALSE)</f>
        <v>#REF!</v>
      </c>
    </row>
    <row r="124" spans="1:18">
      <c r="A124" s="40" t="s">
        <v>1028</v>
      </c>
      <c r="B124" s="40" t="s">
        <v>11</v>
      </c>
      <c r="C124" s="36" t="e">
        <f>VLOOKUP(A124,'Z-Programme'!#REF!,1,FALSE)</f>
        <v>#REF!</v>
      </c>
    </row>
    <row r="125" spans="1:18">
      <c r="A125" s="40" t="s">
        <v>1028</v>
      </c>
      <c r="B125" s="40" t="s">
        <v>11</v>
      </c>
      <c r="C125" s="36" t="e">
        <f>VLOOKUP(A125,'Z-Programme'!#REF!,1,FALSE)</f>
        <v>#REF!</v>
      </c>
    </row>
    <row r="126" spans="1:18">
      <c r="A126" s="40" t="s">
        <v>1028</v>
      </c>
      <c r="B126" s="40" t="s">
        <v>11</v>
      </c>
      <c r="C126" s="36" t="e">
        <f>VLOOKUP(A126,'Z-Programme'!#REF!,1,FALSE)</f>
        <v>#REF!</v>
      </c>
    </row>
    <row r="127" spans="1:18">
      <c r="A127" s="40" t="s">
        <v>1028</v>
      </c>
      <c r="B127" s="40" t="s">
        <v>11</v>
      </c>
      <c r="C127" s="36" t="e">
        <f>VLOOKUP(A127,'Z-Programme'!#REF!,1,FALSE)</f>
        <v>#REF!</v>
      </c>
    </row>
    <row r="128" spans="1:18">
      <c r="A128" s="40" t="s">
        <v>1028</v>
      </c>
      <c r="B128" s="40" t="s">
        <v>11</v>
      </c>
      <c r="C128" s="36" t="e">
        <f>VLOOKUP(A128,'Z-Programme'!#REF!,1,FALSE)</f>
        <v>#REF!</v>
      </c>
    </row>
    <row r="129" spans="1:3">
      <c r="A129" s="40" t="s">
        <v>1028</v>
      </c>
      <c r="B129" s="40" t="s">
        <v>11</v>
      </c>
      <c r="C129" s="36" t="e">
        <f>VLOOKUP(A129,'Z-Programme'!#REF!,1,FALSE)</f>
        <v>#REF!</v>
      </c>
    </row>
    <row r="130" spans="1:3">
      <c r="A130" s="40" t="s">
        <v>1028</v>
      </c>
      <c r="B130" s="40" t="s">
        <v>11</v>
      </c>
      <c r="C130" s="36" t="e">
        <f>VLOOKUP(A130,'Z-Programme'!#REF!,1,FALSE)</f>
        <v>#REF!</v>
      </c>
    </row>
    <row r="131" spans="1:3">
      <c r="A131" s="40" t="s">
        <v>1215</v>
      </c>
      <c r="B131" s="40" t="s">
        <v>11</v>
      </c>
      <c r="C131" s="36" t="e">
        <f>VLOOKUP(A131,'Z-Programme'!#REF!,1,FALSE)</f>
        <v>#REF!</v>
      </c>
    </row>
    <row r="132" spans="1:3">
      <c r="A132" s="40" t="s">
        <v>1896</v>
      </c>
      <c r="B132" s="40" t="s">
        <v>11</v>
      </c>
      <c r="C132" s="36" t="e">
        <f>VLOOKUP(A132,'Z-Programme'!#REF!,1,FALSE)</f>
        <v>#REF!</v>
      </c>
    </row>
    <row r="133" spans="1:3">
      <c r="A133" s="40" t="s">
        <v>216</v>
      </c>
      <c r="B133" s="40" t="s">
        <v>11</v>
      </c>
      <c r="C133" s="36" t="e">
        <f>VLOOKUP(A133,'Z-Programme'!#REF!,1,FALSE)</f>
        <v>#REF!</v>
      </c>
    </row>
    <row r="134" spans="1:3">
      <c r="A134" s="40" t="s">
        <v>1512</v>
      </c>
      <c r="B134" s="40" t="s">
        <v>11</v>
      </c>
      <c r="C134" s="36" t="e">
        <f>VLOOKUP(A134,'Z-Programme'!#REF!,1,FALSE)</f>
        <v>#REF!</v>
      </c>
    </row>
    <row r="135" spans="1:3">
      <c r="A135" s="40" t="s">
        <v>270</v>
      </c>
      <c r="B135" s="40" t="s">
        <v>14</v>
      </c>
      <c r="C135" s="36" t="e">
        <f>VLOOKUP(A135,'Z-Programme'!#REF!,1,FALSE)</f>
        <v>#REF!</v>
      </c>
    </row>
    <row r="136" spans="1:3">
      <c r="A136" s="40" t="s">
        <v>1515</v>
      </c>
      <c r="B136" s="40" t="s">
        <v>11</v>
      </c>
      <c r="C136" s="36" t="e">
        <f>VLOOKUP(A136,'Z-Programme'!#REF!,1,FALSE)</f>
        <v>#REF!</v>
      </c>
    </row>
    <row r="137" spans="1:3">
      <c r="A137" s="40" t="s">
        <v>1897</v>
      </c>
      <c r="B137" s="40" t="s">
        <v>11</v>
      </c>
      <c r="C137" s="36" t="e">
        <f>VLOOKUP(A137,'Z-Programme'!#REF!,1,FALSE)</f>
        <v>#REF!</v>
      </c>
    </row>
    <row r="138" spans="1:3">
      <c r="A138" s="40" t="s">
        <v>1898</v>
      </c>
      <c r="B138" s="40" t="s">
        <v>11</v>
      </c>
      <c r="C138" s="36" t="e">
        <f>VLOOKUP(A138,'Z-Programme'!#REF!,1,FALSE)</f>
        <v>#REF!</v>
      </c>
    </row>
    <row r="139" spans="1:3">
      <c r="A139" s="40" t="s">
        <v>1899</v>
      </c>
      <c r="B139" s="40" t="s">
        <v>11</v>
      </c>
      <c r="C139" s="36" t="e">
        <f>VLOOKUP(A139,'Z-Programme'!#REF!,1,FALSE)</f>
        <v>#REF!</v>
      </c>
    </row>
    <row r="140" spans="1:3">
      <c r="A140" s="40" t="s">
        <v>1900</v>
      </c>
      <c r="B140" s="40" t="s">
        <v>11</v>
      </c>
      <c r="C140" s="36" t="e">
        <f>VLOOKUP(A140,'Z-Programme'!#REF!,1,FALSE)</f>
        <v>#REF!</v>
      </c>
    </row>
    <row r="141" spans="1:3">
      <c r="A141" s="40" t="s">
        <v>1902</v>
      </c>
      <c r="B141" s="40" t="s">
        <v>11</v>
      </c>
      <c r="C141" s="36" t="e">
        <f>VLOOKUP(A141,'Z-Programme'!#REF!,1,FALSE)</f>
        <v>#REF!</v>
      </c>
    </row>
    <row r="142" spans="1:3">
      <c r="A142" s="40" t="s">
        <v>1903</v>
      </c>
      <c r="B142" s="40" t="s">
        <v>11</v>
      </c>
      <c r="C142" s="36" t="e">
        <f>VLOOKUP(A142,'Z-Programme'!#REF!,1,FALSE)</f>
        <v>#REF!</v>
      </c>
    </row>
    <row r="143" spans="1:3">
      <c r="A143" s="40" t="s">
        <v>812</v>
      </c>
      <c r="B143" s="40" t="s">
        <v>14</v>
      </c>
      <c r="C143" s="36" t="e">
        <f>VLOOKUP(A143,'Z-Programme'!#REF!,1,FALSE)</f>
        <v>#REF!</v>
      </c>
    </row>
    <row r="144" spans="1:3">
      <c r="A144" s="40" t="s">
        <v>812</v>
      </c>
      <c r="B144" s="40" t="s">
        <v>14</v>
      </c>
      <c r="C144" s="36" t="e">
        <f>VLOOKUP(A144,'Z-Programme'!#REF!,1,FALSE)</f>
        <v>#REF!</v>
      </c>
    </row>
    <row r="145" spans="1:3">
      <c r="A145" s="40" t="s">
        <v>812</v>
      </c>
      <c r="B145" s="40" t="s">
        <v>14</v>
      </c>
      <c r="C145" s="36" t="e">
        <f>VLOOKUP(A145,'Z-Programme'!#REF!,1,FALSE)</f>
        <v>#REF!</v>
      </c>
    </row>
    <row r="146" spans="1:3">
      <c r="A146" s="40" t="s">
        <v>1904</v>
      </c>
      <c r="B146" s="40" t="s">
        <v>11</v>
      </c>
      <c r="C146" s="36" t="e">
        <f>VLOOKUP(A146,'Z-Programme'!#REF!,1,FALSE)</f>
        <v>#REF!</v>
      </c>
    </row>
    <row r="147" spans="1:3">
      <c r="A147" s="40" t="s">
        <v>1905</v>
      </c>
      <c r="B147" s="40" t="s">
        <v>11</v>
      </c>
      <c r="C147" s="36" t="e">
        <f>VLOOKUP(A147,'Z-Programme'!#REF!,1,FALSE)</f>
        <v>#REF!</v>
      </c>
    </row>
    <row r="148" spans="1:3">
      <c r="A148" s="40" t="s">
        <v>1906</v>
      </c>
      <c r="B148" s="40" t="s">
        <v>11</v>
      </c>
      <c r="C148" s="36" t="e">
        <f>VLOOKUP(A148,'Z-Programme'!#REF!,1,FALSE)</f>
        <v>#REF!</v>
      </c>
    </row>
    <row r="149" spans="1:3">
      <c r="A149" s="40" t="s">
        <v>1907</v>
      </c>
      <c r="B149" s="40" t="s">
        <v>11</v>
      </c>
      <c r="C149" s="36" t="e">
        <f>VLOOKUP(A149,'Z-Programme'!#REF!,1,FALSE)</f>
        <v>#REF!</v>
      </c>
    </row>
    <row r="150" spans="1:3">
      <c r="A150" s="42" t="s">
        <v>1908</v>
      </c>
      <c r="B150" s="40" t="s">
        <v>14</v>
      </c>
      <c r="C150" s="36" t="e">
        <f>VLOOKUP(A150,'Z-Programme'!#REF!,1,FALSE)</f>
        <v>#REF!</v>
      </c>
    </row>
    <row r="151" spans="1:3">
      <c r="A151" s="40" t="s">
        <v>1909</v>
      </c>
      <c r="B151" s="40" t="s">
        <v>11</v>
      </c>
      <c r="C151" s="36" t="e">
        <f>VLOOKUP(A151,'Z-Programme'!#REF!,1,FALSE)</f>
        <v>#REF!</v>
      </c>
    </row>
    <row r="152" spans="1:3">
      <c r="A152" s="40" t="s">
        <v>1203</v>
      </c>
      <c r="B152" s="40" t="s">
        <v>14</v>
      </c>
      <c r="C152" s="36" t="e">
        <f>VLOOKUP(A152,'Z-Programme'!#REF!,1,FALSE)</f>
        <v>#REF!</v>
      </c>
    </row>
    <row r="153" spans="1:3">
      <c r="A153" s="40" t="s">
        <v>1910</v>
      </c>
      <c r="B153" s="40" t="s">
        <v>11</v>
      </c>
      <c r="C153" s="36" t="e">
        <f>VLOOKUP(A153,'Z-Programme'!#REF!,1,FALSE)</f>
        <v>#REF!</v>
      </c>
    </row>
    <row r="154" spans="1:3">
      <c r="A154" s="40" t="s">
        <v>1911</v>
      </c>
      <c r="B154" s="40" t="s">
        <v>11</v>
      </c>
      <c r="C154" s="36" t="e">
        <f>VLOOKUP(A154,'Z-Programme'!#REF!,1,FALSE)</f>
        <v>#REF!</v>
      </c>
    </row>
    <row r="155" spans="1:3">
      <c r="A155" s="40" t="s">
        <v>1912</v>
      </c>
      <c r="B155" s="40" t="s">
        <v>11</v>
      </c>
      <c r="C155" s="36" t="e">
        <f>VLOOKUP(A155,'Z-Programme'!#REF!,1,FALSE)</f>
        <v>#REF!</v>
      </c>
    </row>
    <row r="156" spans="1:3">
      <c r="A156" s="40" t="s">
        <v>1913</v>
      </c>
      <c r="B156" s="40" t="s">
        <v>11</v>
      </c>
      <c r="C156" s="36" t="e">
        <f>VLOOKUP(A156,'Z-Programme'!#REF!,1,FALSE)</f>
        <v>#REF!</v>
      </c>
    </row>
    <row r="157" spans="1:3">
      <c r="A157" s="40" t="s">
        <v>1378</v>
      </c>
      <c r="B157" s="40" t="s">
        <v>14</v>
      </c>
      <c r="C157" s="36" t="e">
        <f>VLOOKUP(A157,'Z-Programme'!#REF!,1,FALSE)</f>
        <v>#REF!</v>
      </c>
    </row>
    <row r="158" spans="1:3">
      <c r="A158" s="40" t="s">
        <v>1914</v>
      </c>
      <c r="B158" s="40" t="s">
        <v>11</v>
      </c>
      <c r="C158" s="36" t="e">
        <f>VLOOKUP(A158,'Z-Programme'!#REF!,1,FALSE)</f>
        <v>#REF!</v>
      </c>
    </row>
    <row r="159" spans="1:3">
      <c r="A159" s="40" t="s">
        <v>1915</v>
      </c>
      <c r="B159" s="40" t="s">
        <v>11</v>
      </c>
      <c r="C159" s="36" t="e">
        <f>VLOOKUP(A159,'Z-Programme'!#REF!,1,FALSE)</f>
        <v>#REF!</v>
      </c>
    </row>
    <row r="160" spans="1:3">
      <c r="A160" s="40" t="s">
        <v>748</v>
      </c>
      <c r="B160" s="40" t="s">
        <v>14</v>
      </c>
      <c r="C160" s="36" t="e">
        <f>VLOOKUP(A160,'Z-Programme'!#REF!,1,FALSE)</f>
        <v>#REF!</v>
      </c>
    </row>
    <row r="161" spans="1:3">
      <c r="A161" s="40" t="s">
        <v>1206</v>
      </c>
      <c r="B161" s="40" t="s">
        <v>14</v>
      </c>
      <c r="C161" s="36" t="e">
        <f>VLOOKUP(A161,'Z-Programme'!#REF!,1,FALSE)</f>
        <v>#REF!</v>
      </c>
    </row>
    <row r="162" spans="1:3">
      <c r="A162" s="40" t="s">
        <v>503</v>
      </c>
      <c r="B162" s="40" t="s">
        <v>14</v>
      </c>
      <c r="C162" s="36" t="e">
        <f>VLOOKUP(A162,'Z-Programme'!#REF!,1,FALSE)</f>
        <v>#REF!</v>
      </c>
    </row>
    <row r="163" spans="1:3">
      <c r="A163" s="40" t="s">
        <v>519</v>
      </c>
      <c r="B163" s="40" t="s">
        <v>14</v>
      </c>
      <c r="C163" s="36" t="e">
        <f>VLOOKUP(A163,'Z-Programme'!#REF!,1,FALSE)</f>
        <v>#REF!</v>
      </c>
    </row>
    <row r="164" spans="1:3">
      <c r="A164" s="40" t="s">
        <v>779</v>
      </c>
      <c r="B164" s="40" t="s">
        <v>14</v>
      </c>
      <c r="C164" s="36" t="e">
        <f>VLOOKUP(A164,'Z-Programme'!#REF!,1,FALSE)</f>
        <v>#REF!</v>
      </c>
    </row>
    <row r="165" spans="1:3">
      <c r="A165" s="40" t="s">
        <v>1297</v>
      </c>
      <c r="B165" s="40" t="s">
        <v>14</v>
      </c>
      <c r="C165" s="36" t="e">
        <f>VLOOKUP(A165,'Z-Programme'!#REF!,1,FALSE)</f>
        <v>#REF!</v>
      </c>
    </row>
    <row r="166" spans="1:3">
      <c r="A166" s="40" t="s">
        <v>690</v>
      </c>
      <c r="B166" s="40" t="s">
        <v>14</v>
      </c>
      <c r="C166" s="36" t="e">
        <f>VLOOKUP(A166,'Z-Programme'!#REF!,1,FALSE)</f>
        <v>#REF!</v>
      </c>
    </row>
    <row r="167" spans="1:3">
      <c r="A167" s="40" t="s">
        <v>328</v>
      </c>
      <c r="B167" s="40" t="s">
        <v>14</v>
      </c>
      <c r="C167" s="36" t="e">
        <f>VLOOKUP(A167,'Z-Programme'!#REF!,1,FALSE)</f>
        <v>#REF!</v>
      </c>
    </row>
    <row r="168" spans="1:3">
      <c r="A168" s="40" t="s">
        <v>1916</v>
      </c>
      <c r="B168" s="40" t="s">
        <v>11</v>
      </c>
      <c r="C168" s="36" t="e">
        <f>VLOOKUP(A168,'Z-Programme'!#REF!,1,FALSE)</f>
        <v>#REF!</v>
      </c>
    </row>
    <row r="169" spans="1:3">
      <c r="A169" s="40" t="s">
        <v>1119</v>
      </c>
      <c r="B169" s="40" t="s">
        <v>14</v>
      </c>
      <c r="C169" s="36" t="e">
        <f>VLOOKUP(A169,'Z-Programme'!#REF!,1,FALSE)</f>
        <v>#REF!</v>
      </c>
    </row>
    <row r="170" spans="1:3">
      <c r="A170" s="40" t="s">
        <v>1352</v>
      </c>
      <c r="B170" s="40" t="s">
        <v>14</v>
      </c>
      <c r="C170" s="36" t="e">
        <f>VLOOKUP(A170,'Z-Programme'!#REF!,1,FALSE)</f>
        <v>#REF!</v>
      </c>
    </row>
    <row r="171" spans="1:3">
      <c r="A171" s="40" t="s">
        <v>1917</v>
      </c>
      <c r="B171" s="40" t="s">
        <v>11</v>
      </c>
      <c r="C171" s="36" t="e">
        <f>VLOOKUP(A171,'Z-Programme'!#REF!,1,FALSE)</f>
        <v>#REF!</v>
      </c>
    </row>
    <row r="172" spans="1:3">
      <c r="A172" s="40" t="s">
        <v>1919</v>
      </c>
      <c r="B172" s="40" t="s">
        <v>11</v>
      </c>
      <c r="C172" s="36" t="e">
        <f>VLOOKUP(A172,'Z-Programme'!#REF!,1,FALSE)</f>
        <v>#REF!</v>
      </c>
    </row>
    <row r="173" spans="1:3">
      <c r="A173" s="40" t="s">
        <v>1920</v>
      </c>
      <c r="B173" s="40" t="s">
        <v>11</v>
      </c>
      <c r="C173" s="36" t="e">
        <f>VLOOKUP(A173,'Z-Programme'!#REF!,1,FALSE)</f>
        <v>#REF!</v>
      </c>
    </row>
    <row r="174" spans="1:3">
      <c r="A174" s="40" t="s">
        <v>1921</v>
      </c>
      <c r="B174" s="40" t="s">
        <v>11</v>
      </c>
      <c r="C174" s="36" t="e">
        <f>VLOOKUP(A174,'Z-Programme'!#REF!,1,FALSE)</f>
        <v>#REF!</v>
      </c>
    </row>
    <row r="175" spans="1:3">
      <c r="A175" s="40" t="s">
        <v>1922</v>
      </c>
      <c r="B175" s="40" t="s">
        <v>11</v>
      </c>
      <c r="C175" s="36" t="e">
        <f>VLOOKUP(A175,'Z-Programme'!#REF!,1,FALSE)</f>
        <v>#REF!</v>
      </c>
    </row>
    <row r="176" spans="1:3">
      <c r="A176" s="40" t="s">
        <v>1152</v>
      </c>
      <c r="B176" s="40" t="s">
        <v>14</v>
      </c>
      <c r="C176" s="36" t="e">
        <f>VLOOKUP(A176,'Z-Programme'!#REF!,1,FALSE)</f>
        <v>#REF!</v>
      </c>
    </row>
    <row r="177" spans="1:3">
      <c r="A177" s="40" t="s">
        <v>1923</v>
      </c>
      <c r="B177" s="40" t="s">
        <v>11</v>
      </c>
      <c r="C177" s="36" t="e">
        <f>VLOOKUP(A177,'Z-Programme'!#REF!,1,FALSE)</f>
        <v>#REF!</v>
      </c>
    </row>
    <row r="178" spans="1:3">
      <c r="A178" s="40" t="s">
        <v>1924</v>
      </c>
      <c r="B178" s="40" t="s">
        <v>11</v>
      </c>
      <c r="C178" s="36" t="e">
        <f>VLOOKUP(A178,'Z-Programme'!#REF!,1,FALSE)</f>
        <v>#REF!</v>
      </c>
    </row>
    <row r="179" spans="1:3">
      <c r="A179" s="40" t="s">
        <v>1925</v>
      </c>
      <c r="B179" s="40" t="s">
        <v>11</v>
      </c>
      <c r="C179" s="36" t="e">
        <f>VLOOKUP(A179,'Z-Programme'!#REF!,1,FALSE)</f>
        <v>#REF!</v>
      </c>
    </row>
    <row r="180" spans="1:3">
      <c r="A180" s="40" t="s">
        <v>1926</v>
      </c>
      <c r="B180" s="40" t="s">
        <v>11</v>
      </c>
      <c r="C180" s="36" t="e">
        <f>VLOOKUP(A180,'Z-Programme'!#REF!,1,FALSE)</f>
        <v>#REF!</v>
      </c>
    </row>
    <row r="181" spans="1:3">
      <c r="A181" s="40" t="s">
        <v>551</v>
      </c>
      <c r="B181" s="40" t="s">
        <v>14</v>
      </c>
      <c r="C181" s="36" t="e">
        <f>VLOOKUP(A181,'Z-Programme'!#REF!,1,FALSE)</f>
        <v>#REF!</v>
      </c>
    </row>
    <row r="182" spans="1:3">
      <c r="A182" s="40" t="s">
        <v>551</v>
      </c>
      <c r="B182" s="40" t="s">
        <v>14</v>
      </c>
      <c r="C182" s="36" t="e">
        <f>VLOOKUP(A182,'Z-Programme'!#REF!,1,FALSE)</f>
        <v>#REF!</v>
      </c>
    </row>
    <row r="183" spans="1:3">
      <c r="A183" s="40" t="s">
        <v>1927</v>
      </c>
      <c r="B183" s="40" t="s">
        <v>11</v>
      </c>
      <c r="C183" s="36" t="e">
        <f>VLOOKUP(A183,'Z-Programme'!#REF!,1,FALSE)</f>
        <v>#REF!</v>
      </c>
    </row>
    <row r="184" spans="1:3">
      <c r="A184" s="40" t="s">
        <v>1928</v>
      </c>
      <c r="B184" s="40" t="s">
        <v>11</v>
      </c>
      <c r="C184" s="36" t="e">
        <f>VLOOKUP(A184,'Z-Programme'!#REF!,1,FALSE)</f>
        <v>#REF!</v>
      </c>
    </row>
    <row r="185" spans="1:3">
      <c r="A185" s="40" t="s">
        <v>1003</v>
      </c>
      <c r="B185" s="40" t="s">
        <v>14</v>
      </c>
      <c r="C185" s="36" t="e">
        <f>VLOOKUP(A185,'Z-Programme'!#REF!,1,FALSE)</f>
        <v>#REF!</v>
      </c>
    </row>
    <row r="186" spans="1:3">
      <c r="A186" s="40" t="s">
        <v>1035</v>
      </c>
      <c r="B186" s="40" t="s">
        <v>14</v>
      </c>
      <c r="C186" s="36" t="e">
        <f>VLOOKUP(A186,'Z-Programme'!#REF!,1,FALSE)</f>
        <v>#REF!</v>
      </c>
    </row>
    <row r="187" spans="1:3">
      <c r="A187" s="40" t="s">
        <v>1929</v>
      </c>
      <c r="B187" s="40" t="s">
        <v>11</v>
      </c>
      <c r="C187" s="36" t="e">
        <f>VLOOKUP(A187,'Z-Programme'!#REF!,1,FALSE)</f>
        <v>#REF!</v>
      </c>
    </row>
    <row r="188" spans="1:3">
      <c r="A188" s="40" t="s">
        <v>283</v>
      </c>
      <c r="B188" s="40" t="s">
        <v>14</v>
      </c>
      <c r="C188" s="36" t="e">
        <f>VLOOKUP(A188,'Z-Programme'!#REF!,1,FALSE)</f>
        <v>#REF!</v>
      </c>
    </row>
    <row r="189" spans="1:3">
      <c r="A189" s="40" t="s">
        <v>41</v>
      </c>
      <c r="B189" s="40" t="s">
        <v>14</v>
      </c>
      <c r="C189" s="36" t="e">
        <f>VLOOKUP(A189,'Z-Programme'!#REF!,1,FALSE)</f>
        <v>#REF!</v>
      </c>
    </row>
  </sheetData>
  <autoFilter ref="A1:AN189" xr:uid="{00000000-0001-0000-00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3486-8065-4EA0-8784-7670FC41A8A1}">
  <dimension ref="A1:AH11"/>
  <sheetViews>
    <sheetView workbookViewId="0">
      <pane ySplit="2" topLeftCell="A36" activePane="bottomLeft" state="frozen"/>
      <selection pane="bottomLeft" activeCell="R36" sqref="R36"/>
    </sheetView>
  </sheetViews>
  <sheetFormatPr defaultColWidth="9.140625" defaultRowHeight="15"/>
  <cols>
    <col min="1" max="1" width="31" style="44" bestFit="1" customWidth="1"/>
    <col min="2" max="2" width="8" style="44" bestFit="1" customWidth="1"/>
    <col min="3" max="7" width="5" style="44" bestFit="1" customWidth="1"/>
    <col min="8" max="8" width="7" style="44" bestFit="1" customWidth="1"/>
    <col min="9" max="11" width="5" style="44" bestFit="1" customWidth="1"/>
    <col min="12" max="12" width="8" style="44" bestFit="1" customWidth="1"/>
    <col min="13" max="13" width="11" style="44" bestFit="1" customWidth="1"/>
    <col min="14" max="14" width="7" style="44" bestFit="1" customWidth="1"/>
    <col min="15" max="15" width="5" style="44" bestFit="1" customWidth="1"/>
    <col min="16" max="18" width="6" style="44" bestFit="1" customWidth="1"/>
    <col min="19" max="19" width="8" style="44" bestFit="1" customWidth="1"/>
    <col min="20" max="20" width="15.42578125" style="50" bestFit="1" customWidth="1"/>
    <col min="21" max="21" width="11" style="44" bestFit="1" customWidth="1"/>
    <col min="22" max="22" width="9" style="44" bestFit="1" customWidth="1"/>
    <col min="23" max="23" width="7" style="44" bestFit="1" customWidth="1"/>
    <col min="24" max="26" width="6" style="44" bestFit="1" customWidth="1"/>
    <col min="27" max="27" width="5" style="44" bestFit="1" customWidth="1"/>
    <col min="28" max="28" width="11" style="44" bestFit="1" customWidth="1"/>
    <col min="29" max="29" width="7" style="44" bestFit="1" customWidth="1"/>
    <col min="30" max="30" width="11" style="44" bestFit="1" customWidth="1"/>
    <col min="31" max="31" width="7" style="44" bestFit="1" customWidth="1"/>
    <col min="32" max="33" width="8" style="44" bestFit="1" customWidth="1"/>
    <col min="34" max="34" width="10" style="44" bestFit="1" customWidth="1"/>
    <col min="35" max="16384" width="9.140625" style="44"/>
  </cols>
  <sheetData>
    <row r="1" spans="1:34">
      <c r="A1" s="44">
        <v>1</v>
      </c>
      <c r="B1" s="44">
        <v>2</v>
      </c>
      <c r="C1" s="44">
        <v>3</v>
      </c>
      <c r="D1" s="44">
        <v>4</v>
      </c>
      <c r="E1" s="44">
        <v>5</v>
      </c>
      <c r="F1" s="44">
        <v>6</v>
      </c>
      <c r="G1" s="44">
        <v>7</v>
      </c>
      <c r="H1" s="44">
        <v>8</v>
      </c>
      <c r="I1" s="44">
        <v>9</v>
      </c>
      <c r="J1" s="44">
        <v>10</v>
      </c>
      <c r="K1" s="44">
        <v>11</v>
      </c>
      <c r="L1" s="44">
        <v>12</v>
      </c>
      <c r="M1" s="44">
        <v>13</v>
      </c>
      <c r="N1" s="44">
        <v>14</v>
      </c>
      <c r="O1" s="44">
        <v>15</v>
      </c>
      <c r="P1" s="44">
        <v>16</v>
      </c>
      <c r="Q1" s="44">
        <v>17</v>
      </c>
      <c r="R1" s="44">
        <v>18</v>
      </c>
      <c r="S1" s="44">
        <v>19</v>
      </c>
      <c r="T1" s="50">
        <v>20</v>
      </c>
    </row>
    <row r="2" spans="1:34">
      <c r="A2" s="49" t="s">
        <v>1932</v>
      </c>
      <c r="B2" s="49" t="s">
        <v>1933</v>
      </c>
      <c r="C2" s="49" t="s">
        <v>1934</v>
      </c>
      <c r="D2" s="49" t="s">
        <v>1935</v>
      </c>
      <c r="E2" s="49" t="s">
        <v>1936</v>
      </c>
      <c r="F2" s="49" t="s">
        <v>1937</v>
      </c>
      <c r="G2" s="49" t="s">
        <v>1938</v>
      </c>
      <c r="H2" s="49" t="s">
        <v>1939</v>
      </c>
      <c r="I2" s="49" t="s">
        <v>1940</v>
      </c>
      <c r="J2" s="49" t="s">
        <v>1941</v>
      </c>
      <c r="K2" s="49" t="s">
        <v>1942</v>
      </c>
      <c r="L2" s="49" t="s">
        <v>1943</v>
      </c>
      <c r="M2" s="49" t="s">
        <v>1944</v>
      </c>
      <c r="N2" s="49" t="s">
        <v>1945</v>
      </c>
      <c r="O2" s="49" t="s">
        <v>1946</v>
      </c>
      <c r="P2" s="49" t="s">
        <v>1947</v>
      </c>
      <c r="Q2" s="49" t="s">
        <v>1948</v>
      </c>
      <c r="R2" s="49" t="s">
        <v>1949</v>
      </c>
      <c r="S2" s="49" t="s">
        <v>1950</v>
      </c>
      <c r="T2" s="51"/>
      <c r="U2" s="49" t="s">
        <v>1951</v>
      </c>
      <c r="V2" s="49" t="s">
        <v>1952</v>
      </c>
      <c r="W2" s="49" t="s">
        <v>1953</v>
      </c>
      <c r="X2" s="49" t="s">
        <v>1954</v>
      </c>
      <c r="Y2" s="49" t="s">
        <v>1955</v>
      </c>
      <c r="Z2" s="49" t="s">
        <v>1956</v>
      </c>
      <c r="AA2" s="49" t="s">
        <v>1957</v>
      </c>
      <c r="AB2" s="49" t="s">
        <v>1958</v>
      </c>
      <c r="AC2" s="49" t="s">
        <v>1959</v>
      </c>
      <c r="AD2" s="49" t="s">
        <v>1960</v>
      </c>
      <c r="AE2" s="49" t="s">
        <v>1961</v>
      </c>
      <c r="AF2" s="49" t="s">
        <v>1962</v>
      </c>
      <c r="AG2" s="49" t="s">
        <v>1963</v>
      </c>
      <c r="AH2" s="49" t="s">
        <v>1964</v>
      </c>
    </row>
    <row r="3" spans="1:34">
      <c r="A3" s="46" t="s">
        <v>612</v>
      </c>
      <c r="B3" s="46" t="s">
        <v>1965</v>
      </c>
      <c r="C3" s="46" t="s">
        <v>1570</v>
      </c>
      <c r="D3" s="46" t="s">
        <v>1570</v>
      </c>
      <c r="E3" s="46" t="s">
        <v>1570</v>
      </c>
      <c r="F3" s="46" t="s">
        <v>1570</v>
      </c>
      <c r="G3" s="46" t="s">
        <v>1570</v>
      </c>
      <c r="H3" s="46" t="s">
        <v>1570</v>
      </c>
      <c r="I3" s="46" t="s">
        <v>1966</v>
      </c>
      <c r="J3" s="46" t="s">
        <v>1967</v>
      </c>
      <c r="K3" s="46" t="s">
        <v>1570</v>
      </c>
      <c r="L3" s="46" t="s">
        <v>1968</v>
      </c>
      <c r="M3" s="47">
        <v>45749</v>
      </c>
      <c r="N3" s="46" t="s">
        <v>1969</v>
      </c>
      <c r="O3" s="46" t="s">
        <v>1570</v>
      </c>
      <c r="P3" s="46" t="s">
        <v>1970</v>
      </c>
      <c r="Q3" s="46" t="s">
        <v>1971</v>
      </c>
      <c r="R3" s="46" t="s">
        <v>1972</v>
      </c>
      <c r="S3" s="46" t="s">
        <v>1968</v>
      </c>
      <c r="T3" s="50" t="s">
        <v>1973</v>
      </c>
      <c r="U3" s="47">
        <v>45925</v>
      </c>
      <c r="V3" s="48">
        <v>0.45231481481481001</v>
      </c>
      <c r="W3" s="45">
        <v>57879</v>
      </c>
      <c r="X3" s="46" t="s">
        <v>1536</v>
      </c>
      <c r="Y3" s="46" t="s">
        <v>1570</v>
      </c>
      <c r="Z3" s="46" t="s">
        <v>1536</v>
      </c>
      <c r="AA3" s="46" t="s">
        <v>1570</v>
      </c>
      <c r="AB3" s="47">
        <v>45951</v>
      </c>
      <c r="AC3" s="46" t="s">
        <v>1974</v>
      </c>
      <c r="AD3" s="47">
        <v>45925</v>
      </c>
      <c r="AE3" s="46" t="s">
        <v>1975</v>
      </c>
      <c r="AF3" s="46" t="s">
        <v>1570</v>
      </c>
      <c r="AG3" s="46" t="s">
        <v>1536</v>
      </c>
      <c r="AH3" s="45">
        <v>0</v>
      </c>
    </row>
    <row r="4" spans="1:34">
      <c r="A4" s="46" t="s">
        <v>1976</v>
      </c>
      <c r="B4" s="46" t="s">
        <v>1965</v>
      </c>
      <c r="C4" s="46" t="s">
        <v>1570</v>
      </c>
      <c r="D4" s="46" t="s">
        <v>1570</v>
      </c>
      <c r="E4" s="46" t="s">
        <v>1570</v>
      </c>
      <c r="F4" s="46" t="s">
        <v>1570</v>
      </c>
      <c r="G4" s="46" t="s">
        <v>1570</v>
      </c>
      <c r="H4" s="46" t="s">
        <v>1570</v>
      </c>
      <c r="I4" s="46" t="s">
        <v>1977</v>
      </c>
      <c r="J4" s="46" t="s">
        <v>1967</v>
      </c>
      <c r="K4" s="46" t="s">
        <v>1570</v>
      </c>
      <c r="L4" s="46" t="s">
        <v>1978</v>
      </c>
      <c r="M4" s="47">
        <v>45525</v>
      </c>
      <c r="N4" s="46" t="s">
        <v>1979</v>
      </c>
      <c r="O4" s="46" t="s">
        <v>1570</v>
      </c>
      <c r="P4" s="46" t="s">
        <v>1970</v>
      </c>
      <c r="Q4" s="46" t="s">
        <v>1971</v>
      </c>
      <c r="R4" s="46" t="s">
        <v>1972</v>
      </c>
      <c r="S4" s="46" t="s">
        <v>1978</v>
      </c>
      <c r="T4" s="50" t="s">
        <v>1980</v>
      </c>
      <c r="U4" s="47">
        <v>45525</v>
      </c>
      <c r="V4" s="48">
        <v>0.30334490740740999</v>
      </c>
      <c r="W4" s="45">
        <v>4210</v>
      </c>
      <c r="X4" s="46" t="s">
        <v>1536</v>
      </c>
      <c r="Y4" s="46" t="s">
        <v>1570</v>
      </c>
      <c r="Z4" s="46" t="s">
        <v>1570</v>
      </c>
      <c r="AA4" s="46" t="s">
        <v>1570</v>
      </c>
      <c r="AB4" s="47">
        <v>45525</v>
      </c>
      <c r="AC4" s="46" t="s">
        <v>1981</v>
      </c>
      <c r="AD4" s="47">
        <v>45525</v>
      </c>
      <c r="AE4" s="46" t="s">
        <v>1981</v>
      </c>
      <c r="AF4" s="46" t="s">
        <v>1570</v>
      </c>
      <c r="AG4" s="46" t="s">
        <v>1536</v>
      </c>
      <c r="AH4" s="45">
        <v>0</v>
      </c>
    </row>
    <row r="5" spans="1:34">
      <c r="A5" s="46" t="s">
        <v>818</v>
      </c>
      <c r="B5" s="46" t="s">
        <v>1965</v>
      </c>
      <c r="C5" s="46" t="s">
        <v>1570</v>
      </c>
      <c r="D5" s="46" t="s">
        <v>1570</v>
      </c>
      <c r="E5" s="46" t="s">
        <v>1570</v>
      </c>
      <c r="F5" s="46" t="s">
        <v>1570</v>
      </c>
      <c r="G5" s="46" t="s">
        <v>1570</v>
      </c>
      <c r="H5" s="46" t="s">
        <v>1570</v>
      </c>
      <c r="I5" s="46" t="s">
        <v>1966</v>
      </c>
      <c r="J5" s="46" t="s">
        <v>1967</v>
      </c>
      <c r="K5" s="46" t="s">
        <v>1570</v>
      </c>
      <c r="L5" s="46" t="s">
        <v>1982</v>
      </c>
      <c r="M5" s="47">
        <v>45756</v>
      </c>
      <c r="N5" s="46" t="s">
        <v>1983</v>
      </c>
      <c r="O5" s="46" t="s">
        <v>1570</v>
      </c>
      <c r="P5" s="46" t="s">
        <v>1970</v>
      </c>
      <c r="Q5" s="46" t="s">
        <v>1971</v>
      </c>
      <c r="R5" s="46" t="s">
        <v>1972</v>
      </c>
      <c r="S5" s="46" t="s">
        <v>1982</v>
      </c>
      <c r="T5" s="50" t="s">
        <v>1984</v>
      </c>
      <c r="U5" s="47">
        <v>45945</v>
      </c>
      <c r="V5" s="48">
        <v>0.74018518518519005</v>
      </c>
      <c r="W5" s="45">
        <v>44018</v>
      </c>
      <c r="X5" s="46" t="s">
        <v>1536</v>
      </c>
      <c r="Y5" s="46" t="s">
        <v>1570</v>
      </c>
      <c r="Z5" s="46" t="s">
        <v>1570</v>
      </c>
      <c r="AA5" s="46" t="s">
        <v>1570</v>
      </c>
      <c r="AB5" s="47">
        <v>45945</v>
      </c>
      <c r="AC5" s="46" t="s">
        <v>1985</v>
      </c>
      <c r="AD5" s="47">
        <v>45945</v>
      </c>
      <c r="AE5" s="46" t="s">
        <v>1985</v>
      </c>
      <c r="AF5" s="46" t="s">
        <v>1570</v>
      </c>
      <c r="AG5" s="46" t="s">
        <v>1536</v>
      </c>
      <c r="AH5" s="45">
        <v>0</v>
      </c>
    </row>
    <row r="6" spans="1:34">
      <c r="A6" s="46" t="s">
        <v>1071</v>
      </c>
      <c r="B6" s="46" t="s">
        <v>1965</v>
      </c>
      <c r="C6" s="46" t="s">
        <v>1570</v>
      </c>
      <c r="D6" s="46" t="s">
        <v>1570</v>
      </c>
      <c r="E6" s="46" t="s">
        <v>1570</v>
      </c>
      <c r="F6" s="46" t="s">
        <v>1570</v>
      </c>
      <c r="G6" s="46" t="s">
        <v>1570</v>
      </c>
      <c r="H6" s="46" t="s">
        <v>1570</v>
      </c>
      <c r="I6" s="46" t="s">
        <v>1977</v>
      </c>
      <c r="J6" s="46" t="s">
        <v>1986</v>
      </c>
      <c r="K6" s="46" t="s">
        <v>1570</v>
      </c>
      <c r="L6" s="46" t="s">
        <v>1987</v>
      </c>
      <c r="M6" s="47">
        <v>45706</v>
      </c>
      <c r="N6" s="46" t="s">
        <v>1988</v>
      </c>
      <c r="O6" s="46" t="s">
        <v>1570</v>
      </c>
      <c r="P6" s="46" t="s">
        <v>1970</v>
      </c>
      <c r="Q6" s="46" t="s">
        <v>1971</v>
      </c>
      <c r="R6" s="46" t="s">
        <v>1972</v>
      </c>
      <c r="S6" s="46" t="s">
        <v>1987</v>
      </c>
      <c r="T6" s="50" t="s">
        <v>1989</v>
      </c>
      <c r="U6" s="47">
        <v>45749</v>
      </c>
      <c r="V6" s="48">
        <v>0.453125</v>
      </c>
      <c r="W6" s="45">
        <v>16569</v>
      </c>
      <c r="X6" s="46" t="s">
        <v>1536</v>
      </c>
      <c r="Y6" s="46" t="s">
        <v>1570</v>
      </c>
      <c r="Z6" s="46" t="s">
        <v>1570</v>
      </c>
      <c r="AA6" s="46" t="s">
        <v>1570</v>
      </c>
      <c r="AB6" s="47">
        <v>45749</v>
      </c>
      <c r="AC6" s="46" t="s">
        <v>1990</v>
      </c>
      <c r="AD6" s="47">
        <v>45749</v>
      </c>
      <c r="AE6" s="46" t="s">
        <v>1990</v>
      </c>
      <c r="AF6" s="46" t="s">
        <v>1570</v>
      </c>
      <c r="AG6" s="46" t="s">
        <v>1536</v>
      </c>
      <c r="AH6" s="45">
        <v>0</v>
      </c>
    </row>
    <row r="7" spans="1:34">
      <c r="A7" s="46" t="s">
        <v>1099</v>
      </c>
      <c r="B7" s="46" t="s">
        <v>1965</v>
      </c>
      <c r="C7" s="46" t="s">
        <v>1570</v>
      </c>
      <c r="D7" s="46" t="s">
        <v>1570</v>
      </c>
      <c r="E7" s="46" t="s">
        <v>1570</v>
      </c>
      <c r="F7" s="46" t="s">
        <v>1570</v>
      </c>
      <c r="G7" s="46" t="s">
        <v>1570</v>
      </c>
      <c r="H7" s="46" t="s">
        <v>1570</v>
      </c>
      <c r="I7" s="46" t="s">
        <v>1977</v>
      </c>
      <c r="J7" s="46" t="s">
        <v>1986</v>
      </c>
      <c r="K7" s="46" t="s">
        <v>1570</v>
      </c>
      <c r="L7" s="46" t="s">
        <v>1982</v>
      </c>
      <c r="M7" s="47">
        <v>45506</v>
      </c>
      <c r="N7" s="46" t="s">
        <v>1991</v>
      </c>
      <c r="O7" s="46" t="s">
        <v>1570</v>
      </c>
      <c r="P7" s="46" t="s">
        <v>1992</v>
      </c>
      <c r="Q7" s="46" t="s">
        <v>1971</v>
      </c>
      <c r="R7" s="46" t="s">
        <v>1972</v>
      </c>
      <c r="S7" s="46" t="s">
        <v>1993</v>
      </c>
      <c r="T7" s="50" t="s">
        <v>1994</v>
      </c>
      <c r="U7" s="47">
        <v>45796</v>
      </c>
      <c r="V7" s="48">
        <v>0.48186342592593001</v>
      </c>
      <c r="W7" s="45">
        <v>33811</v>
      </c>
      <c r="X7" s="46" t="s">
        <v>1536</v>
      </c>
      <c r="Y7" s="46" t="s">
        <v>1570</v>
      </c>
      <c r="Z7" s="46" t="s">
        <v>1570</v>
      </c>
      <c r="AA7" s="46" t="s">
        <v>1570</v>
      </c>
      <c r="AB7" s="47">
        <v>45796</v>
      </c>
      <c r="AC7" s="46" t="s">
        <v>1995</v>
      </c>
      <c r="AD7" s="47">
        <v>45796</v>
      </c>
      <c r="AE7" s="46" t="s">
        <v>1995</v>
      </c>
      <c r="AF7" s="46" t="s">
        <v>1570</v>
      </c>
      <c r="AG7" s="46" t="s">
        <v>1536</v>
      </c>
      <c r="AH7" s="45">
        <v>0</v>
      </c>
    </row>
    <row r="8" spans="1:34">
      <c r="A8" s="46" t="s">
        <v>1172</v>
      </c>
      <c r="B8" s="46" t="s">
        <v>1965</v>
      </c>
      <c r="C8" s="46" t="s">
        <v>1570</v>
      </c>
      <c r="D8" s="46" t="s">
        <v>1570</v>
      </c>
      <c r="E8" s="46" t="s">
        <v>1570</v>
      </c>
      <c r="F8" s="46" t="s">
        <v>1570</v>
      </c>
      <c r="G8" s="46" t="s">
        <v>1570</v>
      </c>
      <c r="H8" s="46" t="s">
        <v>1570</v>
      </c>
      <c r="I8" s="46" t="s">
        <v>1966</v>
      </c>
      <c r="J8" s="46" t="s">
        <v>1986</v>
      </c>
      <c r="K8" s="46" t="s">
        <v>1570</v>
      </c>
      <c r="L8" s="46" t="s">
        <v>1987</v>
      </c>
      <c r="M8" s="47">
        <v>45602</v>
      </c>
      <c r="N8" s="46" t="s">
        <v>1996</v>
      </c>
      <c r="O8" s="46" t="s">
        <v>1570</v>
      </c>
      <c r="P8" s="46" t="s">
        <v>1970</v>
      </c>
      <c r="Q8" s="46" t="s">
        <v>1971</v>
      </c>
      <c r="R8" s="46" t="s">
        <v>1972</v>
      </c>
      <c r="S8" s="46" t="s">
        <v>1997</v>
      </c>
      <c r="T8" s="50" t="s">
        <v>1989</v>
      </c>
      <c r="U8" s="47">
        <v>45901</v>
      </c>
      <c r="V8" s="48">
        <v>0.73578703703703996</v>
      </c>
      <c r="W8" s="45">
        <v>59615</v>
      </c>
      <c r="X8" s="46" t="s">
        <v>1536</v>
      </c>
      <c r="Y8" s="46" t="s">
        <v>1570</v>
      </c>
      <c r="Z8" s="46" t="s">
        <v>1536</v>
      </c>
      <c r="AA8" s="46" t="s">
        <v>1570</v>
      </c>
      <c r="AB8" s="47">
        <v>45958</v>
      </c>
      <c r="AC8" s="46" t="s">
        <v>1998</v>
      </c>
      <c r="AD8" s="47">
        <v>45901</v>
      </c>
      <c r="AE8" s="46" t="s">
        <v>1999</v>
      </c>
      <c r="AF8" s="46" t="s">
        <v>1570</v>
      </c>
      <c r="AG8" s="46" t="s">
        <v>1536</v>
      </c>
      <c r="AH8" s="45">
        <v>0</v>
      </c>
    </row>
    <row r="9" spans="1:34">
      <c r="A9" s="46" t="s">
        <v>1174</v>
      </c>
      <c r="B9" s="46" t="s">
        <v>1965</v>
      </c>
      <c r="C9" s="46" t="s">
        <v>1570</v>
      </c>
      <c r="D9" s="46" t="s">
        <v>1570</v>
      </c>
      <c r="E9" s="46" t="s">
        <v>1570</v>
      </c>
      <c r="F9" s="46" t="s">
        <v>1570</v>
      </c>
      <c r="G9" s="46" t="s">
        <v>1570</v>
      </c>
      <c r="H9" s="46" t="s">
        <v>1570</v>
      </c>
      <c r="I9" s="46" t="s">
        <v>1966</v>
      </c>
      <c r="J9" s="46" t="s">
        <v>1986</v>
      </c>
      <c r="K9" s="46" t="s">
        <v>1570</v>
      </c>
      <c r="L9" s="46" t="s">
        <v>1987</v>
      </c>
      <c r="M9" s="47">
        <v>45603</v>
      </c>
      <c r="N9" s="46" t="s">
        <v>2000</v>
      </c>
      <c r="O9" s="46" t="s">
        <v>1570</v>
      </c>
      <c r="P9" s="46" t="s">
        <v>1970</v>
      </c>
      <c r="Q9" s="46" t="s">
        <v>1971</v>
      </c>
      <c r="R9" s="46" t="s">
        <v>1972</v>
      </c>
      <c r="S9" s="46" t="s">
        <v>1987</v>
      </c>
      <c r="T9" s="50" t="s">
        <v>1989</v>
      </c>
      <c r="U9" s="47">
        <v>45840</v>
      </c>
      <c r="V9" s="48">
        <v>0.66013888888889005</v>
      </c>
      <c r="W9" s="45">
        <v>17674</v>
      </c>
      <c r="X9" s="46" t="s">
        <v>1536</v>
      </c>
      <c r="Y9" s="46" t="s">
        <v>1570</v>
      </c>
      <c r="Z9" s="46" t="s">
        <v>1536</v>
      </c>
      <c r="AA9" s="46" t="s">
        <v>1570</v>
      </c>
      <c r="AB9" s="47">
        <v>45947</v>
      </c>
      <c r="AC9" s="46" t="s">
        <v>2001</v>
      </c>
      <c r="AD9" s="47">
        <v>45840</v>
      </c>
      <c r="AE9" s="46" t="s">
        <v>2002</v>
      </c>
      <c r="AF9" s="46" t="s">
        <v>1570</v>
      </c>
      <c r="AG9" s="46" t="s">
        <v>1536</v>
      </c>
      <c r="AH9" s="45">
        <v>0</v>
      </c>
    </row>
    <row r="10" spans="1:34">
      <c r="A10" s="46" t="s">
        <v>1178</v>
      </c>
      <c r="B10" s="46" t="s">
        <v>1965</v>
      </c>
      <c r="C10" s="46" t="s">
        <v>1570</v>
      </c>
      <c r="D10" s="46" t="s">
        <v>1570</v>
      </c>
      <c r="E10" s="46" t="s">
        <v>1570</v>
      </c>
      <c r="F10" s="46" t="s">
        <v>1570</v>
      </c>
      <c r="G10" s="46" t="s">
        <v>1570</v>
      </c>
      <c r="H10" s="46" t="s">
        <v>1570</v>
      </c>
      <c r="I10" s="46" t="s">
        <v>1966</v>
      </c>
      <c r="J10" s="46" t="s">
        <v>1986</v>
      </c>
      <c r="K10" s="46" t="s">
        <v>1570</v>
      </c>
      <c r="L10" s="46" t="s">
        <v>1987</v>
      </c>
      <c r="M10" s="47">
        <v>45609</v>
      </c>
      <c r="N10" s="46" t="s">
        <v>2003</v>
      </c>
      <c r="O10" s="46" t="s">
        <v>1570</v>
      </c>
      <c r="P10" s="46" t="s">
        <v>1970</v>
      </c>
      <c r="Q10" s="46" t="s">
        <v>1971</v>
      </c>
      <c r="R10" s="46" t="s">
        <v>1972</v>
      </c>
      <c r="S10" s="46" t="s">
        <v>1987</v>
      </c>
      <c r="T10" s="50" t="s">
        <v>1989</v>
      </c>
      <c r="U10" s="47">
        <v>45680</v>
      </c>
      <c r="V10" s="48">
        <v>0.42400462962962998</v>
      </c>
      <c r="W10" s="45">
        <v>4483</v>
      </c>
      <c r="X10" s="46" t="s">
        <v>1536</v>
      </c>
      <c r="Y10" s="46" t="s">
        <v>1570</v>
      </c>
      <c r="Z10" s="46" t="s">
        <v>1536</v>
      </c>
      <c r="AA10" s="46" t="s">
        <v>1570</v>
      </c>
      <c r="AB10" s="47">
        <v>45947</v>
      </c>
      <c r="AC10" s="46" t="s">
        <v>2001</v>
      </c>
      <c r="AD10" s="47">
        <v>45680</v>
      </c>
      <c r="AE10" s="46" t="s">
        <v>2004</v>
      </c>
      <c r="AF10" s="46" t="s">
        <v>1570</v>
      </c>
      <c r="AG10" s="46" t="s">
        <v>1536</v>
      </c>
      <c r="AH10" s="45">
        <v>0</v>
      </c>
    </row>
    <row r="11" spans="1:34">
      <c r="A11" s="46" t="s">
        <v>1402</v>
      </c>
      <c r="B11" s="46" t="s">
        <v>1965</v>
      </c>
      <c r="C11" s="46" t="s">
        <v>1570</v>
      </c>
      <c r="D11" s="46" t="s">
        <v>1570</v>
      </c>
      <c r="E11" s="46" t="s">
        <v>1570</v>
      </c>
      <c r="F11" s="46" t="s">
        <v>1570</v>
      </c>
      <c r="G11" s="46" t="s">
        <v>1570</v>
      </c>
      <c r="H11" s="46" t="s">
        <v>1570</v>
      </c>
      <c r="I11" s="46" t="s">
        <v>1977</v>
      </c>
      <c r="J11" s="46" t="s">
        <v>2005</v>
      </c>
      <c r="K11" s="46" t="s">
        <v>1570</v>
      </c>
      <c r="L11" s="46" t="s">
        <v>1987</v>
      </c>
      <c r="M11" s="47">
        <v>45812</v>
      </c>
      <c r="N11" s="46" t="s">
        <v>2006</v>
      </c>
      <c r="O11" s="46" t="s">
        <v>1570</v>
      </c>
      <c r="P11" s="46" t="s">
        <v>2007</v>
      </c>
      <c r="Q11" s="46" t="s">
        <v>1971</v>
      </c>
      <c r="R11" s="46" t="s">
        <v>1972</v>
      </c>
      <c r="S11" s="46" t="s">
        <v>1987</v>
      </c>
      <c r="T11" s="50" t="s">
        <v>1989</v>
      </c>
      <c r="U11" s="47">
        <v>45945</v>
      </c>
      <c r="V11" s="48">
        <v>0.67263888888889001</v>
      </c>
      <c r="W11" s="45">
        <v>6358</v>
      </c>
      <c r="X11" s="46" t="s">
        <v>1536</v>
      </c>
      <c r="Y11" s="46" t="s">
        <v>1570</v>
      </c>
      <c r="Z11" s="46" t="s">
        <v>1570</v>
      </c>
      <c r="AA11" s="46" t="s">
        <v>1570</v>
      </c>
      <c r="AB11" s="47">
        <v>45945</v>
      </c>
      <c r="AC11" s="46" t="s">
        <v>2008</v>
      </c>
      <c r="AD11" s="47">
        <v>45945</v>
      </c>
      <c r="AE11" s="46" t="s">
        <v>2008</v>
      </c>
      <c r="AF11" s="46" t="s">
        <v>1570</v>
      </c>
      <c r="AG11" s="46" t="s">
        <v>1536</v>
      </c>
      <c r="AH11" s="45">
        <v>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8EC3-3DF8-48BA-96FE-755BBE892ECE}">
  <dimension ref="A1:B211"/>
  <sheetViews>
    <sheetView workbookViewId="0">
      <pane ySplit="1" topLeftCell="A2" activePane="bottomLeft" state="frozen"/>
      <selection pane="bottomLeft" activeCell="H161" sqref="H161"/>
    </sheetView>
  </sheetViews>
  <sheetFormatPr defaultColWidth="9.140625" defaultRowHeight="15"/>
  <cols>
    <col min="1" max="1" width="31" style="52" bestFit="1" customWidth="1"/>
    <col min="2" max="2" width="102" style="52" bestFit="1" customWidth="1"/>
    <col min="3" max="16384" width="9.140625" style="52"/>
  </cols>
  <sheetData>
    <row r="1" spans="1:2">
      <c r="A1" s="54" t="s">
        <v>1570</v>
      </c>
      <c r="B1" s="54" t="s">
        <v>1570</v>
      </c>
    </row>
    <row r="2" spans="1:2">
      <c r="A2" s="53" t="s">
        <v>2009</v>
      </c>
      <c r="B2" s="53" t="s">
        <v>2010</v>
      </c>
    </row>
    <row r="3" spans="1:2">
      <c r="A3" s="53" t="s">
        <v>754</v>
      </c>
      <c r="B3" s="53" t="s">
        <v>755</v>
      </c>
    </row>
    <row r="4" spans="1:2">
      <c r="A4" s="53" t="s">
        <v>2011</v>
      </c>
      <c r="B4" s="53" t="s">
        <v>1570</v>
      </c>
    </row>
    <row r="5" spans="1:2">
      <c r="A5" s="53" t="s">
        <v>2012</v>
      </c>
      <c r="B5" s="53" t="s">
        <v>1570</v>
      </c>
    </row>
    <row r="6" spans="1:2">
      <c r="A6" s="53" t="s">
        <v>312</v>
      </c>
      <c r="B6" s="53" t="s">
        <v>314</v>
      </c>
    </row>
    <row r="7" spans="1:2">
      <c r="A7" s="53" t="s">
        <v>781</v>
      </c>
      <c r="B7" s="53" t="s">
        <v>782</v>
      </c>
    </row>
    <row r="8" spans="1:2">
      <c r="A8" s="53" t="s">
        <v>512</v>
      </c>
      <c r="B8" s="53" t="s">
        <v>2013</v>
      </c>
    </row>
    <row r="9" spans="1:2">
      <c r="A9" s="53" t="s">
        <v>567</v>
      </c>
      <c r="B9" s="53" t="s">
        <v>569</v>
      </c>
    </row>
    <row r="10" spans="1:2">
      <c r="A10" s="53" t="s">
        <v>570</v>
      </c>
      <c r="B10" s="53" t="s">
        <v>571</v>
      </c>
    </row>
    <row r="11" spans="1:2">
      <c r="A11" s="53" t="s">
        <v>572</v>
      </c>
      <c r="B11" s="53" t="s">
        <v>573</v>
      </c>
    </row>
    <row r="12" spans="1:2">
      <c r="A12" s="53" t="s">
        <v>574</v>
      </c>
      <c r="B12" s="53" t="s">
        <v>575</v>
      </c>
    </row>
    <row r="13" spans="1:2">
      <c r="A13" s="53" t="s">
        <v>576</v>
      </c>
      <c r="B13" s="53" t="s">
        <v>577</v>
      </c>
    </row>
    <row r="14" spans="1:2">
      <c r="A14" s="53" t="s">
        <v>578</v>
      </c>
      <c r="B14" s="53" t="s">
        <v>577</v>
      </c>
    </row>
    <row r="15" spans="1:2">
      <c r="A15" s="53" t="s">
        <v>579</v>
      </c>
      <c r="B15" s="53" t="s">
        <v>580</v>
      </c>
    </row>
    <row r="16" spans="1:2">
      <c r="A16" s="53" t="s">
        <v>581</v>
      </c>
      <c r="B16" s="53" t="s">
        <v>580</v>
      </c>
    </row>
    <row r="17" spans="1:2">
      <c r="A17" s="53" t="s">
        <v>857</v>
      </c>
      <c r="B17" s="53" t="s">
        <v>858</v>
      </c>
    </row>
    <row r="18" spans="1:2">
      <c r="A18" s="53" t="s">
        <v>2014</v>
      </c>
      <c r="B18" s="53" t="s">
        <v>2015</v>
      </c>
    </row>
    <row r="19" spans="1:2">
      <c r="A19" s="53" t="s">
        <v>2016</v>
      </c>
      <c r="B19" s="53" t="s">
        <v>2017</v>
      </c>
    </row>
    <row r="20" spans="1:2">
      <c r="A20" s="53" t="s">
        <v>2018</v>
      </c>
      <c r="B20" s="53" t="s">
        <v>2019</v>
      </c>
    </row>
    <row r="21" spans="1:2">
      <c r="A21" s="53" t="s">
        <v>2020</v>
      </c>
      <c r="B21" s="53" t="s">
        <v>2021</v>
      </c>
    </row>
    <row r="22" spans="1:2">
      <c r="A22" s="53" t="s">
        <v>2022</v>
      </c>
      <c r="B22" s="53" t="s">
        <v>2023</v>
      </c>
    </row>
    <row r="23" spans="1:2">
      <c r="A23" s="53" t="s">
        <v>2024</v>
      </c>
      <c r="B23" s="53" t="s">
        <v>2025</v>
      </c>
    </row>
    <row r="24" spans="1:2">
      <c r="A24" s="53" t="s">
        <v>125</v>
      </c>
      <c r="B24" s="53" t="s">
        <v>126</v>
      </c>
    </row>
    <row r="25" spans="1:2">
      <c r="A25" s="53" t="s">
        <v>541</v>
      </c>
      <c r="B25" s="53" t="s">
        <v>542</v>
      </c>
    </row>
    <row r="26" spans="1:2">
      <c r="A26" s="53" t="s">
        <v>116</v>
      </c>
      <c r="B26" s="53" t="s">
        <v>117</v>
      </c>
    </row>
    <row r="27" spans="1:2">
      <c r="A27" s="53" t="s">
        <v>148</v>
      </c>
      <c r="B27" s="53" t="s">
        <v>2026</v>
      </c>
    </row>
    <row r="28" spans="1:2">
      <c r="A28" s="53" t="s">
        <v>152</v>
      </c>
      <c r="B28" s="53" t="s">
        <v>153</v>
      </c>
    </row>
    <row r="29" spans="1:2">
      <c r="A29" s="53" t="s">
        <v>2027</v>
      </c>
      <c r="B29" s="53" t="s">
        <v>2028</v>
      </c>
    </row>
    <row r="30" spans="1:2">
      <c r="A30" s="53" t="s">
        <v>792</v>
      </c>
      <c r="B30" s="53" t="s">
        <v>2029</v>
      </c>
    </row>
    <row r="31" spans="1:2">
      <c r="A31" s="53" t="s">
        <v>2030</v>
      </c>
      <c r="B31" s="53" t="s">
        <v>2031</v>
      </c>
    </row>
    <row r="32" spans="1:2">
      <c r="A32" s="53" t="s">
        <v>482</v>
      </c>
      <c r="B32" s="53" t="s">
        <v>484</v>
      </c>
    </row>
    <row r="33" spans="1:2">
      <c r="A33" s="53" t="s">
        <v>91</v>
      </c>
      <c r="B33" s="53" t="s">
        <v>2032</v>
      </c>
    </row>
    <row r="34" spans="1:2">
      <c r="A34" s="53" t="s">
        <v>161</v>
      </c>
      <c r="B34" s="53" t="s">
        <v>162</v>
      </c>
    </row>
    <row r="35" spans="1:2">
      <c r="A35" s="53" t="s">
        <v>802</v>
      </c>
      <c r="B35" s="53" t="s">
        <v>2033</v>
      </c>
    </row>
    <row r="36" spans="1:2">
      <c r="A36" s="53" t="s">
        <v>805</v>
      </c>
      <c r="B36" s="53" t="s">
        <v>2034</v>
      </c>
    </row>
    <row r="37" spans="1:2">
      <c r="A37" s="53" t="s">
        <v>1225</v>
      </c>
      <c r="B37" s="53" t="s">
        <v>1226</v>
      </c>
    </row>
    <row r="38" spans="1:2">
      <c r="A38" s="53" t="s">
        <v>2035</v>
      </c>
      <c r="B38" s="53" t="s">
        <v>2036</v>
      </c>
    </row>
    <row r="39" spans="1:2">
      <c r="A39" s="53" t="s">
        <v>2037</v>
      </c>
      <c r="B39" s="53" t="s">
        <v>2038</v>
      </c>
    </row>
    <row r="40" spans="1:2">
      <c r="A40" s="53" t="s">
        <v>2039</v>
      </c>
      <c r="B40" s="53" t="s">
        <v>2040</v>
      </c>
    </row>
    <row r="41" spans="1:2">
      <c r="A41" s="53" t="s">
        <v>80</v>
      </c>
      <c r="B41" s="53" t="s">
        <v>81</v>
      </c>
    </row>
    <row r="42" spans="1:2">
      <c r="A42" s="53" t="s">
        <v>97</v>
      </c>
      <c r="B42" s="53" t="s">
        <v>98</v>
      </c>
    </row>
    <row r="43" spans="1:2">
      <c r="A43" s="53" t="s">
        <v>150</v>
      </c>
      <c r="B43" s="53" t="s">
        <v>151</v>
      </c>
    </row>
    <row r="44" spans="1:2">
      <c r="A44" s="53" t="s">
        <v>1030</v>
      </c>
      <c r="B44" s="53" t="s">
        <v>1031</v>
      </c>
    </row>
    <row r="45" spans="1:2">
      <c r="A45" s="53" t="s">
        <v>1185</v>
      </c>
      <c r="B45" s="53" t="s">
        <v>1186</v>
      </c>
    </row>
    <row r="46" spans="1:2">
      <c r="A46" s="53" t="s">
        <v>1187</v>
      </c>
      <c r="B46" s="53" t="s">
        <v>1188</v>
      </c>
    </row>
    <row r="47" spans="1:2">
      <c r="A47" s="53" t="s">
        <v>1191</v>
      </c>
      <c r="B47" s="53" t="s">
        <v>1192</v>
      </c>
    </row>
    <row r="48" spans="1:2">
      <c r="A48" s="53" t="s">
        <v>1182</v>
      </c>
      <c r="B48" s="53" t="s">
        <v>132</v>
      </c>
    </row>
    <row r="49" spans="1:2">
      <c r="A49" s="53" t="s">
        <v>1200</v>
      </c>
      <c r="B49" s="53" t="s">
        <v>1201</v>
      </c>
    </row>
    <row r="50" spans="1:2">
      <c r="A50" s="53" t="s">
        <v>165</v>
      </c>
      <c r="B50" s="53" t="s">
        <v>166</v>
      </c>
    </row>
    <row r="51" spans="1:2">
      <c r="A51" s="53" t="s">
        <v>2041</v>
      </c>
      <c r="B51" s="53" t="s">
        <v>2042</v>
      </c>
    </row>
    <row r="52" spans="1:2">
      <c r="A52" s="53" t="s">
        <v>113</v>
      </c>
      <c r="B52" s="53" t="s">
        <v>115</v>
      </c>
    </row>
    <row r="53" spans="1:2">
      <c r="A53" s="53" t="s">
        <v>137</v>
      </c>
      <c r="B53" s="53" t="s">
        <v>138</v>
      </c>
    </row>
    <row r="54" spans="1:2">
      <c r="A54" s="53" t="s">
        <v>272</v>
      </c>
      <c r="B54" s="53" t="s">
        <v>274</v>
      </c>
    </row>
    <row r="55" spans="1:2">
      <c r="A55" s="53" t="s">
        <v>2043</v>
      </c>
      <c r="B55" s="53" t="s">
        <v>2044</v>
      </c>
    </row>
    <row r="56" spans="1:2">
      <c r="A56" s="53" t="s">
        <v>259</v>
      </c>
      <c r="B56" s="53" t="s">
        <v>2045</v>
      </c>
    </row>
    <row r="57" spans="1:2">
      <c r="A57" s="53" t="s">
        <v>409</v>
      </c>
      <c r="B57" s="53" t="s">
        <v>411</v>
      </c>
    </row>
    <row r="58" spans="1:2">
      <c r="A58" s="53" t="s">
        <v>413</v>
      </c>
      <c r="B58" s="53" t="s">
        <v>414</v>
      </c>
    </row>
    <row r="59" spans="1:2">
      <c r="A59" s="53" t="s">
        <v>415</v>
      </c>
      <c r="B59" s="53" t="s">
        <v>416</v>
      </c>
    </row>
    <row r="60" spans="1:2">
      <c r="A60" s="53" t="s">
        <v>428</v>
      </c>
      <c r="B60" s="53" t="s">
        <v>430</v>
      </c>
    </row>
    <row r="61" spans="1:2">
      <c r="A61" s="53" t="s">
        <v>485</v>
      </c>
      <c r="B61" s="53" t="s">
        <v>487</v>
      </c>
    </row>
    <row r="62" spans="1:2">
      <c r="A62" s="53" t="s">
        <v>498</v>
      </c>
      <c r="B62" s="53" t="s">
        <v>2046</v>
      </c>
    </row>
    <row r="63" spans="1:2">
      <c r="A63" s="53" t="s">
        <v>668</v>
      </c>
      <c r="B63" s="53" t="s">
        <v>670</v>
      </c>
    </row>
    <row r="64" spans="1:2">
      <c r="A64" s="53" t="s">
        <v>686</v>
      </c>
      <c r="B64" s="53" t="s">
        <v>688</v>
      </c>
    </row>
    <row r="65" spans="1:2">
      <c r="A65" s="53" t="s">
        <v>1397</v>
      </c>
      <c r="B65" s="53" t="s">
        <v>1399</v>
      </c>
    </row>
    <row r="66" spans="1:2">
      <c r="A66" s="53" t="s">
        <v>1400</v>
      </c>
      <c r="B66" s="53" t="s">
        <v>1401</v>
      </c>
    </row>
    <row r="67" spans="1:2">
      <c r="A67" s="53" t="s">
        <v>2047</v>
      </c>
      <c r="B67" s="53" t="s">
        <v>2048</v>
      </c>
    </row>
    <row r="68" spans="1:2">
      <c r="A68" s="53" t="s">
        <v>2049</v>
      </c>
      <c r="B68" s="53" t="s">
        <v>2050</v>
      </c>
    </row>
    <row r="69" spans="1:2">
      <c r="A69" s="53" t="s">
        <v>1223</v>
      </c>
      <c r="B69" s="53" t="s">
        <v>1224</v>
      </c>
    </row>
    <row r="70" spans="1:2">
      <c r="A70" s="53" t="s">
        <v>1174</v>
      </c>
      <c r="B70" s="53" t="s">
        <v>1175</v>
      </c>
    </row>
    <row r="71" spans="1:2">
      <c r="A71" s="53" t="s">
        <v>1178</v>
      </c>
      <c r="B71" s="53" t="s">
        <v>1179</v>
      </c>
    </row>
    <row r="72" spans="1:2">
      <c r="A72" s="53" t="s">
        <v>1180</v>
      </c>
      <c r="B72" s="53" t="s">
        <v>1181</v>
      </c>
    </row>
    <row r="73" spans="1:2">
      <c r="A73" s="53" t="s">
        <v>1183</v>
      </c>
      <c r="B73" s="53" t="s">
        <v>1184</v>
      </c>
    </row>
    <row r="74" spans="1:2">
      <c r="A74" s="53" t="s">
        <v>641</v>
      </c>
      <c r="B74" s="53" t="s">
        <v>642</v>
      </c>
    </row>
    <row r="75" spans="1:2">
      <c r="A75" s="53" t="s">
        <v>1118</v>
      </c>
      <c r="B75" s="53" t="s">
        <v>1120</v>
      </c>
    </row>
    <row r="76" spans="1:2">
      <c r="A76" s="53" t="s">
        <v>1189</v>
      </c>
      <c r="B76" s="53" t="s">
        <v>1190</v>
      </c>
    </row>
    <row r="77" spans="1:2">
      <c r="A77" s="53" t="s">
        <v>1170</v>
      </c>
      <c r="B77" s="53" t="s">
        <v>1171</v>
      </c>
    </row>
    <row r="78" spans="1:2">
      <c r="A78" s="53" t="s">
        <v>1172</v>
      </c>
      <c r="B78" s="53" t="s">
        <v>1173</v>
      </c>
    </row>
    <row r="79" spans="1:2">
      <c r="A79" s="53" t="s">
        <v>1195</v>
      </c>
      <c r="B79" s="53" t="s">
        <v>1196</v>
      </c>
    </row>
    <row r="80" spans="1:2">
      <c r="A80" s="53" t="s">
        <v>1221</v>
      </c>
      <c r="B80" s="53" t="s">
        <v>1222</v>
      </c>
    </row>
    <row r="81" spans="1:2">
      <c r="A81" s="53" t="s">
        <v>1197</v>
      </c>
      <c r="B81" s="53" t="s">
        <v>2051</v>
      </c>
    </row>
    <row r="82" spans="1:2">
      <c r="A82" s="53" t="s">
        <v>1364</v>
      </c>
      <c r="B82" s="53" t="s">
        <v>1366</v>
      </c>
    </row>
    <row r="83" spans="1:2">
      <c r="A83" s="53" t="s">
        <v>516</v>
      </c>
      <c r="B83" s="53" t="s">
        <v>517</v>
      </c>
    </row>
    <row r="84" spans="1:2">
      <c r="A84" s="53" t="s">
        <v>2052</v>
      </c>
      <c r="B84" s="53" t="s">
        <v>2053</v>
      </c>
    </row>
    <row r="85" spans="1:2">
      <c r="A85" s="53" t="s">
        <v>218</v>
      </c>
      <c r="B85" s="53" t="s">
        <v>219</v>
      </c>
    </row>
    <row r="86" spans="1:2">
      <c r="A86" s="53" t="s">
        <v>93</v>
      </c>
      <c r="B86" s="53" t="s">
        <v>2054</v>
      </c>
    </row>
    <row r="87" spans="1:2">
      <c r="A87" s="53" t="s">
        <v>2055</v>
      </c>
      <c r="B87" s="53" t="s">
        <v>2056</v>
      </c>
    </row>
    <row r="88" spans="1:2">
      <c r="A88" s="53" t="s">
        <v>696</v>
      </c>
      <c r="B88" s="53" t="s">
        <v>697</v>
      </c>
    </row>
    <row r="89" spans="1:2">
      <c r="A89" s="53" t="s">
        <v>811</v>
      </c>
      <c r="B89" s="53" t="s">
        <v>813</v>
      </c>
    </row>
    <row r="90" spans="1:2">
      <c r="A90" s="53" t="s">
        <v>2057</v>
      </c>
      <c r="B90" s="53" t="s">
        <v>2058</v>
      </c>
    </row>
    <row r="91" spans="1:2">
      <c r="A91" s="53" t="s">
        <v>2059</v>
      </c>
      <c r="B91" s="53" t="s">
        <v>2060</v>
      </c>
    </row>
    <row r="92" spans="1:2">
      <c r="A92" s="53" t="s">
        <v>821</v>
      </c>
      <c r="B92" s="53" t="s">
        <v>822</v>
      </c>
    </row>
    <row r="93" spans="1:2">
      <c r="A93" s="53" t="s">
        <v>823</v>
      </c>
      <c r="B93" s="53" t="s">
        <v>824</v>
      </c>
    </row>
    <row r="94" spans="1:2">
      <c r="A94" s="53" t="s">
        <v>825</v>
      </c>
      <c r="B94" s="53" t="s">
        <v>826</v>
      </c>
    </row>
    <row r="95" spans="1:2">
      <c r="A95" s="53" t="s">
        <v>827</v>
      </c>
      <c r="B95" s="53" t="s">
        <v>828</v>
      </c>
    </row>
    <row r="96" spans="1:2">
      <c r="A96" s="53" t="s">
        <v>829</v>
      </c>
      <c r="B96" s="53" t="s">
        <v>830</v>
      </c>
    </row>
    <row r="97" spans="1:2">
      <c r="A97" s="53" t="s">
        <v>831</v>
      </c>
      <c r="B97" s="53" t="s">
        <v>832</v>
      </c>
    </row>
    <row r="98" spans="1:2">
      <c r="A98" s="53" t="s">
        <v>833</v>
      </c>
      <c r="B98" s="53" t="s">
        <v>834</v>
      </c>
    </row>
    <row r="99" spans="1:2">
      <c r="A99" s="53" t="s">
        <v>814</v>
      </c>
      <c r="B99" s="53" t="s">
        <v>815</v>
      </c>
    </row>
    <row r="100" spans="1:2">
      <c r="A100" s="53" t="s">
        <v>2061</v>
      </c>
      <c r="B100" s="53" t="s">
        <v>2062</v>
      </c>
    </row>
    <row r="101" spans="1:2">
      <c r="A101" s="53" t="s">
        <v>2063</v>
      </c>
      <c r="B101" s="53" t="s">
        <v>2064</v>
      </c>
    </row>
    <row r="102" spans="1:2">
      <c r="A102" s="53" t="s">
        <v>129</v>
      </c>
      <c r="B102" s="53" t="s">
        <v>130</v>
      </c>
    </row>
    <row r="103" spans="1:2">
      <c r="A103" s="53" t="s">
        <v>131</v>
      </c>
      <c r="B103" s="53" t="s">
        <v>132</v>
      </c>
    </row>
    <row r="104" spans="1:2">
      <c r="A104" s="53" t="s">
        <v>315</v>
      </c>
      <c r="B104" s="53" t="s">
        <v>317</v>
      </c>
    </row>
    <row r="105" spans="1:2">
      <c r="A105" s="53" t="s">
        <v>320</v>
      </c>
      <c r="B105" s="53" t="s">
        <v>321</v>
      </c>
    </row>
    <row r="106" spans="1:2">
      <c r="A106" s="53" t="s">
        <v>431</v>
      </c>
      <c r="B106" s="53" t="s">
        <v>432</v>
      </c>
    </row>
    <row r="107" spans="1:2">
      <c r="A107" s="53" t="s">
        <v>681</v>
      </c>
      <c r="B107" s="53" t="s">
        <v>682</v>
      </c>
    </row>
    <row r="108" spans="1:2">
      <c r="A108" s="53" t="s">
        <v>1219</v>
      </c>
      <c r="B108" s="53" t="s">
        <v>1220</v>
      </c>
    </row>
    <row r="109" spans="1:2">
      <c r="A109" s="53" t="s">
        <v>990</v>
      </c>
      <c r="B109" s="53" t="s">
        <v>991</v>
      </c>
    </row>
    <row r="110" spans="1:2">
      <c r="A110" s="53" t="s">
        <v>994</v>
      </c>
      <c r="B110" s="53" t="s">
        <v>996</v>
      </c>
    </row>
    <row r="111" spans="1:2">
      <c r="A111" s="53" t="s">
        <v>1039</v>
      </c>
      <c r="B111" s="53" t="s">
        <v>2065</v>
      </c>
    </row>
    <row r="112" spans="1:2">
      <c r="A112" s="53" t="s">
        <v>1121</v>
      </c>
      <c r="B112" s="53" t="s">
        <v>1122</v>
      </c>
    </row>
    <row r="113" spans="1:2">
      <c r="A113" s="53" t="s">
        <v>1037</v>
      </c>
      <c r="B113" s="53" t="s">
        <v>2066</v>
      </c>
    </row>
    <row r="114" spans="1:2">
      <c r="A114" s="53" t="s">
        <v>1103</v>
      </c>
      <c r="B114" s="53" t="s">
        <v>2067</v>
      </c>
    </row>
    <row r="115" spans="1:2">
      <c r="A115" s="53" t="s">
        <v>1214</v>
      </c>
      <c r="B115" s="53" t="s">
        <v>1216</v>
      </c>
    </row>
    <row r="116" spans="1:2">
      <c r="A116" s="53" t="s">
        <v>1217</v>
      </c>
      <c r="B116" s="53" t="s">
        <v>1218</v>
      </c>
    </row>
    <row r="117" spans="1:2">
      <c r="A117" s="53" t="s">
        <v>997</v>
      </c>
      <c r="B117" s="53" t="s">
        <v>998</v>
      </c>
    </row>
    <row r="118" spans="1:2">
      <c r="A118" s="53" t="s">
        <v>1002</v>
      </c>
      <c r="B118" s="53" t="s">
        <v>1004</v>
      </c>
    </row>
    <row r="119" spans="1:2">
      <c r="A119" s="53" t="s">
        <v>1005</v>
      </c>
      <c r="B119" s="53" t="s">
        <v>1006</v>
      </c>
    </row>
    <row r="120" spans="1:2">
      <c r="A120" s="53" t="s">
        <v>1007</v>
      </c>
      <c r="B120" s="53" t="s">
        <v>1008</v>
      </c>
    </row>
    <row r="121" spans="1:2">
      <c r="A121" s="53" t="s">
        <v>1009</v>
      </c>
      <c r="B121" s="53" t="s">
        <v>1010</v>
      </c>
    </row>
    <row r="122" spans="1:2">
      <c r="A122" s="53" t="s">
        <v>1011</v>
      </c>
      <c r="B122" s="53" t="s">
        <v>1012</v>
      </c>
    </row>
    <row r="123" spans="1:2">
      <c r="A123" s="53" t="s">
        <v>1013</v>
      </c>
      <c r="B123" s="53" t="s">
        <v>1014</v>
      </c>
    </row>
    <row r="124" spans="1:2">
      <c r="A124" s="53" t="s">
        <v>1015</v>
      </c>
      <c r="B124" s="53" t="s">
        <v>1016</v>
      </c>
    </row>
    <row r="125" spans="1:2">
      <c r="A125" s="53" t="s">
        <v>1017</v>
      </c>
      <c r="B125" s="53" t="s">
        <v>1018</v>
      </c>
    </row>
    <row r="126" spans="1:2">
      <c r="A126" s="53" t="s">
        <v>1019</v>
      </c>
      <c r="B126" s="53" t="s">
        <v>1020</v>
      </c>
    </row>
    <row r="127" spans="1:2">
      <c r="A127" s="53" t="s">
        <v>1021</v>
      </c>
      <c r="B127" s="53" t="s">
        <v>1022</v>
      </c>
    </row>
    <row r="128" spans="1:2">
      <c r="A128" s="53" t="s">
        <v>1023</v>
      </c>
      <c r="B128" s="53" t="s">
        <v>1024</v>
      </c>
    </row>
    <row r="129" spans="1:2">
      <c r="A129" s="53" t="s">
        <v>1025</v>
      </c>
      <c r="B129" s="53" t="s">
        <v>1026</v>
      </c>
    </row>
    <row r="130" spans="1:2">
      <c r="A130" s="53" t="s">
        <v>2068</v>
      </c>
      <c r="B130" s="53" t="s">
        <v>2069</v>
      </c>
    </row>
    <row r="131" spans="1:2">
      <c r="A131" s="53" t="s">
        <v>1034</v>
      </c>
      <c r="B131" s="53" t="s">
        <v>2070</v>
      </c>
    </row>
    <row r="132" spans="1:2">
      <c r="A132" s="53" t="s">
        <v>1032</v>
      </c>
      <c r="B132" s="53" t="s">
        <v>1033</v>
      </c>
    </row>
    <row r="133" spans="1:2">
      <c r="A133" s="53" t="s">
        <v>1041</v>
      </c>
      <c r="B133" s="53" t="s">
        <v>1042</v>
      </c>
    </row>
    <row r="134" spans="1:2">
      <c r="A134" s="53" t="s">
        <v>1043</v>
      </c>
      <c r="B134" s="53" t="s">
        <v>1044</v>
      </c>
    </row>
    <row r="135" spans="1:2">
      <c r="A135" s="53" t="s">
        <v>1045</v>
      </c>
      <c r="B135" s="53" t="s">
        <v>2071</v>
      </c>
    </row>
    <row r="136" spans="1:2">
      <c r="A136" s="53" t="s">
        <v>999</v>
      </c>
      <c r="B136" s="53" t="s">
        <v>1001</v>
      </c>
    </row>
    <row r="137" spans="1:2">
      <c r="A137" s="53" t="s">
        <v>1027</v>
      </c>
      <c r="B137" s="53" t="s">
        <v>1029</v>
      </c>
    </row>
    <row r="138" spans="1:2">
      <c r="A138" s="53" t="s">
        <v>2072</v>
      </c>
      <c r="B138" s="53" t="s">
        <v>2073</v>
      </c>
    </row>
    <row r="139" spans="1:2">
      <c r="A139" s="53" t="s">
        <v>2074</v>
      </c>
      <c r="B139" s="53" t="s">
        <v>2075</v>
      </c>
    </row>
    <row r="140" spans="1:2">
      <c r="A140" s="53" t="s">
        <v>2076</v>
      </c>
      <c r="B140" s="53" t="s">
        <v>2077</v>
      </c>
    </row>
    <row r="141" spans="1:2">
      <c r="A141" s="53" t="s">
        <v>2078</v>
      </c>
      <c r="B141" s="53" t="s">
        <v>2079</v>
      </c>
    </row>
    <row r="142" spans="1:2">
      <c r="A142" s="53" t="s">
        <v>2080</v>
      </c>
      <c r="B142" s="53" t="s">
        <v>2081</v>
      </c>
    </row>
    <row r="143" spans="1:2">
      <c r="A143" s="53" t="s">
        <v>2082</v>
      </c>
      <c r="B143" s="53" t="s">
        <v>2083</v>
      </c>
    </row>
    <row r="144" spans="1:2">
      <c r="A144" s="53" t="s">
        <v>2084</v>
      </c>
      <c r="B144" s="53" t="s">
        <v>2085</v>
      </c>
    </row>
    <row r="145" spans="1:2">
      <c r="A145" s="53" t="s">
        <v>480</v>
      </c>
      <c r="B145" s="53" t="s">
        <v>481</v>
      </c>
    </row>
    <row r="146" spans="1:2">
      <c r="A146" s="53" t="s">
        <v>488</v>
      </c>
      <c r="B146" s="53" t="s">
        <v>2086</v>
      </c>
    </row>
    <row r="147" spans="1:2">
      <c r="A147" s="53" t="s">
        <v>492</v>
      </c>
      <c r="B147" s="53" t="s">
        <v>2087</v>
      </c>
    </row>
    <row r="148" spans="1:2">
      <c r="A148" s="53" t="s">
        <v>2088</v>
      </c>
      <c r="B148" s="53" t="s">
        <v>1570</v>
      </c>
    </row>
    <row r="149" spans="1:2">
      <c r="A149" s="53" t="s">
        <v>51</v>
      </c>
      <c r="B149" s="53" t="s">
        <v>53</v>
      </c>
    </row>
    <row r="150" spans="1:2">
      <c r="A150" s="53" t="s">
        <v>675</v>
      </c>
      <c r="B150" s="53" t="s">
        <v>2089</v>
      </c>
    </row>
    <row r="151" spans="1:2">
      <c r="A151" s="53" t="s">
        <v>2090</v>
      </c>
      <c r="B151" s="53" t="s">
        <v>53</v>
      </c>
    </row>
    <row r="152" spans="1:2">
      <c r="A152" s="53" t="s">
        <v>2091</v>
      </c>
      <c r="B152" s="53" t="s">
        <v>2092</v>
      </c>
    </row>
    <row r="153" spans="1:2">
      <c r="A153" s="53" t="s">
        <v>2093</v>
      </c>
      <c r="B153" s="53" t="s">
        <v>2094</v>
      </c>
    </row>
    <row r="154" spans="1:2">
      <c r="A154" s="53" t="s">
        <v>361</v>
      </c>
      <c r="B154" s="53" t="s">
        <v>362</v>
      </c>
    </row>
    <row r="155" spans="1:2">
      <c r="A155" s="53" t="s">
        <v>778</v>
      </c>
      <c r="B155" s="53" t="s">
        <v>780</v>
      </c>
    </row>
    <row r="156" spans="1:2">
      <c r="A156" s="53" t="s">
        <v>2095</v>
      </c>
      <c r="B156" s="53" t="s">
        <v>2096</v>
      </c>
    </row>
    <row r="157" spans="1:2">
      <c r="A157" s="53" t="s">
        <v>787</v>
      </c>
      <c r="B157" s="53" t="s">
        <v>789</v>
      </c>
    </row>
    <row r="158" spans="1:2">
      <c r="A158" s="53" t="s">
        <v>818</v>
      </c>
      <c r="B158" s="53" t="s">
        <v>817</v>
      </c>
    </row>
    <row r="159" spans="1:2">
      <c r="A159" s="53" t="s">
        <v>2097</v>
      </c>
      <c r="B159" s="53" t="s">
        <v>2098</v>
      </c>
    </row>
    <row r="160" spans="1:2">
      <c r="A160" s="53" t="s">
        <v>373</v>
      </c>
      <c r="B160" s="53" t="s">
        <v>375</v>
      </c>
    </row>
    <row r="161" spans="1:2">
      <c r="A161" s="53" t="s">
        <v>376</v>
      </c>
      <c r="B161" s="53" t="s">
        <v>377</v>
      </c>
    </row>
    <row r="162" spans="1:2">
      <c r="A162" s="53" t="s">
        <v>378</v>
      </c>
      <c r="B162" s="53" t="s">
        <v>379</v>
      </c>
    </row>
    <row r="163" spans="1:2">
      <c r="A163" s="53" t="s">
        <v>380</v>
      </c>
      <c r="B163" s="53" t="s">
        <v>379</v>
      </c>
    </row>
    <row r="164" spans="1:2">
      <c r="A164" s="53" t="s">
        <v>383</v>
      </c>
      <c r="B164" s="53" t="s">
        <v>384</v>
      </c>
    </row>
    <row r="165" spans="1:2">
      <c r="A165" s="53" t="s">
        <v>385</v>
      </c>
      <c r="B165" s="53" t="s">
        <v>386</v>
      </c>
    </row>
    <row r="166" spans="1:2">
      <c r="A166" s="53" t="s">
        <v>381</v>
      </c>
      <c r="B166" s="53" t="s">
        <v>382</v>
      </c>
    </row>
    <row r="167" spans="1:2">
      <c r="A167" s="53" t="s">
        <v>343</v>
      </c>
      <c r="B167" s="53" t="s">
        <v>2099</v>
      </c>
    </row>
    <row r="168" spans="1:2">
      <c r="A168" s="53" t="s">
        <v>612</v>
      </c>
      <c r="B168" s="53" t="s">
        <v>613</v>
      </c>
    </row>
    <row r="169" spans="1:2">
      <c r="A169" s="53" t="s">
        <v>606</v>
      </c>
      <c r="B169" s="53" t="s">
        <v>2100</v>
      </c>
    </row>
    <row r="170" spans="1:2">
      <c r="A170" s="53" t="s">
        <v>609</v>
      </c>
      <c r="B170" s="53" t="s">
        <v>2101</v>
      </c>
    </row>
    <row r="171" spans="1:2">
      <c r="A171" s="53" t="s">
        <v>747</v>
      </c>
      <c r="B171" s="53" t="s">
        <v>749</v>
      </c>
    </row>
    <row r="172" spans="1:2">
      <c r="A172" s="53" t="s">
        <v>848</v>
      </c>
      <c r="B172" s="53" t="s">
        <v>849</v>
      </c>
    </row>
    <row r="173" spans="1:2">
      <c r="A173" s="53" t="s">
        <v>417</v>
      </c>
      <c r="B173" s="53" t="s">
        <v>419</v>
      </c>
    </row>
    <row r="174" spans="1:2">
      <c r="A174" s="53" t="s">
        <v>2102</v>
      </c>
      <c r="B174" s="53" t="s">
        <v>2103</v>
      </c>
    </row>
    <row r="175" spans="1:2">
      <c r="A175" s="53" t="s">
        <v>533</v>
      </c>
      <c r="B175" s="53" t="s">
        <v>535</v>
      </c>
    </row>
    <row r="176" spans="1:2">
      <c r="A176" s="53" t="s">
        <v>1176</v>
      </c>
      <c r="B176" s="53" t="s">
        <v>2104</v>
      </c>
    </row>
    <row r="177" spans="1:2">
      <c r="A177" s="53" t="s">
        <v>2105</v>
      </c>
      <c r="B177" s="53" t="s">
        <v>2106</v>
      </c>
    </row>
    <row r="178" spans="1:2">
      <c r="A178" s="53" t="s">
        <v>2107</v>
      </c>
      <c r="B178" s="53" t="s">
        <v>2108</v>
      </c>
    </row>
    <row r="179" spans="1:2">
      <c r="A179" s="53" t="s">
        <v>2109</v>
      </c>
      <c r="B179" s="53" t="s">
        <v>2110</v>
      </c>
    </row>
    <row r="180" spans="1:2">
      <c r="A180" s="53" t="s">
        <v>2111</v>
      </c>
      <c r="B180" s="53" t="s">
        <v>2112</v>
      </c>
    </row>
    <row r="181" spans="1:2">
      <c r="A181" s="53" t="s">
        <v>2113</v>
      </c>
      <c r="B181" s="53" t="s">
        <v>2114</v>
      </c>
    </row>
    <row r="182" spans="1:2">
      <c r="A182" s="53" t="s">
        <v>2115</v>
      </c>
      <c r="B182" s="53" t="s">
        <v>2116</v>
      </c>
    </row>
    <row r="183" spans="1:2">
      <c r="A183" s="53" t="s">
        <v>2117</v>
      </c>
      <c r="B183" s="53" t="s">
        <v>2118</v>
      </c>
    </row>
    <row r="184" spans="1:2">
      <c r="A184" s="53" t="s">
        <v>2119</v>
      </c>
      <c r="B184" s="53" t="s">
        <v>2120</v>
      </c>
    </row>
    <row r="185" spans="1:2">
      <c r="A185" s="53" t="s">
        <v>2121</v>
      </c>
      <c r="B185" s="53" t="s">
        <v>2122</v>
      </c>
    </row>
    <row r="186" spans="1:2">
      <c r="A186" s="53" t="s">
        <v>2123</v>
      </c>
      <c r="B186" s="53" t="s">
        <v>2124</v>
      </c>
    </row>
    <row r="187" spans="1:2">
      <c r="A187" s="53" t="s">
        <v>2125</v>
      </c>
      <c r="B187" s="53" t="s">
        <v>2126</v>
      </c>
    </row>
    <row r="188" spans="1:2">
      <c r="A188" s="53" t="s">
        <v>2127</v>
      </c>
      <c r="B188" s="53" t="s">
        <v>2128</v>
      </c>
    </row>
    <row r="189" spans="1:2">
      <c r="A189" s="53" t="s">
        <v>2129</v>
      </c>
      <c r="B189" s="53" t="s">
        <v>2130</v>
      </c>
    </row>
    <row r="190" spans="1:2">
      <c r="A190" s="53" t="s">
        <v>2131</v>
      </c>
      <c r="B190" s="53" t="s">
        <v>2132</v>
      </c>
    </row>
    <row r="191" spans="1:2">
      <c r="A191" s="53" t="s">
        <v>318</v>
      </c>
      <c r="B191" s="53" t="s">
        <v>319</v>
      </c>
    </row>
    <row r="192" spans="1:2">
      <c r="A192" s="53" t="s">
        <v>562</v>
      </c>
      <c r="B192" s="53" t="s">
        <v>2133</v>
      </c>
    </row>
    <row r="193" spans="1:2">
      <c r="A193" s="53" t="s">
        <v>556</v>
      </c>
      <c r="B193" s="53" t="s">
        <v>555</v>
      </c>
    </row>
    <row r="194" spans="1:2">
      <c r="A194" s="53" t="s">
        <v>553</v>
      </c>
      <c r="B194" s="53" t="s">
        <v>555</v>
      </c>
    </row>
    <row r="195" spans="1:2">
      <c r="A195" s="53" t="s">
        <v>2134</v>
      </c>
      <c r="B195" s="53" t="s">
        <v>2135</v>
      </c>
    </row>
    <row r="196" spans="1:2">
      <c r="A196" s="53" t="s">
        <v>2136</v>
      </c>
      <c r="B196" s="53" t="s">
        <v>2137</v>
      </c>
    </row>
    <row r="197" spans="1:2">
      <c r="A197" s="53" t="s">
        <v>558</v>
      </c>
      <c r="B197" s="53" t="s">
        <v>559</v>
      </c>
    </row>
    <row r="198" spans="1:2">
      <c r="A198" s="53" t="s">
        <v>560</v>
      </c>
      <c r="B198" s="53" t="s">
        <v>561</v>
      </c>
    </row>
    <row r="199" spans="1:2">
      <c r="A199" s="53" t="s">
        <v>565</v>
      </c>
      <c r="B199" s="53" t="s">
        <v>566</v>
      </c>
    </row>
    <row r="200" spans="1:2">
      <c r="A200" s="53" t="s">
        <v>708</v>
      </c>
      <c r="B200" s="53" t="s">
        <v>709</v>
      </c>
    </row>
    <row r="201" spans="1:2">
      <c r="A201" s="53" t="s">
        <v>710</v>
      </c>
      <c r="B201" s="53" t="s">
        <v>711</v>
      </c>
    </row>
    <row r="202" spans="1:2">
      <c r="A202" s="53" t="s">
        <v>816</v>
      </c>
      <c r="B202" s="53" t="s">
        <v>817</v>
      </c>
    </row>
    <row r="203" spans="1:2">
      <c r="A203" s="53" t="s">
        <v>819</v>
      </c>
      <c r="B203" s="53" t="s">
        <v>820</v>
      </c>
    </row>
    <row r="204" spans="1:2">
      <c r="A204" s="53" t="s">
        <v>835</v>
      </c>
      <c r="B204" s="53" t="s">
        <v>836</v>
      </c>
    </row>
    <row r="205" spans="1:2">
      <c r="A205" s="53" t="s">
        <v>843</v>
      </c>
      <c r="B205" s="53" t="s">
        <v>844</v>
      </c>
    </row>
    <row r="206" spans="1:2">
      <c r="A206" s="53" t="s">
        <v>363</v>
      </c>
      <c r="B206" s="53" t="s">
        <v>364</v>
      </c>
    </row>
    <row r="207" spans="1:2">
      <c r="A207" s="53" t="s">
        <v>365</v>
      </c>
      <c r="B207" s="53" t="s">
        <v>366</v>
      </c>
    </row>
    <row r="208" spans="1:2">
      <c r="A208" s="53" t="s">
        <v>367</v>
      </c>
      <c r="B208" s="53" t="s">
        <v>368</v>
      </c>
    </row>
    <row r="209" spans="1:2">
      <c r="A209" s="53" t="s">
        <v>369</v>
      </c>
      <c r="B209" s="53" t="s">
        <v>370</v>
      </c>
    </row>
    <row r="210" spans="1:2">
      <c r="A210" s="53" t="s">
        <v>355</v>
      </c>
      <c r="B210" s="53" t="s">
        <v>357</v>
      </c>
    </row>
    <row r="211" spans="1:2">
      <c r="A211" s="53" t="s">
        <v>528</v>
      </c>
      <c r="B211" s="53" t="s">
        <v>529</v>
      </c>
    </row>
  </sheetData>
  <autoFilter ref="A2:C211" xr:uid="{00000000-0001-0000-0000-000000000000}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83FE-BA95-4F46-B858-19382EB20F97}">
  <dimension ref="A2:R6"/>
  <sheetViews>
    <sheetView topLeftCell="A2" workbookViewId="0">
      <selection activeCell="H11" sqref="H11"/>
    </sheetView>
  </sheetViews>
  <sheetFormatPr defaultColWidth="9.140625" defaultRowHeight="12.75"/>
  <cols>
    <col min="1" max="1" width="41" bestFit="1" customWidth="1"/>
    <col min="2" max="2" width="10.28515625" bestFit="1" customWidth="1"/>
    <col min="3" max="3" width="14.85546875" bestFit="1" customWidth="1"/>
    <col min="4" max="4" width="12" bestFit="1" customWidth="1"/>
    <col min="5" max="5" width="8.140625" bestFit="1" customWidth="1"/>
    <col min="6" max="6" width="10.7109375" bestFit="1" customWidth="1"/>
    <col min="7" max="7" width="5.140625" bestFit="1" customWidth="1"/>
    <col min="8" max="8" width="11.7109375" bestFit="1" customWidth="1"/>
    <col min="9" max="9" width="7" bestFit="1" customWidth="1"/>
    <col min="10" max="10" width="3.140625" bestFit="1" customWidth="1"/>
    <col min="11" max="11" width="13.7109375" bestFit="1" customWidth="1"/>
    <col min="12" max="12" width="7.5703125" bestFit="1" customWidth="1"/>
    <col min="13" max="13" width="14.28515625" bestFit="1" customWidth="1"/>
    <col min="14" max="14" width="8.140625" bestFit="1" customWidth="1"/>
    <col min="15" max="15" width="6.28515625" bestFit="1" customWidth="1"/>
    <col min="16" max="17" width="14.85546875" bestFit="1" customWidth="1"/>
    <col min="18" max="18" width="15.85546875" bestFit="1" customWidth="1"/>
  </cols>
  <sheetData>
    <row r="2" spans="1:18">
      <c r="B2" s="64" t="s">
        <v>4</v>
      </c>
      <c r="C2" s="64" t="s">
        <v>5</v>
      </c>
      <c r="D2" s="64" t="s">
        <v>6</v>
      </c>
    </row>
    <row r="3" spans="1:18">
      <c r="B3" t="s">
        <v>14</v>
      </c>
      <c r="D3" t="s">
        <v>2138</v>
      </c>
      <c r="E3" t="s">
        <v>2139</v>
      </c>
      <c r="Q3" t="s">
        <v>2140</v>
      </c>
      <c r="R3" t="s">
        <v>2141</v>
      </c>
    </row>
    <row r="4" spans="1:18">
      <c r="B4" t="s">
        <v>2139</v>
      </c>
      <c r="C4" t="s">
        <v>2140</v>
      </c>
      <c r="E4" t="s">
        <v>86</v>
      </c>
      <c r="F4" t="s">
        <v>2142</v>
      </c>
      <c r="G4" t="s">
        <v>14</v>
      </c>
      <c r="H4" t="s">
        <v>2138</v>
      </c>
      <c r="I4" t="s">
        <v>11</v>
      </c>
      <c r="K4" t="s">
        <v>2143</v>
      </c>
      <c r="L4" t="s">
        <v>21</v>
      </c>
      <c r="M4" t="s">
        <v>2144</v>
      </c>
      <c r="N4" t="s">
        <v>2139</v>
      </c>
      <c r="P4" t="s">
        <v>2140</v>
      </c>
    </row>
    <row r="5" spans="1:18">
      <c r="B5" t="s">
        <v>2139</v>
      </c>
      <c r="E5" t="s">
        <v>86</v>
      </c>
      <c r="G5" t="s">
        <v>11</v>
      </c>
      <c r="I5" t="s">
        <v>86</v>
      </c>
      <c r="J5" t="s">
        <v>14</v>
      </c>
      <c r="L5" t="s">
        <v>14</v>
      </c>
      <c r="N5" t="s">
        <v>504</v>
      </c>
      <c r="O5" t="s">
        <v>2139</v>
      </c>
    </row>
    <row r="6" spans="1:18">
      <c r="A6" t="s">
        <v>2145</v>
      </c>
      <c r="B6">
        <v>198</v>
      </c>
      <c r="C6">
        <v>198</v>
      </c>
      <c r="D6">
        <v>198</v>
      </c>
      <c r="E6">
        <v>29</v>
      </c>
      <c r="F6">
        <v>29</v>
      </c>
      <c r="G6">
        <v>20</v>
      </c>
      <c r="H6">
        <v>20</v>
      </c>
      <c r="I6">
        <v>38</v>
      </c>
      <c r="J6">
        <v>14</v>
      </c>
      <c r="K6">
        <v>52</v>
      </c>
      <c r="L6">
        <v>3</v>
      </c>
      <c r="M6">
        <v>3</v>
      </c>
      <c r="N6">
        <v>30</v>
      </c>
      <c r="O6">
        <v>328</v>
      </c>
      <c r="P6">
        <v>358</v>
      </c>
      <c r="Q6">
        <v>462</v>
      </c>
      <c r="R6">
        <v>660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2558-AEC8-40D0-AB4A-14AF7C5F33D2}">
  <dimension ref="A2:B6"/>
  <sheetViews>
    <sheetView workbookViewId="0">
      <selection activeCell="B51" sqref="B51"/>
    </sheetView>
  </sheetViews>
  <sheetFormatPr defaultColWidth="9.140625" defaultRowHeight="12.75"/>
  <cols>
    <col min="1" max="1" width="26.5703125" bestFit="1" customWidth="1"/>
    <col min="2" max="2" width="34.7109375" bestFit="1" customWidth="1"/>
  </cols>
  <sheetData>
    <row r="2" spans="1:2">
      <c r="A2" s="64" t="s">
        <v>2</v>
      </c>
      <c r="B2" t="s">
        <v>2146</v>
      </c>
    </row>
    <row r="3" spans="1:2">
      <c r="A3" t="s">
        <v>11</v>
      </c>
      <c r="B3">
        <v>328</v>
      </c>
    </row>
    <row r="4" spans="1:2">
      <c r="A4" t="s">
        <v>14</v>
      </c>
      <c r="B4">
        <v>265</v>
      </c>
    </row>
    <row r="5" spans="1:2">
      <c r="A5" t="s">
        <v>85</v>
      </c>
      <c r="B5">
        <v>67</v>
      </c>
    </row>
    <row r="6" spans="1:2">
      <c r="A6" t="s">
        <v>2141</v>
      </c>
      <c r="B6">
        <v>660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74B8-FE91-41CE-AD26-9DC91940F8AA}">
  <sheetPr filterMode="1">
    <tabColor rgb="FF92D050"/>
  </sheetPr>
  <dimension ref="A1:J1048576"/>
  <sheetViews>
    <sheetView zoomScale="106" zoomScaleNormal="106" workbookViewId="0">
      <selection activeCell="C16" sqref="C16"/>
    </sheetView>
  </sheetViews>
  <sheetFormatPr defaultColWidth="11.42578125" defaultRowHeight="15"/>
  <cols>
    <col min="1" max="1" width="46" style="3" bestFit="1" customWidth="1"/>
    <col min="2" max="2" width="15.140625" style="57" customWidth="1"/>
    <col min="3" max="3" width="16" style="4" customWidth="1"/>
    <col min="4" max="7" width="11.42578125" style="4" customWidth="1"/>
    <col min="8" max="8" width="11.42578125" style="4" hidden="1" customWidth="1"/>
    <col min="9" max="9" width="11.42578125" style="4" customWidth="1"/>
    <col min="10" max="10" width="132.28515625" style="3" bestFit="1" customWidth="1"/>
    <col min="11" max="16384" width="11.42578125" style="3"/>
  </cols>
  <sheetData>
    <row r="1" spans="1:10" s="2" customFormat="1" ht="45">
      <c r="A1" s="65" t="s">
        <v>0</v>
      </c>
      <c r="B1" s="65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7" t="s">
        <v>9</v>
      </c>
    </row>
    <row r="2" spans="1:10" s="17" customFormat="1">
      <c r="A2" s="62" t="s">
        <v>10</v>
      </c>
      <c r="B2" s="63" t="s">
        <v>11</v>
      </c>
      <c r="C2" s="63" t="s">
        <v>11</v>
      </c>
      <c r="D2" s="61"/>
      <c r="E2" s="61"/>
      <c r="F2" s="61"/>
      <c r="G2" s="61"/>
      <c r="H2" s="61"/>
      <c r="I2" s="61"/>
      <c r="J2" s="62" t="s">
        <v>12</v>
      </c>
    </row>
    <row r="3" spans="1:10" s="17" customFormat="1">
      <c r="A3" s="62" t="s">
        <v>13</v>
      </c>
      <c r="B3" s="63" t="s">
        <v>11</v>
      </c>
      <c r="C3" s="61" t="s">
        <v>14</v>
      </c>
      <c r="D3" s="61"/>
      <c r="E3" s="61"/>
      <c r="F3" s="61" t="s">
        <v>11</v>
      </c>
      <c r="G3" s="61" t="s">
        <v>14</v>
      </c>
      <c r="H3" s="61"/>
      <c r="I3" s="61"/>
      <c r="J3" s="62" t="s">
        <v>15</v>
      </c>
    </row>
    <row r="4" spans="1:10" s="17" customFormat="1">
      <c r="A4" s="62" t="s">
        <v>16</v>
      </c>
      <c r="B4" s="63" t="s">
        <v>11</v>
      </c>
      <c r="C4" s="63" t="s">
        <v>11</v>
      </c>
      <c r="D4" s="61"/>
      <c r="E4" s="61"/>
      <c r="F4" s="61"/>
      <c r="G4" s="61"/>
      <c r="H4" s="61"/>
      <c r="I4" s="61"/>
      <c r="J4" s="62" t="s">
        <v>17</v>
      </c>
    </row>
    <row r="5" spans="1:10" s="17" customFormat="1">
      <c r="A5" s="62" t="s">
        <v>18</v>
      </c>
      <c r="B5" s="63" t="s">
        <v>11</v>
      </c>
      <c r="C5" s="63" t="s">
        <v>11</v>
      </c>
      <c r="D5" s="61"/>
      <c r="E5" s="61"/>
      <c r="F5" s="61"/>
      <c r="G5" s="61"/>
      <c r="H5" s="61"/>
      <c r="I5" s="61"/>
      <c r="J5" s="62" t="s">
        <v>19</v>
      </c>
    </row>
    <row r="6" spans="1:10" s="17" customFormat="1">
      <c r="A6" s="62" t="s">
        <v>20</v>
      </c>
      <c r="B6" s="63" t="s">
        <v>11</v>
      </c>
      <c r="C6" s="61" t="s">
        <v>14</v>
      </c>
      <c r="D6" s="61"/>
      <c r="E6" s="61"/>
      <c r="F6" s="61" t="s">
        <v>21</v>
      </c>
      <c r="G6" s="61" t="s">
        <v>14</v>
      </c>
      <c r="H6" s="61"/>
      <c r="I6" s="61"/>
      <c r="J6" s="62" t="s">
        <v>22</v>
      </c>
    </row>
    <row r="7" spans="1:10" s="17" customFormat="1">
      <c r="A7" s="62" t="s">
        <v>23</v>
      </c>
      <c r="B7" s="63" t="s">
        <v>11</v>
      </c>
      <c r="C7" s="61" t="s">
        <v>14</v>
      </c>
      <c r="D7" s="61"/>
      <c r="E7" s="61"/>
      <c r="F7" s="61" t="s">
        <v>21</v>
      </c>
      <c r="G7" s="61" t="s">
        <v>14</v>
      </c>
      <c r="H7" s="61"/>
      <c r="I7" s="61"/>
      <c r="J7" s="62" t="s">
        <v>24</v>
      </c>
    </row>
    <row r="8" spans="1:10" s="17" customFormat="1">
      <c r="A8" s="62" t="s">
        <v>25</v>
      </c>
      <c r="B8" s="63" t="s">
        <v>11</v>
      </c>
      <c r="C8" s="61" t="s">
        <v>14</v>
      </c>
      <c r="D8" s="61"/>
      <c r="E8" s="61"/>
      <c r="F8" s="61" t="s">
        <v>21</v>
      </c>
      <c r="G8" s="61" t="s">
        <v>14</v>
      </c>
      <c r="H8" s="61"/>
      <c r="I8" s="61"/>
      <c r="J8" s="62" t="s">
        <v>26</v>
      </c>
    </row>
    <row r="9" spans="1:10" s="17" customFormat="1">
      <c r="A9" s="62" t="s">
        <v>27</v>
      </c>
      <c r="B9" s="63" t="s">
        <v>11</v>
      </c>
      <c r="C9" s="63" t="s">
        <v>11</v>
      </c>
      <c r="D9" s="61"/>
      <c r="E9" s="61"/>
      <c r="F9" s="61"/>
      <c r="G9" s="61"/>
      <c r="H9" s="61"/>
      <c r="I9" s="61"/>
      <c r="J9" s="62" t="s">
        <v>28</v>
      </c>
    </row>
    <row r="10" spans="1:10" s="17" customFormat="1">
      <c r="A10" s="62" t="s">
        <v>29</v>
      </c>
      <c r="B10" s="63" t="s">
        <v>11</v>
      </c>
      <c r="C10" s="63" t="s">
        <v>11</v>
      </c>
      <c r="D10" s="61"/>
      <c r="E10" s="61"/>
      <c r="F10" s="61"/>
      <c r="G10" s="61"/>
      <c r="H10" s="61"/>
      <c r="I10" s="61"/>
      <c r="J10" s="62" t="s">
        <v>30</v>
      </c>
    </row>
    <row r="11" spans="1:10" s="17" customFormat="1">
      <c r="A11" s="62" t="s">
        <v>31</v>
      </c>
      <c r="B11" s="63" t="s">
        <v>11</v>
      </c>
      <c r="C11" s="63" t="s">
        <v>11</v>
      </c>
      <c r="D11" s="61"/>
      <c r="E11" s="61"/>
      <c r="F11" s="61"/>
      <c r="G11" s="61"/>
      <c r="H11" s="61"/>
      <c r="I11" s="61"/>
      <c r="J11" s="62" t="s">
        <v>32</v>
      </c>
    </row>
    <row r="12" spans="1:10" s="17" customFormat="1">
      <c r="A12" s="62" t="s">
        <v>33</v>
      </c>
      <c r="B12" s="63" t="s">
        <v>11</v>
      </c>
      <c r="C12" s="63" t="s">
        <v>11</v>
      </c>
      <c r="D12" s="61"/>
      <c r="E12" s="61"/>
      <c r="F12" s="61"/>
      <c r="G12" s="61"/>
      <c r="H12" s="61"/>
      <c r="I12" s="61"/>
      <c r="J12" s="62" t="s">
        <v>34</v>
      </c>
    </row>
    <row r="13" spans="1:10" s="17" customFormat="1">
      <c r="A13" s="62" t="s">
        <v>35</v>
      </c>
      <c r="B13" s="63" t="s">
        <v>11</v>
      </c>
      <c r="C13" s="63" t="s">
        <v>11</v>
      </c>
      <c r="D13" s="61"/>
      <c r="E13" s="61"/>
      <c r="F13" s="61"/>
      <c r="G13" s="61"/>
      <c r="H13" s="61"/>
      <c r="I13" s="61"/>
      <c r="J13" s="62" t="s">
        <v>36</v>
      </c>
    </row>
    <row r="14" spans="1:10" s="17" customFormat="1">
      <c r="A14" s="62" t="s">
        <v>37</v>
      </c>
      <c r="B14" s="63" t="s">
        <v>11</v>
      </c>
      <c r="C14" s="63" t="s">
        <v>11</v>
      </c>
      <c r="D14" s="61"/>
      <c r="E14" s="61"/>
      <c r="F14" s="61"/>
      <c r="G14" s="61"/>
      <c r="H14" s="61"/>
      <c r="I14" s="61"/>
      <c r="J14" s="62" t="s">
        <v>36</v>
      </c>
    </row>
    <row r="15" spans="1:10" s="17" customFormat="1">
      <c r="A15" s="62" t="s">
        <v>38</v>
      </c>
      <c r="B15" s="63" t="s">
        <v>11</v>
      </c>
      <c r="C15" s="63" t="s">
        <v>11</v>
      </c>
      <c r="D15" s="61"/>
      <c r="E15" s="61"/>
      <c r="F15" s="61"/>
      <c r="G15" s="61"/>
      <c r="H15" s="61"/>
      <c r="I15" s="61"/>
      <c r="J15" s="62" t="s">
        <v>39</v>
      </c>
    </row>
    <row r="16" spans="1:10" s="17" customFormat="1">
      <c r="A16" s="62" t="s">
        <v>40</v>
      </c>
      <c r="B16" s="63" t="s">
        <v>11</v>
      </c>
      <c r="C16" s="63" t="s">
        <v>11</v>
      </c>
      <c r="D16" s="61" t="s">
        <v>41</v>
      </c>
      <c r="E16" s="61"/>
      <c r="F16" s="61"/>
      <c r="G16" s="61"/>
      <c r="H16" s="61"/>
      <c r="I16" s="61"/>
      <c r="J16" s="62" t="s">
        <v>42</v>
      </c>
    </row>
    <row r="17" spans="1:10" s="17" customFormat="1">
      <c r="A17" s="62" t="s">
        <v>43</v>
      </c>
      <c r="B17" s="63" t="s">
        <v>11</v>
      </c>
      <c r="C17" s="63" t="s">
        <v>11</v>
      </c>
      <c r="D17" s="61" t="s">
        <v>41</v>
      </c>
      <c r="E17" s="61"/>
      <c r="F17" s="61"/>
      <c r="G17" s="61"/>
      <c r="H17" s="61"/>
      <c r="I17" s="61"/>
      <c r="J17" s="62" t="s">
        <v>44</v>
      </c>
    </row>
    <row r="18" spans="1:10" s="17" customFormat="1">
      <c r="A18" s="62" t="s">
        <v>45</v>
      </c>
      <c r="B18" s="63" t="s">
        <v>11</v>
      </c>
      <c r="C18" s="63" t="s">
        <v>11</v>
      </c>
      <c r="D18" s="61"/>
      <c r="E18" s="61"/>
      <c r="F18" s="61"/>
      <c r="G18" s="61"/>
      <c r="H18" s="61"/>
      <c r="I18" s="61"/>
      <c r="J18" s="62" t="s">
        <v>46</v>
      </c>
    </row>
    <row r="19" spans="1:10" s="17" customFormat="1">
      <c r="A19" s="62" t="s">
        <v>47</v>
      </c>
      <c r="B19" s="63" t="s">
        <v>11</v>
      </c>
      <c r="C19" s="63" t="s">
        <v>11</v>
      </c>
      <c r="D19" s="61"/>
      <c r="E19" s="61"/>
      <c r="F19" s="61"/>
      <c r="G19" s="61"/>
      <c r="H19" s="61"/>
      <c r="I19" s="61"/>
      <c r="J19" s="62" t="s">
        <v>48</v>
      </c>
    </row>
    <row r="20" spans="1:10" s="17" customFormat="1">
      <c r="A20" s="62" t="s">
        <v>49</v>
      </c>
      <c r="B20" s="63" t="s">
        <v>11</v>
      </c>
      <c r="C20" s="63" t="s">
        <v>11</v>
      </c>
      <c r="D20" s="61" t="s">
        <v>41</v>
      </c>
      <c r="E20" s="61"/>
      <c r="F20" s="61"/>
      <c r="G20" s="61"/>
      <c r="H20" s="61"/>
      <c r="I20" s="61"/>
      <c r="J20" s="62" t="s">
        <v>50</v>
      </c>
    </row>
    <row r="21" spans="1:10" s="17" customFormat="1" hidden="1">
      <c r="A21" s="62" t="s">
        <v>51</v>
      </c>
      <c r="B21" s="63" t="s">
        <v>14</v>
      </c>
      <c r="C21" s="63" t="s">
        <v>14</v>
      </c>
      <c r="D21" s="61" t="s">
        <v>52</v>
      </c>
      <c r="E21" s="61" t="s">
        <v>14</v>
      </c>
      <c r="F21" s="61"/>
      <c r="G21" s="61"/>
      <c r="H21" s="61"/>
      <c r="I21" s="61"/>
      <c r="J21" s="62" t="s">
        <v>53</v>
      </c>
    </row>
    <row r="22" spans="1:10" s="17" customFormat="1">
      <c r="A22" s="62" t="s">
        <v>54</v>
      </c>
      <c r="B22" s="63" t="s">
        <v>11</v>
      </c>
      <c r="C22" s="61" t="s">
        <v>11</v>
      </c>
      <c r="D22" s="61"/>
      <c r="E22" s="61"/>
      <c r="F22" s="61"/>
      <c r="G22" s="61"/>
      <c r="H22" s="61"/>
      <c r="I22" s="61"/>
      <c r="J22" s="62" t="s">
        <v>55</v>
      </c>
    </row>
    <row r="23" spans="1:10" s="17" customFormat="1">
      <c r="A23" s="62" t="s">
        <v>56</v>
      </c>
      <c r="B23" s="63" t="s">
        <v>11</v>
      </c>
      <c r="C23" s="61" t="s">
        <v>11</v>
      </c>
      <c r="D23" s="61"/>
      <c r="E23" s="61"/>
      <c r="F23" s="61"/>
      <c r="G23" s="61"/>
      <c r="H23" s="61"/>
      <c r="I23" s="61"/>
      <c r="J23" s="62" t="s">
        <v>57</v>
      </c>
    </row>
    <row r="24" spans="1:10" s="17" customFormat="1">
      <c r="A24" s="62" t="s">
        <v>58</v>
      </c>
      <c r="B24" s="63" t="s">
        <v>11</v>
      </c>
      <c r="C24" s="61" t="s">
        <v>14</v>
      </c>
      <c r="D24" s="61"/>
      <c r="E24" s="61"/>
      <c r="F24" s="61" t="s">
        <v>14</v>
      </c>
      <c r="G24" s="61" t="s">
        <v>11</v>
      </c>
      <c r="H24" s="61"/>
      <c r="I24" s="61"/>
      <c r="J24" s="62" t="s">
        <v>59</v>
      </c>
    </row>
    <row r="25" spans="1:10" s="17" customFormat="1">
      <c r="A25" s="62" t="s">
        <v>60</v>
      </c>
      <c r="B25" s="63" t="s">
        <v>11</v>
      </c>
      <c r="C25" s="61" t="s">
        <v>14</v>
      </c>
      <c r="D25" s="61"/>
      <c r="E25" s="61"/>
      <c r="F25" s="61" t="s">
        <v>14</v>
      </c>
      <c r="G25" s="61" t="s">
        <v>11</v>
      </c>
      <c r="H25" s="61"/>
      <c r="I25" s="61"/>
      <c r="J25" s="62" t="s">
        <v>61</v>
      </c>
    </row>
    <row r="26" spans="1:10" s="17" customFormat="1">
      <c r="A26" s="62" t="s">
        <v>62</v>
      </c>
      <c r="B26" s="63" t="s">
        <v>11</v>
      </c>
      <c r="C26" s="61" t="s">
        <v>14</v>
      </c>
      <c r="D26" s="61"/>
      <c r="E26" s="61"/>
      <c r="F26" s="61" t="s">
        <v>14</v>
      </c>
      <c r="G26" s="61" t="s">
        <v>11</v>
      </c>
      <c r="H26" s="61"/>
      <c r="I26" s="61"/>
      <c r="J26" s="62" t="s">
        <v>63</v>
      </c>
    </row>
    <row r="27" spans="1:10" s="17" customFormat="1">
      <c r="A27" s="62" t="s">
        <v>64</v>
      </c>
      <c r="B27" s="63" t="s">
        <v>11</v>
      </c>
      <c r="C27" s="61" t="s">
        <v>14</v>
      </c>
      <c r="D27" s="61"/>
      <c r="E27" s="61"/>
      <c r="F27" s="61" t="s">
        <v>14</v>
      </c>
      <c r="G27" s="61" t="s">
        <v>11</v>
      </c>
      <c r="H27" s="61"/>
      <c r="I27" s="61"/>
      <c r="J27" s="62" t="s">
        <v>65</v>
      </c>
    </row>
    <row r="28" spans="1:10" s="17" customFormat="1">
      <c r="A28" s="62" t="s">
        <v>66</v>
      </c>
      <c r="B28" s="63" t="s">
        <v>11</v>
      </c>
      <c r="C28" s="61" t="s">
        <v>14</v>
      </c>
      <c r="D28" s="61"/>
      <c r="E28" s="61"/>
      <c r="F28" s="61" t="s">
        <v>14</v>
      </c>
      <c r="G28" s="61" t="s">
        <v>11</v>
      </c>
      <c r="H28" s="61"/>
      <c r="I28" s="61"/>
      <c r="J28" s="62" t="s">
        <v>67</v>
      </c>
    </row>
    <row r="29" spans="1:10" s="17" customFormat="1">
      <c r="A29" s="62" t="s">
        <v>68</v>
      </c>
      <c r="B29" s="63" t="s">
        <v>11</v>
      </c>
      <c r="C29" s="61" t="s">
        <v>14</v>
      </c>
      <c r="D29" s="61"/>
      <c r="E29" s="61"/>
      <c r="F29" s="61" t="s">
        <v>14</v>
      </c>
      <c r="G29" s="61" t="s">
        <v>11</v>
      </c>
      <c r="H29" s="61"/>
      <c r="I29" s="61"/>
      <c r="J29" s="62" t="s">
        <v>69</v>
      </c>
    </row>
    <row r="30" spans="1:10" s="17" customFormat="1">
      <c r="A30" s="62" t="s">
        <v>70</v>
      </c>
      <c r="B30" s="63" t="s">
        <v>11</v>
      </c>
      <c r="C30" s="61" t="s">
        <v>14</v>
      </c>
      <c r="D30" s="61"/>
      <c r="E30" s="61"/>
      <c r="F30" s="61" t="s">
        <v>14</v>
      </c>
      <c r="G30" s="61" t="s">
        <v>11</v>
      </c>
      <c r="H30" s="61"/>
      <c r="I30" s="61"/>
      <c r="J30" s="62" t="s">
        <v>71</v>
      </c>
    </row>
    <row r="31" spans="1:10" s="17" customFormat="1">
      <c r="A31" s="62" t="s">
        <v>72</v>
      </c>
      <c r="B31" s="63" t="s">
        <v>11</v>
      </c>
      <c r="C31" s="61" t="s">
        <v>11</v>
      </c>
      <c r="D31" s="61"/>
      <c r="E31" s="61"/>
      <c r="F31" s="61"/>
      <c r="G31" s="61"/>
      <c r="H31" s="61"/>
      <c r="I31" s="61"/>
      <c r="J31" s="62" t="s">
        <v>73</v>
      </c>
    </row>
    <row r="32" spans="1:10" s="17" customFormat="1">
      <c r="A32" s="62" t="s">
        <v>74</v>
      </c>
      <c r="B32" s="63" t="s">
        <v>11</v>
      </c>
      <c r="C32" s="63" t="s">
        <v>11</v>
      </c>
      <c r="D32" s="61"/>
      <c r="E32" s="61"/>
      <c r="F32" s="61"/>
      <c r="G32" s="61"/>
      <c r="H32" s="61"/>
      <c r="I32" s="61"/>
      <c r="J32" s="62" t="s">
        <v>75</v>
      </c>
    </row>
    <row r="33" spans="1:10" s="17" customFormat="1">
      <c r="A33" s="62" t="s">
        <v>76</v>
      </c>
      <c r="B33" s="63" t="s">
        <v>11</v>
      </c>
      <c r="C33" s="61" t="s">
        <v>14</v>
      </c>
      <c r="D33" s="61"/>
      <c r="E33" s="61"/>
      <c r="F33" s="61" t="s">
        <v>14</v>
      </c>
      <c r="G33" s="61" t="s">
        <v>11</v>
      </c>
      <c r="H33" s="61"/>
      <c r="I33" s="61"/>
      <c r="J33" s="62" t="s">
        <v>77</v>
      </c>
    </row>
    <row r="34" spans="1:10" s="17" customFormat="1">
      <c r="A34" s="62" t="s">
        <v>78</v>
      </c>
      <c r="B34" s="63" t="s">
        <v>11</v>
      </c>
      <c r="C34" s="61" t="s">
        <v>14</v>
      </c>
      <c r="D34" s="61"/>
      <c r="E34" s="61"/>
      <c r="F34" s="61" t="s">
        <v>14</v>
      </c>
      <c r="G34" s="61" t="s">
        <v>11</v>
      </c>
      <c r="H34" s="61"/>
      <c r="I34" s="61"/>
      <c r="J34" s="62" t="s">
        <v>79</v>
      </c>
    </row>
    <row r="35" spans="1:10" s="17" customFormat="1" hidden="1">
      <c r="A35" s="62" t="s">
        <v>80</v>
      </c>
      <c r="B35" s="63" t="s">
        <v>14</v>
      </c>
      <c r="C35" s="63" t="s">
        <v>14</v>
      </c>
      <c r="D35" s="61"/>
      <c r="E35" s="61" t="s">
        <v>14</v>
      </c>
      <c r="F35" s="61"/>
      <c r="G35" s="61"/>
      <c r="H35" s="61"/>
      <c r="I35" s="61"/>
      <c r="J35" s="62" t="s">
        <v>81</v>
      </c>
    </row>
    <row r="36" spans="1:10" s="17" customFormat="1">
      <c r="A36" s="62" t="s">
        <v>82</v>
      </c>
      <c r="B36" s="63" t="s">
        <v>11</v>
      </c>
      <c r="C36" s="61" t="s">
        <v>11</v>
      </c>
      <c r="D36" s="61"/>
      <c r="E36" s="61"/>
      <c r="F36" s="61"/>
      <c r="G36" s="61"/>
      <c r="H36" s="61"/>
      <c r="I36" s="61"/>
      <c r="J36" s="62" t="s">
        <v>83</v>
      </c>
    </row>
    <row r="37" spans="1:10" s="17" customFormat="1">
      <c r="A37" s="62" t="s">
        <v>84</v>
      </c>
      <c r="B37" s="63" t="s">
        <v>11</v>
      </c>
      <c r="C37" s="61" t="s">
        <v>85</v>
      </c>
      <c r="D37" s="61"/>
      <c r="E37" s="61"/>
      <c r="F37" s="61" t="s">
        <v>86</v>
      </c>
      <c r="G37" s="61" t="s">
        <v>86</v>
      </c>
      <c r="H37" s="61"/>
      <c r="I37" s="61" t="s">
        <v>87</v>
      </c>
      <c r="J37" s="62" t="s">
        <v>88</v>
      </c>
    </row>
    <row r="38" spans="1:10" s="17" customFormat="1">
      <c r="A38" s="62" t="s">
        <v>89</v>
      </c>
      <c r="B38" s="63" t="s">
        <v>11</v>
      </c>
      <c r="C38" s="61" t="s">
        <v>85</v>
      </c>
      <c r="D38" s="61"/>
      <c r="E38" s="61"/>
      <c r="F38" s="61" t="s">
        <v>86</v>
      </c>
      <c r="G38" s="61" t="s">
        <v>86</v>
      </c>
      <c r="H38" s="61"/>
      <c r="I38" s="61" t="s">
        <v>87</v>
      </c>
      <c r="J38" s="62" t="s">
        <v>90</v>
      </c>
    </row>
    <row r="39" spans="1:10" s="17" customFormat="1" hidden="1">
      <c r="A39" s="62" t="s">
        <v>91</v>
      </c>
      <c r="B39" s="63" t="s">
        <v>14</v>
      </c>
      <c r="C39" s="61" t="s">
        <v>14</v>
      </c>
      <c r="D39" s="61"/>
      <c r="E39" s="61" t="s">
        <v>14</v>
      </c>
      <c r="F39" s="61"/>
      <c r="G39" s="61"/>
      <c r="H39" s="61"/>
      <c r="I39" s="61"/>
      <c r="J39" s="62" t="s">
        <v>92</v>
      </c>
    </row>
    <row r="40" spans="1:10" s="17" customFormat="1" hidden="1">
      <c r="A40" s="62" t="s">
        <v>93</v>
      </c>
      <c r="B40" s="63" t="s">
        <v>14</v>
      </c>
      <c r="C40" s="61" t="s">
        <v>14</v>
      </c>
      <c r="D40" s="61"/>
      <c r="E40" s="61" t="s">
        <v>14</v>
      </c>
      <c r="F40" s="61"/>
      <c r="G40" s="61"/>
      <c r="H40" s="61"/>
      <c r="I40" s="61"/>
      <c r="J40" s="62" t="s">
        <v>94</v>
      </c>
    </row>
    <row r="41" spans="1:10" s="17" customFormat="1">
      <c r="A41" s="62" t="s">
        <v>95</v>
      </c>
      <c r="B41" s="63" t="s">
        <v>11</v>
      </c>
      <c r="C41" s="61" t="s">
        <v>11</v>
      </c>
      <c r="D41" s="61"/>
      <c r="E41" s="61"/>
      <c r="F41" s="61"/>
      <c r="G41" s="61"/>
      <c r="H41" s="61"/>
      <c r="I41" s="61"/>
      <c r="J41" s="62" t="s">
        <v>96</v>
      </c>
    </row>
    <row r="42" spans="1:10" s="17" customFormat="1" hidden="1">
      <c r="A42" s="62" t="s">
        <v>97</v>
      </c>
      <c r="B42" s="63" t="s">
        <v>14</v>
      </c>
      <c r="C42" s="61" t="s">
        <v>14</v>
      </c>
      <c r="D42" s="61"/>
      <c r="E42" s="61" t="s">
        <v>14</v>
      </c>
      <c r="F42" s="61"/>
      <c r="G42" s="61"/>
      <c r="H42" s="61"/>
      <c r="I42" s="61"/>
      <c r="J42" s="62" t="s">
        <v>98</v>
      </c>
    </row>
    <row r="43" spans="1:10" s="17" customFormat="1">
      <c r="A43" s="62" t="s">
        <v>99</v>
      </c>
      <c r="B43" s="63" t="s">
        <v>11</v>
      </c>
      <c r="C43" s="61" t="s">
        <v>11</v>
      </c>
      <c r="D43" s="61"/>
      <c r="E43" s="61"/>
      <c r="F43" s="61"/>
      <c r="G43" s="61"/>
      <c r="H43" s="61"/>
      <c r="I43" s="61"/>
      <c r="J43" s="62"/>
    </row>
    <row r="44" spans="1:10" s="17" customFormat="1">
      <c r="A44" s="62" t="s">
        <v>100</v>
      </c>
      <c r="B44" s="63" t="s">
        <v>11</v>
      </c>
      <c r="C44" s="61" t="s">
        <v>11</v>
      </c>
      <c r="D44" s="61"/>
      <c r="E44" s="61"/>
      <c r="F44" s="61"/>
      <c r="G44" s="61"/>
      <c r="H44" s="61"/>
      <c r="I44" s="61"/>
      <c r="J44" s="62" t="s">
        <v>101</v>
      </c>
    </row>
    <row r="45" spans="1:10" s="17" customFormat="1">
      <c r="A45" s="62" t="s">
        <v>102</v>
      </c>
      <c r="B45" s="63" t="s">
        <v>11</v>
      </c>
      <c r="C45" s="61" t="s">
        <v>11</v>
      </c>
      <c r="D45" s="61"/>
      <c r="E45" s="61"/>
      <c r="F45" s="61"/>
      <c r="G45" s="61"/>
      <c r="H45" s="61"/>
      <c r="I45" s="61"/>
      <c r="J45" s="62" t="s">
        <v>103</v>
      </c>
    </row>
    <row r="46" spans="1:10" s="17" customFormat="1">
      <c r="A46" s="62" t="s">
        <v>104</v>
      </c>
      <c r="B46" s="63" t="s">
        <v>11</v>
      </c>
      <c r="C46" s="61" t="s">
        <v>11</v>
      </c>
      <c r="D46" s="61"/>
      <c r="E46" s="61"/>
      <c r="F46" s="61"/>
      <c r="G46" s="61"/>
      <c r="H46" s="62"/>
      <c r="I46" s="61" t="s">
        <v>105</v>
      </c>
      <c r="J46" s="17" t="s">
        <v>106</v>
      </c>
    </row>
    <row r="47" spans="1:10" s="17" customFormat="1">
      <c r="A47" s="62" t="s">
        <v>107</v>
      </c>
      <c r="B47" s="63" t="s">
        <v>11</v>
      </c>
      <c r="C47" s="63" t="s">
        <v>11</v>
      </c>
      <c r="D47" s="61"/>
      <c r="E47" s="61"/>
      <c r="F47" s="61"/>
      <c r="G47" s="61"/>
      <c r="H47" s="61"/>
      <c r="I47" s="61"/>
      <c r="J47" s="62" t="s">
        <v>107</v>
      </c>
    </row>
    <row r="48" spans="1:10" s="17" customFormat="1">
      <c r="A48" s="62" t="s">
        <v>108</v>
      </c>
      <c r="B48" s="63" t="s">
        <v>11</v>
      </c>
      <c r="C48" s="61" t="s">
        <v>85</v>
      </c>
      <c r="D48" s="61"/>
      <c r="E48" s="61"/>
      <c r="F48" s="61" t="s">
        <v>86</v>
      </c>
      <c r="G48" s="61" t="s">
        <v>86</v>
      </c>
      <c r="I48" s="61" t="s">
        <v>109</v>
      </c>
      <c r="J48" s="17" t="s">
        <v>2147</v>
      </c>
    </row>
    <row r="49" spans="1:10" s="17" customFormat="1">
      <c r="A49" s="62" t="s">
        <v>111</v>
      </c>
      <c r="B49" s="63" t="s">
        <v>11</v>
      </c>
      <c r="C49" s="61" t="s">
        <v>11</v>
      </c>
      <c r="D49" s="61"/>
      <c r="E49" s="61"/>
      <c r="F49" s="61"/>
      <c r="G49" s="61"/>
      <c r="H49" s="61"/>
      <c r="I49" s="61"/>
      <c r="J49" s="62" t="s">
        <v>112</v>
      </c>
    </row>
    <row r="50" spans="1:10" s="17" customFormat="1" hidden="1">
      <c r="A50" s="62" t="s">
        <v>113</v>
      </c>
      <c r="B50" s="63" t="s">
        <v>14</v>
      </c>
      <c r="C50" s="63" t="s">
        <v>14</v>
      </c>
      <c r="D50" s="61" t="s">
        <v>114</v>
      </c>
      <c r="E50" s="61" t="s">
        <v>14</v>
      </c>
      <c r="F50" s="61"/>
      <c r="G50" s="61"/>
      <c r="H50" s="61"/>
      <c r="I50" s="61"/>
      <c r="J50" s="62" t="s">
        <v>115</v>
      </c>
    </row>
    <row r="51" spans="1:10" s="17" customFormat="1" hidden="1">
      <c r="A51" s="62" t="s">
        <v>116</v>
      </c>
      <c r="B51" s="63" t="s">
        <v>14</v>
      </c>
      <c r="C51" s="61" t="s">
        <v>14</v>
      </c>
      <c r="D51" s="61"/>
      <c r="E51" s="61" t="s">
        <v>14</v>
      </c>
      <c r="F51" s="61"/>
      <c r="G51" s="61"/>
      <c r="H51" s="61"/>
      <c r="I51" s="61"/>
      <c r="J51" s="62" t="s">
        <v>117</v>
      </c>
    </row>
    <row r="52" spans="1:10" s="17" customFormat="1">
      <c r="A52" s="62" t="s">
        <v>118</v>
      </c>
      <c r="B52" s="63" t="s">
        <v>11</v>
      </c>
      <c r="C52" s="61" t="s">
        <v>11</v>
      </c>
      <c r="D52" s="61"/>
      <c r="E52" s="61"/>
      <c r="F52" s="61"/>
      <c r="G52" s="61"/>
      <c r="I52" s="61" t="s">
        <v>105</v>
      </c>
      <c r="J52" s="17" t="s">
        <v>119</v>
      </c>
    </row>
    <row r="53" spans="1:10" s="17" customFormat="1">
      <c r="A53" s="62" t="s">
        <v>120</v>
      </c>
      <c r="B53" s="63" t="s">
        <v>11</v>
      </c>
      <c r="C53" s="61" t="s">
        <v>85</v>
      </c>
      <c r="D53" s="61"/>
      <c r="E53" s="61"/>
      <c r="F53" s="61" t="s">
        <v>86</v>
      </c>
      <c r="G53" s="61" t="s">
        <v>86</v>
      </c>
      <c r="I53" s="61" t="s">
        <v>121</v>
      </c>
      <c r="J53" s="17" t="s">
        <v>122</v>
      </c>
    </row>
    <row r="54" spans="1:10" s="17" customFormat="1">
      <c r="A54" s="62" t="s">
        <v>123</v>
      </c>
      <c r="B54" s="63" t="s">
        <v>11</v>
      </c>
      <c r="C54" s="63" t="s">
        <v>14</v>
      </c>
      <c r="D54" s="61" t="s">
        <v>114</v>
      </c>
      <c r="E54" s="61" t="s">
        <v>14</v>
      </c>
      <c r="F54" s="61"/>
      <c r="G54" s="61"/>
      <c r="H54" s="61"/>
      <c r="I54" s="61"/>
      <c r="J54" s="62" t="s">
        <v>124</v>
      </c>
    </row>
    <row r="55" spans="1:10" s="17" customFormat="1" hidden="1">
      <c r="A55" s="62" t="s">
        <v>125</v>
      </c>
      <c r="B55" s="63" t="s">
        <v>14</v>
      </c>
      <c r="C55" s="61" t="s">
        <v>14</v>
      </c>
      <c r="D55" s="61"/>
      <c r="E55" s="61" t="s">
        <v>14</v>
      </c>
      <c r="F55" s="61"/>
      <c r="G55" s="61"/>
      <c r="H55" s="61"/>
      <c r="I55" s="61"/>
      <c r="J55" s="62" t="s">
        <v>126</v>
      </c>
    </row>
    <row r="56" spans="1:10" s="17" customFormat="1">
      <c r="A56" s="62" t="s">
        <v>127</v>
      </c>
      <c r="B56" s="63" t="s">
        <v>11</v>
      </c>
      <c r="C56" s="61" t="s">
        <v>11</v>
      </c>
      <c r="D56" s="61"/>
      <c r="E56" s="61"/>
      <c r="F56" s="61"/>
      <c r="G56" s="61"/>
      <c r="H56" s="61"/>
      <c r="I56" s="61"/>
      <c r="J56" s="62" t="s">
        <v>128</v>
      </c>
    </row>
    <row r="57" spans="1:10" s="17" customFormat="1" hidden="1">
      <c r="A57" s="62" t="s">
        <v>129</v>
      </c>
      <c r="B57" s="63" t="s">
        <v>14</v>
      </c>
      <c r="C57" s="61" t="s">
        <v>14</v>
      </c>
      <c r="D57" s="61"/>
      <c r="E57" s="61" t="s">
        <v>14</v>
      </c>
      <c r="F57" s="61"/>
      <c r="G57" s="61"/>
      <c r="H57" s="61"/>
      <c r="I57" s="61"/>
      <c r="J57" s="62" t="s">
        <v>130</v>
      </c>
    </row>
    <row r="58" spans="1:10" s="17" customFormat="1" hidden="1">
      <c r="A58" s="62" t="s">
        <v>131</v>
      </c>
      <c r="B58" s="63" t="s">
        <v>14</v>
      </c>
      <c r="C58" s="61" t="s">
        <v>14</v>
      </c>
      <c r="D58" s="61"/>
      <c r="E58" s="61" t="s">
        <v>14</v>
      </c>
      <c r="F58" s="61"/>
      <c r="G58" s="61"/>
      <c r="H58" s="61"/>
      <c r="I58" s="61"/>
      <c r="J58" s="62" t="s">
        <v>132</v>
      </c>
    </row>
    <row r="59" spans="1:10" s="17" customFormat="1">
      <c r="A59" s="62" t="s">
        <v>133</v>
      </c>
      <c r="B59" s="63" t="s">
        <v>11</v>
      </c>
      <c r="C59" s="61" t="s">
        <v>14</v>
      </c>
      <c r="D59" s="61"/>
      <c r="E59" s="61"/>
      <c r="F59" s="61" t="s">
        <v>14</v>
      </c>
      <c r="G59" s="61" t="s">
        <v>11</v>
      </c>
      <c r="H59" s="61"/>
      <c r="I59" s="61"/>
      <c r="J59" s="62" t="s">
        <v>134</v>
      </c>
    </row>
    <row r="60" spans="1:10" s="17" customFormat="1">
      <c r="A60" s="62" t="s">
        <v>135</v>
      </c>
      <c r="B60" s="63" t="s">
        <v>11</v>
      </c>
      <c r="C60" s="61" t="s">
        <v>11</v>
      </c>
      <c r="D60" s="61"/>
      <c r="E60" s="61"/>
      <c r="F60" s="61"/>
      <c r="G60" s="61"/>
      <c r="H60" s="61"/>
      <c r="I60" s="61"/>
      <c r="J60" s="62" t="s">
        <v>136</v>
      </c>
    </row>
    <row r="61" spans="1:10" s="17" customFormat="1" hidden="1">
      <c r="A61" s="62" t="s">
        <v>137</v>
      </c>
      <c r="B61" s="63" t="s">
        <v>14</v>
      </c>
      <c r="C61" s="61" t="s">
        <v>14</v>
      </c>
      <c r="D61" s="61"/>
      <c r="E61" s="61" t="s">
        <v>14</v>
      </c>
      <c r="F61" s="61"/>
      <c r="G61" s="61"/>
      <c r="H61" s="61"/>
      <c r="I61" s="61"/>
      <c r="J61" s="62" t="s">
        <v>138</v>
      </c>
    </row>
    <row r="62" spans="1:10" s="17" customFormat="1">
      <c r="A62" s="62" t="s">
        <v>139</v>
      </c>
      <c r="B62" s="63" t="s">
        <v>11</v>
      </c>
      <c r="C62" s="61" t="s">
        <v>11</v>
      </c>
      <c r="D62" s="61"/>
      <c r="E62" s="61"/>
      <c r="F62" s="61"/>
      <c r="G62" s="61"/>
      <c r="H62" s="61"/>
      <c r="I62" s="61"/>
      <c r="J62" s="62" t="s">
        <v>140</v>
      </c>
    </row>
    <row r="63" spans="1:10" s="17" customFormat="1">
      <c r="A63" s="62" t="s">
        <v>141</v>
      </c>
      <c r="B63" s="63" t="s">
        <v>11</v>
      </c>
      <c r="C63" s="63" t="s">
        <v>14</v>
      </c>
      <c r="D63" s="61" t="s">
        <v>142</v>
      </c>
      <c r="E63" s="61" t="s">
        <v>14</v>
      </c>
      <c r="F63" s="61"/>
      <c r="G63" s="61"/>
      <c r="H63" s="61"/>
      <c r="I63" s="61"/>
      <c r="J63" s="62" t="s">
        <v>112</v>
      </c>
    </row>
    <row r="64" spans="1:10" s="17" customFormat="1">
      <c r="A64" s="62" t="s">
        <v>143</v>
      </c>
      <c r="B64" s="63" t="s">
        <v>11</v>
      </c>
      <c r="C64" s="61" t="s">
        <v>14</v>
      </c>
      <c r="D64" s="61"/>
      <c r="E64" s="61"/>
      <c r="F64" s="61" t="s">
        <v>14</v>
      </c>
      <c r="G64" s="61" t="s">
        <v>11</v>
      </c>
      <c r="H64" s="61"/>
      <c r="I64" s="61"/>
      <c r="J64" s="62" t="s">
        <v>144</v>
      </c>
    </row>
    <row r="65" spans="1:10" s="17" customFormat="1">
      <c r="A65" s="62" t="s">
        <v>145</v>
      </c>
      <c r="B65" s="63" t="s">
        <v>11</v>
      </c>
      <c r="C65" s="61" t="s">
        <v>14</v>
      </c>
      <c r="D65" s="61"/>
      <c r="E65" s="61"/>
      <c r="F65" s="61" t="s">
        <v>14</v>
      </c>
      <c r="G65" s="61" t="s">
        <v>11</v>
      </c>
      <c r="H65" s="61"/>
      <c r="I65" s="61"/>
      <c r="J65" s="62" t="s">
        <v>144</v>
      </c>
    </row>
    <row r="66" spans="1:10" s="17" customFormat="1">
      <c r="A66" s="62" t="s">
        <v>146</v>
      </c>
      <c r="B66" s="63" t="s">
        <v>11</v>
      </c>
      <c r="C66" s="63" t="s">
        <v>14</v>
      </c>
      <c r="D66" s="61" t="s">
        <v>142</v>
      </c>
      <c r="E66" s="61" t="s">
        <v>14</v>
      </c>
      <c r="F66" s="61"/>
      <c r="G66" s="61"/>
      <c r="H66" s="61"/>
      <c r="I66" s="61"/>
      <c r="J66" s="62" t="s">
        <v>147</v>
      </c>
    </row>
    <row r="67" spans="1:10" s="17" customFormat="1" hidden="1">
      <c r="A67" s="62" t="s">
        <v>148</v>
      </c>
      <c r="B67" s="63" t="s">
        <v>14</v>
      </c>
      <c r="C67" s="63" t="s">
        <v>14</v>
      </c>
      <c r="D67" s="61" t="s">
        <v>142</v>
      </c>
      <c r="E67" s="61" t="s">
        <v>14</v>
      </c>
      <c r="F67" s="61"/>
      <c r="G67" s="61"/>
      <c r="H67" s="61"/>
      <c r="I67" s="61"/>
      <c r="J67" s="62" t="s">
        <v>149</v>
      </c>
    </row>
    <row r="68" spans="1:10" s="17" customFormat="1" hidden="1">
      <c r="A68" s="62" t="s">
        <v>150</v>
      </c>
      <c r="B68" s="63" t="s">
        <v>14</v>
      </c>
      <c r="C68" s="63" t="s">
        <v>14</v>
      </c>
      <c r="D68" s="61" t="s">
        <v>142</v>
      </c>
      <c r="E68" s="61" t="s">
        <v>14</v>
      </c>
      <c r="F68" s="61"/>
      <c r="G68" s="61"/>
      <c r="H68" s="61"/>
      <c r="I68" s="61"/>
      <c r="J68" s="62" t="s">
        <v>151</v>
      </c>
    </row>
    <row r="69" spans="1:10" s="17" customFormat="1" hidden="1">
      <c r="A69" s="62" t="s">
        <v>152</v>
      </c>
      <c r="B69" s="63" t="s">
        <v>14</v>
      </c>
      <c r="C69" s="61" t="s">
        <v>14</v>
      </c>
      <c r="D69" s="61"/>
      <c r="E69" s="61" t="s">
        <v>14</v>
      </c>
      <c r="F69" s="61"/>
      <c r="G69" s="61"/>
      <c r="H69" s="61"/>
      <c r="I69" s="61"/>
      <c r="J69" s="62" t="s">
        <v>153</v>
      </c>
    </row>
    <row r="70" spans="1:10" s="17" customFormat="1">
      <c r="A70" s="62" t="s">
        <v>154</v>
      </c>
      <c r="B70" s="63" t="s">
        <v>11</v>
      </c>
      <c r="C70" s="63" t="s">
        <v>14</v>
      </c>
      <c r="D70" s="61" t="s">
        <v>142</v>
      </c>
      <c r="E70" s="61" t="s">
        <v>14</v>
      </c>
      <c r="F70" s="61"/>
      <c r="G70" s="61"/>
      <c r="H70" s="61"/>
      <c r="I70" s="61"/>
      <c r="J70" s="62" t="s">
        <v>155</v>
      </c>
    </row>
    <row r="71" spans="1:10" s="17" customFormat="1">
      <c r="A71" s="62" t="s">
        <v>156</v>
      </c>
      <c r="B71" s="63" t="s">
        <v>11</v>
      </c>
      <c r="C71" s="61" t="s">
        <v>11</v>
      </c>
      <c r="D71" s="61"/>
      <c r="E71" s="61"/>
      <c r="F71" s="61"/>
      <c r="G71" s="61"/>
      <c r="H71" s="61"/>
      <c r="I71" s="61"/>
      <c r="J71" s="62" t="s">
        <v>157</v>
      </c>
    </row>
    <row r="72" spans="1:10" s="17" customFormat="1">
      <c r="A72" s="62" t="s">
        <v>158</v>
      </c>
      <c r="B72" s="63" t="s">
        <v>11</v>
      </c>
      <c r="C72" s="61" t="s">
        <v>11</v>
      </c>
      <c r="D72" s="61"/>
      <c r="E72" s="61"/>
      <c r="F72" s="61"/>
      <c r="G72" s="61"/>
      <c r="H72" s="61"/>
      <c r="I72" s="61"/>
      <c r="J72" s="62" t="s">
        <v>157</v>
      </c>
    </row>
    <row r="73" spans="1:10" s="17" customFormat="1">
      <c r="A73" s="62" t="s">
        <v>159</v>
      </c>
      <c r="B73" s="63" t="s">
        <v>11</v>
      </c>
      <c r="C73" s="61" t="s">
        <v>11</v>
      </c>
      <c r="D73" s="61"/>
      <c r="E73" s="61"/>
      <c r="F73" s="61"/>
      <c r="G73" s="61"/>
      <c r="H73" s="61"/>
      <c r="I73" s="61"/>
      <c r="J73" s="62" t="s">
        <v>160</v>
      </c>
    </row>
    <row r="74" spans="1:10" s="17" customFormat="1" hidden="1">
      <c r="A74" s="62" t="s">
        <v>161</v>
      </c>
      <c r="B74" s="63" t="s">
        <v>14</v>
      </c>
      <c r="C74" s="61" t="s">
        <v>14</v>
      </c>
      <c r="D74" s="61"/>
      <c r="E74" s="61" t="s">
        <v>14</v>
      </c>
      <c r="F74" s="61"/>
      <c r="G74" s="61"/>
      <c r="H74" s="61"/>
      <c r="I74" s="61"/>
      <c r="J74" s="62" t="s">
        <v>162</v>
      </c>
    </row>
    <row r="75" spans="1:10" s="17" customFormat="1">
      <c r="A75" s="62" t="s">
        <v>163</v>
      </c>
      <c r="B75" s="63" t="s">
        <v>11</v>
      </c>
      <c r="C75" s="61" t="s">
        <v>11</v>
      </c>
      <c r="D75" s="61"/>
      <c r="E75" s="61"/>
      <c r="F75" s="61"/>
      <c r="G75" s="61"/>
      <c r="H75" s="61"/>
      <c r="I75" s="61"/>
      <c r="J75" s="62" t="s">
        <v>164</v>
      </c>
    </row>
    <row r="76" spans="1:10" s="17" customFormat="1" hidden="1">
      <c r="A76" s="62" t="s">
        <v>165</v>
      </c>
      <c r="B76" s="63" t="s">
        <v>14</v>
      </c>
      <c r="C76" s="61" t="s">
        <v>14</v>
      </c>
      <c r="D76" s="61"/>
      <c r="E76" s="61" t="s">
        <v>14</v>
      </c>
      <c r="F76" s="61"/>
      <c r="G76" s="61"/>
      <c r="H76" s="61"/>
      <c r="I76" s="61"/>
      <c r="J76" s="62" t="s">
        <v>166</v>
      </c>
    </row>
    <row r="77" spans="1:10" s="17" customFormat="1">
      <c r="A77" s="62" t="s">
        <v>167</v>
      </c>
      <c r="B77" s="63" t="s">
        <v>11</v>
      </c>
      <c r="C77" s="63" t="s">
        <v>11</v>
      </c>
      <c r="D77" s="61"/>
      <c r="E77" s="61"/>
      <c r="F77" s="61"/>
      <c r="G77" s="61"/>
      <c r="H77" s="61"/>
      <c r="I77" s="61"/>
      <c r="J77" s="62" t="s">
        <v>168</v>
      </c>
    </row>
    <row r="78" spans="1:10" s="17" customFormat="1">
      <c r="A78" s="62" t="s">
        <v>169</v>
      </c>
      <c r="B78" s="63" t="s">
        <v>11</v>
      </c>
      <c r="C78" s="63" t="s">
        <v>11</v>
      </c>
      <c r="D78" s="61"/>
      <c r="E78" s="61"/>
      <c r="F78" s="61"/>
      <c r="G78" s="61"/>
      <c r="H78" s="61"/>
      <c r="I78" s="61"/>
      <c r="J78" s="62" t="s">
        <v>170</v>
      </c>
    </row>
    <row r="79" spans="1:10" s="17" customFormat="1">
      <c r="A79" s="62" t="s">
        <v>171</v>
      </c>
      <c r="B79" s="63" t="s">
        <v>11</v>
      </c>
      <c r="C79" s="63" t="s">
        <v>11</v>
      </c>
      <c r="D79" s="61"/>
      <c r="E79" s="61"/>
      <c r="F79" s="61"/>
      <c r="G79" s="61"/>
      <c r="H79" s="61"/>
      <c r="I79" s="61"/>
      <c r="J79" s="62" t="s">
        <v>172</v>
      </c>
    </row>
    <row r="80" spans="1:10" s="17" customFormat="1">
      <c r="A80" s="62" t="s">
        <v>173</v>
      </c>
      <c r="B80" s="63" t="s">
        <v>11</v>
      </c>
      <c r="C80" s="63" t="s">
        <v>11</v>
      </c>
      <c r="D80" s="61"/>
      <c r="E80" s="61"/>
      <c r="F80" s="61"/>
      <c r="G80" s="61"/>
      <c r="H80" s="61"/>
      <c r="I80" s="61"/>
      <c r="J80" s="62" t="s">
        <v>174</v>
      </c>
    </row>
    <row r="81" spans="1:10" s="17" customFormat="1">
      <c r="A81" s="62" t="s">
        <v>175</v>
      </c>
      <c r="B81" s="63" t="s">
        <v>11</v>
      </c>
      <c r="C81" s="63" t="s">
        <v>11</v>
      </c>
      <c r="D81" s="61" t="s">
        <v>176</v>
      </c>
      <c r="E81" s="61"/>
      <c r="F81" s="61"/>
      <c r="G81" s="61"/>
      <c r="H81" s="61"/>
      <c r="I81" s="61"/>
      <c r="J81" s="62" t="s">
        <v>177</v>
      </c>
    </row>
    <row r="82" spans="1:10" s="17" customFormat="1">
      <c r="A82" s="62" t="s">
        <v>178</v>
      </c>
      <c r="B82" s="63" t="s">
        <v>11</v>
      </c>
      <c r="C82" s="63" t="s">
        <v>11</v>
      </c>
      <c r="D82" s="61" t="s">
        <v>179</v>
      </c>
      <c r="E82" s="61"/>
      <c r="F82" s="61"/>
      <c r="G82" s="61"/>
      <c r="H82" s="61"/>
      <c r="I82" s="61"/>
      <c r="J82" s="62" t="s">
        <v>180</v>
      </c>
    </row>
    <row r="83" spans="1:10" s="17" customFormat="1">
      <c r="A83" s="62" t="s">
        <v>181</v>
      </c>
      <c r="B83" s="63" t="s">
        <v>11</v>
      </c>
      <c r="C83" s="63" t="s">
        <v>11</v>
      </c>
      <c r="D83" s="61"/>
      <c r="E83" s="61"/>
      <c r="F83" s="61"/>
      <c r="G83" s="61"/>
      <c r="H83" s="61"/>
      <c r="I83" s="61"/>
      <c r="J83" s="62" t="s">
        <v>182</v>
      </c>
    </row>
    <row r="84" spans="1:10" s="17" customFormat="1">
      <c r="A84" s="62" t="s">
        <v>183</v>
      </c>
      <c r="B84" s="63" t="s">
        <v>11</v>
      </c>
      <c r="C84" s="63" t="s">
        <v>11</v>
      </c>
      <c r="D84" s="61"/>
      <c r="E84" s="61"/>
      <c r="F84" s="61"/>
      <c r="G84" s="61"/>
      <c r="H84" s="61"/>
      <c r="I84" s="61"/>
      <c r="J84" s="62"/>
    </row>
    <row r="85" spans="1:10" s="17" customFormat="1">
      <c r="A85" s="62" t="s">
        <v>184</v>
      </c>
      <c r="B85" s="63" t="s">
        <v>11</v>
      </c>
      <c r="C85" s="63" t="s">
        <v>11</v>
      </c>
      <c r="D85" s="61" t="s">
        <v>185</v>
      </c>
      <c r="E85" s="61"/>
      <c r="F85" s="61"/>
      <c r="G85" s="61"/>
      <c r="H85" s="61"/>
      <c r="I85" s="61"/>
      <c r="J85" s="62"/>
    </row>
    <row r="86" spans="1:10" s="17" customFormat="1">
      <c r="A86" s="62" t="s">
        <v>186</v>
      </c>
      <c r="B86" s="63" t="s">
        <v>11</v>
      </c>
      <c r="C86" s="63" t="s">
        <v>11</v>
      </c>
      <c r="D86" s="61"/>
      <c r="E86" s="61"/>
      <c r="F86" s="61"/>
      <c r="G86" s="61"/>
      <c r="H86" s="61"/>
      <c r="I86" s="61"/>
      <c r="J86" s="62" t="s">
        <v>187</v>
      </c>
    </row>
    <row r="87" spans="1:10" s="17" customFormat="1">
      <c r="A87" s="62" t="s">
        <v>188</v>
      </c>
      <c r="B87" s="63" t="s">
        <v>11</v>
      </c>
      <c r="C87" s="63" t="s">
        <v>11</v>
      </c>
      <c r="D87" s="61"/>
      <c r="E87" s="61"/>
      <c r="F87" s="61"/>
      <c r="G87" s="61"/>
      <c r="H87" s="61"/>
      <c r="I87" s="61"/>
      <c r="J87" s="62" t="s">
        <v>189</v>
      </c>
    </row>
    <row r="88" spans="1:10" s="17" customFormat="1">
      <c r="A88" s="62" t="s">
        <v>190</v>
      </c>
      <c r="B88" s="63" t="s">
        <v>11</v>
      </c>
      <c r="C88" s="63" t="s">
        <v>11</v>
      </c>
      <c r="D88" s="61"/>
      <c r="E88" s="61"/>
      <c r="F88" s="61"/>
      <c r="G88" s="61"/>
      <c r="H88" s="61"/>
      <c r="I88" s="61"/>
      <c r="J88" s="62" t="s">
        <v>191</v>
      </c>
    </row>
    <row r="89" spans="1:10" s="17" customFormat="1">
      <c r="A89" s="62" t="s">
        <v>192</v>
      </c>
      <c r="B89" s="63" t="s">
        <v>11</v>
      </c>
      <c r="C89" s="63" t="s">
        <v>11</v>
      </c>
      <c r="D89" s="61"/>
      <c r="E89" s="61"/>
      <c r="F89" s="61"/>
      <c r="G89" s="61"/>
      <c r="H89" s="61"/>
      <c r="I89" s="61"/>
      <c r="J89" s="62" t="s">
        <v>193</v>
      </c>
    </row>
    <row r="90" spans="1:10" s="17" customFormat="1">
      <c r="A90" s="62" t="s">
        <v>194</v>
      </c>
      <c r="B90" s="63" t="s">
        <v>11</v>
      </c>
      <c r="C90" s="63" t="s">
        <v>11</v>
      </c>
      <c r="D90" s="61"/>
      <c r="E90" s="61"/>
      <c r="F90" s="61"/>
      <c r="G90" s="61"/>
      <c r="H90" s="61"/>
      <c r="I90" s="61"/>
      <c r="J90" s="62" t="s">
        <v>195</v>
      </c>
    </row>
    <row r="91" spans="1:10" s="17" customFormat="1">
      <c r="A91" s="62" t="s">
        <v>196</v>
      </c>
      <c r="B91" s="63" t="s">
        <v>11</v>
      </c>
      <c r="C91" s="63" t="s">
        <v>11</v>
      </c>
      <c r="D91" s="61"/>
      <c r="E91" s="61"/>
      <c r="F91" s="61"/>
      <c r="G91" s="61"/>
      <c r="H91" s="61"/>
      <c r="I91" s="61"/>
      <c r="J91" s="62" t="s">
        <v>197</v>
      </c>
    </row>
    <row r="92" spans="1:10" s="17" customFormat="1">
      <c r="A92" s="62" t="s">
        <v>198</v>
      </c>
      <c r="B92" s="63" t="s">
        <v>11</v>
      </c>
      <c r="C92" s="63" t="s">
        <v>11</v>
      </c>
      <c r="D92" s="61"/>
      <c r="E92" s="61"/>
      <c r="F92" s="61"/>
      <c r="G92" s="61"/>
      <c r="H92" s="61"/>
      <c r="I92" s="61"/>
      <c r="J92" s="62" t="s">
        <v>199</v>
      </c>
    </row>
    <row r="93" spans="1:10" s="17" customFormat="1">
      <c r="A93" s="62" t="s">
        <v>200</v>
      </c>
      <c r="B93" s="63" t="s">
        <v>11</v>
      </c>
      <c r="C93" s="63" t="s">
        <v>11</v>
      </c>
      <c r="D93" s="61"/>
      <c r="E93" s="61"/>
      <c r="F93" s="61"/>
      <c r="G93" s="61"/>
      <c r="H93" s="61"/>
      <c r="I93" s="61"/>
      <c r="J93" s="62" t="s">
        <v>201</v>
      </c>
    </row>
    <row r="94" spans="1:10" s="17" customFormat="1">
      <c r="A94" s="62" t="s">
        <v>202</v>
      </c>
      <c r="B94" s="63" t="s">
        <v>11</v>
      </c>
      <c r="C94" s="63" t="s">
        <v>11</v>
      </c>
      <c r="D94" s="61"/>
      <c r="E94" s="61"/>
      <c r="F94" s="61"/>
      <c r="G94" s="61"/>
      <c r="H94" s="61"/>
      <c r="I94" s="61"/>
      <c r="J94" s="62"/>
    </row>
    <row r="95" spans="1:10" s="17" customFormat="1">
      <c r="A95" s="62" t="s">
        <v>203</v>
      </c>
      <c r="B95" s="63" t="s">
        <v>11</v>
      </c>
      <c r="C95" s="63" t="s">
        <v>11</v>
      </c>
      <c r="D95" s="61"/>
      <c r="E95" s="61"/>
      <c r="F95" s="61"/>
      <c r="G95" s="61"/>
      <c r="H95" s="61"/>
      <c r="I95" s="61"/>
      <c r="J95" s="62" t="s">
        <v>204</v>
      </c>
    </row>
    <row r="96" spans="1:10" s="17" customFormat="1">
      <c r="A96" s="62" t="s">
        <v>205</v>
      </c>
      <c r="B96" s="63" t="s">
        <v>11</v>
      </c>
      <c r="C96" s="63" t="s">
        <v>11</v>
      </c>
      <c r="D96" s="61"/>
      <c r="E96" s="61"/>
      <c r="F96" s="61"/>
      <c r="G96" s="61"/>
      <c r="H96" s="61"/>
      <c r="I96" s="61"/>
      <c r="J96" s="62" t="s">
        <v>206</v>
      </c>
    </row>
    <row r="97" spans="1:10" s="17" customFormat="1">
      <c r="A97" s="62" t="s">
        <v>207</v>
      </c>
      <c r="B97" s="63" t="s">
        <v>11</v>
      </c>
      <c r="C97" s="63" t="s">
        <v>11</v>
      </c>
      <c r="D97" s="61"/>
      <c r="E97" s="61"/>
      <c r="F97" s="61"/>
      <c r="G97" s="61"/>
      <c r="H97" s="61"/>
      <c r="I97" s="61"/>
      <c r="J97" s="62" t="s">
        <v>208</v>
      </c>
    </row>
    <row r="98" spans="1:10" s="17" customFormat="1">
      <c r="A98" s="62" t="s">
        <v>209</v>
      </c>
      <c r="B98" s="63" t="s">
        <v>11</v>
      </c>
      <c r="C98" s="63" t="s">
        <v>11</v>
      </c>
      <c r="D98" s="61"/>
      <c r="E98" s="61"/>
      <c r="F98" s="61"/>
      <c r="G98" s="61"/>
      <c r="H98" s="61"/>
      <c r="I98" s="61"/>
      <c r="J98" s="62" t="s">
        <v>210</v>
      </c>
    </row>
    <row r="99" spans="1:10" s="17" customFormat="1">
      <c r="A99" s="62" t="s">
        <v>211</v>
      </c>
      <c r="B99" s="63" t="s">
        <v>11</v>
      </c>
      <c r="C99" s="63" t="s">
        <v>11</v>
      </c>
      <c r="D99" s="61"/>
      <c r="E99" s="61"/>
      <c r="F99" s="61"/>
      <c r="G99" s="61"/>
      <c r="H99" s="61"/>
      <c r="I99" s="61"/>
      <c r="J99" s="62" t="s">
        <v>212</v>
      </c>
    </row>
    <row r="100" spans="1:10" s="17" customFormat="1">
      <c r="A100" s="62" t="s">
        <v>213</v>
      </c>
      <c r="B100" s="63" t="s">
        <v>11</v>
      </c>
      <c r="C100" s="63" t="s">
        <v>11</v>
      </c>
      <c r="D100" s="61"/>
      <c r="E100" s="61"/>
      <c r="F100" s="61"/>
      <c r="G100" s="61"/>
      <c r="H100" s="61"/>
      <c r="I100" s="61"/>
      <c r="J100" s="62" t="s">
        <v>214</v>
      </c>
    </row>
    <row r="101" spans="1:10" s="17" customFormat="1">
      <c r="A101" s="62" t="s">
        <v>215</v>
      </c>
      <c r="B101" s="63" t="s">
        <v>11</v>
      </c>
      <c r="C101" s="63" t="s">
        <v>14</v>
      </c>
      <c r="D101" s="61" t="s">
        <v>216</v>
      </c>
      <c r="E101" s="61" t="s">
        <v>14</v>
      </c>
      <c r="F101" s="61"/>
      <c r="G101" s="61"/>
      <c r="H101" s="61"/>
      <c r="I101" s="61"/>
      <c r="J101" s="62" t="s">
        <v>217</v>
      </c>
    </row>
    <row r="102" spans="1:10" s="17" customFormat="1" hidden="1">
      <c r="A102" s="62" t="s">
        <v>218</v>
      </c>
      <c r="B102" s="63" t="s">
        <v>14</v>
      </c>
      <c r="C102" s="63" t="s">
        <v>14</v>
      </c>
      <c r="D102" s="61" t="s">
        <v>216</v>
      </c>
      <c r="E102" s="61" t="s">
        <v>14</v>
      </c>
      <c r="F102" s="61"/>
      <c r="G102" s="61"/>
      <c r="H102" s="61"/>
      <c r="I102" s="61"/>
      <c r="J102" s="62" t="s">
        <v>219</v>
      </c>
    </row>
    <row r="103" spans="1:10" s="17" customFormat="1">
      <c r="A103" s="62" t="s">
        <v>220</v>
      </c>
      <c r="B103" s="63" t="s">
        <v>11</v>
      </c>
      <c r="C103" s="63" t="s">
        <v>11</v>
      </c>
      <c r="D103" s="61"/>
      <c r="E103" s="61"/>
      <c r="F103" s="61"/>
      <c r="G103" s="61"/>
      <c r="H103" s="61"/>
      <c r="I103" s="61"/>
      <c r="J103" s="62" t="s">
        <v>221</v>
      </c>
    </row>
    <row r="104" spans="1:10" s="17" customFormat="1">
      <c r="A104" s="62" t="s">
        <v>222</v>
      </c>
      <c r="B104" s="63" t="s">
        <v>11</v>
      </c>
      <c r="C104" s="63" t="s">
        <v>11</v>
      </c>
      <c r="D104" s="61"/>
      <c r="E104" s="61"/>
      <c r="F104" s="61"/>
      <c r="G104" s="61"/>
      <c r="H104" s="61"/>
      <c r="I104" s="61"/>
      <c r="J104" s="62" t="s">
        <v>223</v>
      </c>
    </row>
    <row r="105" spans="1:10" s="17" customFormat="1">
      <c r="A105" s="62" t="s">
        <v>224</v>
      </c>
      <c r="B105" s="63" t="s">
        <v>11</v>
      </c>
      <c r="C105" s="63" t="s">
        <v>11</v>
      </c>
      <c r="D105" s="61"/>
      <c r="E105" s="61"/>
      <c r="F105" s="61"/>
      <c r="G105" s="61"/>
      <c r="H105" s="61"/>
      <c r="I105" s="61"/>
      <c r="J105" s="62" t="s">
        <v>225</v>
      </c>
    </row>
    <row r="106" spans="1:10" s="17" customFormat="1">
      <c r="A106" s="62" t="s">
        <v>226</v>
      </c>
      <c r="B106" s="63" t="s">
        <v>11</v>
      </c>
      <c r="C106" s="63" t="s">
        <v>11</v>
      </c>
      <c r="D106" s="61" t="s">
        <v>227</v>
      </c>
      <c r="E106" s="61"/>
      <c r="F106" s="61"/>
      <c r="G106" s="61"/>
      <c r="H106" s="61"/>
      <c r="I106" s="61"/>
      <c r="J106" s="62" t="s">
        <v>228</v>
      </c>
    </row>
    <row r="107" spans="1:10" s="17" customFormat="1">
      <c r="A107" s="62" t="s">
        <v>229</v>
      </c>
      <c r="B107" s="63" t="s">
        <v>11</v>
      </c>
      <c r="C107" s="63" t="s">
        <v>11</v>
      </c>
      <c r="D107" s="61"/>
      <c r="E107" s="61"/>
      <c r="F107" s="61"/>
      <c r="G107" s="61"/>
      <c r="H107" s="61"/>
      <c r="I107" s="61"/>
      <c r="J107" s="62" t="s">
        <v>230</v>
      </c>
    </row>
    <row r="108" spans="1:10" s="17" customFormat="1">
      <c r="A108" s="62" t="s">
        <v>231</v>
      </c>
      <c r="B108" s="63" t="s">
        <v>11</v>
      </c>
      <c r="C108" s="63" t="s">
        <v>11</v>
      </c>
      <c r="D108" s="61"/>
      <c r="E108" s="61"/>
      <c r="F108" s="61"/>
      <c r="G108" s="61"/>
      <c r="H108" s="61"/>
      <c r="I108" s="61"/>
      <c r="J108" s="62" t="s">
        <v>230</v>
      </c>
    </row>
    <row r="109" spans="1:10" s="17" customFormat="1">
      <c r="A109" s="62" t="s">
        <v>232</v>
      </c>
      <c r="B109" s="63" t="s">
        <v>11</v>
      </c>
      <c r="C109" s="63" t="s">
        <v>14</v>
      </c>
      <c r="D109" s="61" t="s">
        <v>233</v>
      </c>
      <c r="E109" s="61" t="s">
        <v>14</v>
      </c>
      <c r="F109" s="61"/>
      <c r="G109" s="61"/>
      <c r="H109" s="61"/>
      <c r="I109" s="61"/>
      <c r="J109" s="62" t="s">
        <v>234</v>
      </c>
    </row>
    <row r="110" spans="1:10" s="17" customFormat="1">
      <c r="A110" s="62" t="s">
        <v>235</v>
      </c>
      <c r="B110" s="63" t="s">
        <v>11</v>
      </c>
      <c r="C110" s="63" t="s">
        <v>11</v>
      </c>
      <c r="D110" s="61"/>
      <c r="E110" s="61"/>
      <c r="F110" s="61"/>
      <c r="G110" s="61"/>
      <c r="H110" s="61"/>
      <c r="I110" s="61"/>
      <c r="J110" s="62" t="s">
        <v>236</v>
      </c>
    </row>
    <row r="111" spans="1:10" s="17" customFormat="1">
      <c r="A111" s="62" t="s">
        <v>237</v>
      </c>
      <c r="B111" s="63" t="s">
        <v>11</v>
      </c>
      <c r="C111" s="63" t="s">
        <v>14</v>
      </c>
      <c r="D111" s="61" t="s">
        <v>238</v>
      </c>
      <c r="E111" s="61" t="s">
        <v>14</v>
      </c>
      <c r="F111" s="61"/>
      <c r="G111" s="61"/>
      <c r="H111" s="61"/>
      <c r="I111" s="61"/>
      <c r="J111" s="62" t="s">
        <v>239</v>
      </c>
    </row>
    <row r="112" spans="1:10" s="17" customFormat="1">
      <c r="A112" s="62" t="s">
        <v>240</v>
      </c>
      <c r="B112" s="63" t="s">
        <v>11</v>
      </c>
      <c r="C112" s="63" t="s">
        <v>11</v>
      </c>
      <c r="D112" s="61"/>
      <c r="E112" s="61"/>
      <c r="F112" s="61"/>
      <c r="G112" s="61"/>
      <c r="H112" s="61"/>
      <c r="I112" s="61"/>
      <c r="J112" s="62" t="s">
        <v>241</v>
      </c>
    </row>
    <row r="113" spans="1:10" s="17" customFormat="1">
      <c r="A113" s="62" t="s">
        <v>242</v>
      </c>
      <c r="B113" s="63" t="s">
        <v>11</v>
      </c>
      <c r="C113" s="63" t="s">
        <v>14</v>
      </c>
      <c r="D113" s="61" t="s">
        <v>243</v>
      </c>
      <c r="E113" s="61" t="s">
        <v>14</v>
      </c>
      <c r="F113" s="61"/>
      <c r="G113" s="61"/>
      <c r="H113" s="61"/>
      <c r="I113" s="61"/>
      <c r="J113" s="62" t="s">
        <v>244</v>
      </c>
    </row>
    <row r="114" spans="1:10" s="17" customFormat="1">
      <c r="A114" s="62" t="s">
        <v>245</v>
      </c>
      <c r="B114" s="63" t="s">
        <v>11</v>
      </c>
      <c r="C114" s="63" t="s">
        <v>11</v>
      </c>
      <c r="D114" s="61"/>
      <c r="E114" s="61"/>
      <c r="F114" s="61"/>
      <c r="G114" s="61"/>
      <c r="H114" s="61"/>
      <c r="I114" s="61"/>
      <c r="J114" s="62" t="s">
        <v>246</v>
      </c>
    </row>
    <row r="115" spans="1:10" s="17" customFormat="1">
      <c r="A115" s="62" t="s">
        <v>247</v>
      </c>
      <c r="B115" s="63" t="s">
        <v>11</v>
      </c>
      <c r="C115" s="63" t="s">
        <v>11</v>
      </c>
      <c r="D115" s="61" t="s">
        <v>248</v>
      </c>
      <c r="E115" s="61"/>
      <c r="F115" s="61"/>
      <c r="G115" s="61"/>
      <c r="H115" s="61"/>
      <c r="I115" s="61"/>
      <c r="J115" s="62" t="s">
        <v>249</v>
      </c>
    </row>
    <row r="116" spans="1:10" s="17" customFormat="1">
      <c r="A116" s="62" t="s">
        <v>250</v>
      </c>
      <c r="B116" s="63" t="s">
        <v>11</v>
      </c>
      <c r="C116" s="63" t="s">
        <v>11</v>
      </c>
      <c r="D116" s="61"/>
      <c r="E116" s="61"/>
      <c r="F116" s="61"/>
      <c r="G116" s="61"/>
      <c r="H116" s="61"/>
      <c r="I116" s="61"/>
      <c r="J116" s="62" t="s">
        <v>251</v>
      </c>
    </row>
    <row r="117" spans="1:10" s="17" customFormat="1">
      <c r="A117" s="62" t="s">
        <v>252</v>
      </c>
      <c r="B117" s="63" t="s">
        <v>11</v>
      </c>
      <c r="C117" s="63" t="s">
        <v>11</v>
      </c>
      <c r="D117" s="61"/>
      <c r="E117" s="61"/>
      <c r="F117" s="61"/>
      <c r="G117" s="61"/>
      <c r="H117" s="61"/>
      <c r="I117" s="61"/>
      <c r="J117" s="62" t="s">
        <v>241</v>
      </c>
    </row>
    <row r="118" spans="1:10" s="17" customFormat="1">
      <c r="A118" s="62" t="s">
        <v>253</v>
      </c>
      <c r="B118" s="63" t="s">
        <v>11</v>
      </c>
      <c r="C118" s="63" t="s">
        <v>11</v>
      </c>
      <c r="D118" s="61"/>
      <c r="E118" s="61"/>
      <c r="F118" s="61"/>
      <c r="G118" s="61"/>
      <c r="H118" s="61"/>
      <c r="I118" s="61"/>
      <c r="J118" s="62" t="s">
        <v>254</v>
      </c>
    </row>
    <row r="119" spans="1:10" s="17" customFormat="1">
      <c r="A119" s="62" t="s">
        <v>255</v>
      </c>
      <c r="B119" s="63" t="s">
        <v>11</v>
      </c>
      <c r="C119" s="63" t="s">
        <v>11</v>
      </c>
      <c r="D119" s="61"/>
      <c r="E119" s="61"/>
      <c r="F119" s="61"/>
      <c r="G119" s="61"/>
      <c r="H119" s="61"/>
      <c r="I119" s="61"/>
      <c r="J119" s="62" t="s">
        <v>256</v>
      </c>
    </row>
    <row r="120" spans="1:10" s="17" customFormat="1">
      <c r="A120" s="62" t="s">
        <v>257</v>
      </c>
      <c r="B120" s="63" t="s">
        <v>11</v>
      </c>
      <c r="C120" s="63" t="s">
        <v>11</v>
      </c>
      <c r="D120" s="61"/>
      <c r="E120" s="61"/>
      <c r="F120" s="61"/>
      <c r="G120" s="61"/>
      <c r="H120" s="61"/>
      <c r="I120" s="61"/>
      <c r="J120" s="62" t="s">
        <v>258</v>
      </c>
    </row>
    <row r="121" spans="1:10" s="17" customFormat="1" hidden="1">
      <c r="A121" s="62" t="s">
        <v>259</v>
      </c>
      <c r="B121" s="63" t="s">
        <v>14</v>
      </c>
      <c r="C121" s="63" t="s">
        <v>14</v>
      </c>
      <c r="D121" s="61" t="s">
        <v>142</v>
      </c>
      <c r="E121" s="61" t="s">
        <v>14</v>
      </c>
      <c r="F121" s="61"/>
      <c r="G121" s="61"/>
      <c r="H121" s="61"/>
      <c r="I121" s="61"/>
      <c r="J121" s="62" t="s">
        <v>260</v>
      </c>
    </row>
    <row r="122" spans="1:10" s="17" customFormat="1">
      <c r="A122" s="62" t="s">
        <v>261</v>
      </c>
      <c r="B122" s="63" t="s">
        <v>11</v>
      </c>
      <c r="C122" s="63" t="s">
        <v>11</v>
      </c>
      <c r="D122" s="61"/>
      <c r="E122" s="61"/>
      <c r="F122" s="61"/>
      <c r="G122" s="61"/>
      <c r="H122" s="61"/>
      <c r="I122" s="61"/>
      <c r="J122" s="62" t="s">
        <v>262</v>
      </c>
    </row>
    <row r="123" spans="1:10" s="17" customFormat="1">
      <c r="A123" s="62" t="s">
        <v>263</v>
      </c>
      <c r="B123" s="63" t="s">
        <v>11</v>
      </c>
      <c r="C123" s="61" t="s">
        <v>11</v>
      </c>
      <c r="D123" s="61" t="s">
        <v>264</v>
      </c>
      <c r="E123" s="61"/>
      <c r="F123" s="61"/>
      <c r="G123" s="61"/>
      <c r="H123" s="61"/>
      <c r="I123" s="61"/>
      <c r="J123" s="62" t="s">
        <v>265</v>
      </c>
    </row>
    <row r="124" spans="1:10" s="17" customFormat="1">
      <c r="A124" s="62" t="s">
        <v>266</v>
      </c>
      <c r="B124" s="63" t="s">
        <v>11</v>
      </c>
      <c r="C124" s="63" t="s">
        <v>11</v>
      </c>
      <c r="D124" s="61" t="s">
        <v>267</v>
      </c>
      <c r="E124" s="61"/>
      <c r="F124" s="61"/>
      <c r="G124" s="61"/>
      <c r="H124" s="61"/>
      <c r="I124" s="61"/>
      <c r="J124" s="62" t="s">
        <v>268</v>
      </c>
    </row>
    <row r="125" spans="1:10" s="17" customFormat="1">
      <c r="A125" s="62" t="s">
        <v>269</v>
      </c>
      <c r="B125" s="63" t="s">
        <v>11</v>
      </c>
      <c r="C125" s="63" t="s">
        <v>14</v>
      </c>
      <c r="D125" s="61" t="s">
        <v>270</v>
      </c>
      <c r="E125" s="61" t="s">
        <v>14</v>
      </c>
      <c r="F125" s="61"/>
      <c r="G125" s="61"/>
      <c r="H125" s="61"/>
      <c r="I125" s="61"/>
      <c r="J125" s="62" t="s">
        <v>271</v>
      </c>
    </row>
    <row r="126" spans="1:10" s="17" customFormat="1" hidden="1">
      <c r="A126" s="62" t="s">
        <v>272</v>
      </c>
      <c r="B126" s="63" t="s">
        <v>14</v>
      </c>
      <c r="C126" s="63" t="s">
        <v>14</v>
      </c>
      <c r="D126" s="61" t="s">
        <v>273</v>
      </c>
      <c r="E126" s="61" t="s">
        <v>14</v>
      </c>
      <c r="F126" s="61"/>
      <c r="G126" s="61"/>
      <c r="H126" s="61"/>
      <c r="I126" s="61"/>
      <c r="J126" s="62" t="s">
        <v>274</v>
      </c>
    </row>
    <row r="127" spans="1:10" s="17" customFormat="1">
      <c r="A127" s="62" t="s">
        <v>275</v>
      </c>
      <c r="B127" s="63" t="s">
        <v>11</v>
      </c>
      <c r="C127" s="63" t="s">
        <v>11</v>
      </c>
      <c r="D127" s="61"/>
      <c r="E127" s="61"/>
      <c r="F127" s="61"/>
      <c r="G127" s="61"/>
      <c r="H127" s="61"/>
      <c r="I127" s="61"/>
      <c r="J127" s="62" t="s">
        <v>276</v>
      </c>
    </row>
    <row r="128" spans="1:10" s="17" customFormat="1">
      <c r="A128" s="62" t="s">
        <v>277</v>
      </c>
      <c r="B128" s="63" t="s">
        <v>11</v>
      </c>
      <c r="C128" s="63" t="s">
        <v>11</v>
      </c>
      <c r="D128" s="61"/>
      <c r="E128" s="61"/>
      <c r="F128" s="61"/>
      <c r="G128" s="61"/>
      <c r="H128" s="61"/>
      <c r="I128" s="61"/>
      <c r="J128" s="62"/>
    </row>
    <row r="129" spans="1:10" s="17" customFormat="1">
      <c r="A129" s="62" t="s">
        <v>278</v>
      </c>
      <c r="B129" s="63" t="s">
        <v>11</v>
      </c>
      <c r="C129" s="63" t="s">
        <v>11</v>
      </c>
      <c r="D129" s="61"/>
      <c r="E129" s="61"/>
      <c r="F129" s="61"/>
      <c r="G129" s="61"/>
      <c r="H129" s="61"/>
      <c r="I129" s="61"/>
      <c r="J129" s="62" t="s">
        <v>279</v>
      </c>
    </row>
    <row r="130" spans="1:10" s="17" customFormat="1">
      <c r="A130" s="62" t="s">
        <v>280</v>
      </c>
      <c r="B130" s="63" t="s">
        <v>11</v>
      </c>
      <c r="C130" s="63" t="s">
        <v>11</v>
      </c>
      <c r="D130" s="61"/>
      <c r="E130" s="61"/>
      <c r="F130" s="61"/>
      <c r="G130" s="61"/>
      <c r="H130" s="61"/>
      <c r="I130" s="61"/>
      <c r="J130" s="62" t="s">
        <v>281</v>
      </c>
    </row>
    <row r="131" spans="1:10" s="17" customFormat="1">
      <c r="A131" s="62" t="s">
        <v>282</v>
      </c>
      <c r="B131" s="63" t="s">
        <v>11</v>
      </c>
      <c r="C131" s="63" t="s">
        <v>11</v>
      </c>
      <c r="D131" s="61" t="s">
        <v>283</v>
      </c>
      <c r="E131" s="61"/>
      <c r="F131" s="61"/>
      <c r="G131" s="61"/>
      <c r="H131" s="61"/>
      <c r="I131" s="61"/>
      <c r="J131" s="62" t="s">
        <v>284</v>
      </c>
    </row>
    <row r="132" spans="1:10" s="17" customFormat="1">
      <c r="A132" s="62" t="s">
        <v>285</v>
      </c>
      <c r="B132" s="63" t="s">
        <v>11</v>
      </c>
      <c r="C132" s="63" t="s">
        <v>11</v>
      </c>
      <c r="D132" s="61"/>
      <c r="E132" s="61"/>
      <c r="F132" s="61"/>
      <c r="G132" s="61"/>
      <c r="H132" s="61"/>
      <c r="I132" s="61"/>
      <c r="J132" s="62" t="s">
        <v>286</v>
      </c>
    </row>
    <row r="133" spans="1:10" s="17" customFormat="1">
      <c r="A133" s="62" t="s">
        <v>287</v>
      </c>
      <c r="B133" s="63" t="s">
        <v>11</v>
      </c>
      <c r="C133" s="63" t="s">
        <v>11</v>
      </c>
      <c r="D133" s="61"/>
      <c r="E133" s="61"/>
      <c r="F133" s="61"/>
      <c r="G133" s="61"/>
      <c r="H133" s="61"/>
      <c r="I133" s="61"/>
      <c r="J133" s="62" t="s">
        <v>288</v>
      </c>
    </row>
    <row r="134" spans="1:10" s="17" customFormat="1">
      <c r="A134" s="62" t="s">
        <v>289</v>
      </c>
      <c r="B134" s="63" t="s">
        <v>11</v>
      </c>
      <c r="C134" s="63" t="s">
        <v>11</v>
      </c>
      <c r="D134" s="61"/>
      <c r="E134" s="61"/>
      <c r="F134" s="61"/>
      <c r="G134" s="61"/>
      <c r="H134" s="61"/>
      <c r="I134" s="61"/>
      <c r="J134" s="62" t="s">
        <v>290</v>
      </c>
    </row>
    <row r="135" spans="1:10" s="17" customFormat="1">
      <c r="A135" s="62" t="s">
        <v>291</v>
      </c>
      <c r="B135" s="63" t="s">
        <v>11</v>
      </c>
      <c r="C135" s="63" t="s">
        <v>11</v>
      </c>
      <c r="D135" s="61"/>
      <c r="E135" s="61"/>
      <c r="F135" s="61"/>
      <c r="G135" s="61"/>
      <c r="H135" s="61"/>
      <c r="I135" s="61"/>
      <c r="J135" s="62" t="s">
        <v>292</v>
      </c>
    </row>
    <row r="136" spans="1:10" s="17" customFormat="1">
      <c r="A136" s="62" t="s">
        <v>293</v>
      </c>
      <c r="B136" s="63" t="s">
        <v>11</v>
      </c>
      <c r="C136" s="61" t="s">
        <v>11</v>
      </c>
      <c r="D136" s="61"/>
      <c r="E136" s="61"/>
      <c r="F136" s="61"/>
      <c r="G136" s="61"/>
      <c r="H136" s="61"/>
      <c r="I136" s="61"/>
      <c r="J136" s="62" t="s">
        <v>294</v>
      </c>
    </row>
    <row r="137" spans="1:10" s="17" customFormat="1">
      <c r="A137" s="62" t="s">
        <v>295</v>
      </c>
      <c r="B137" s="63" t="s">
        <v>11</v>
      </c>
      <c r="C137" s="63" t="s">
        <v>11</v>
      </c>
      <c r="D137" s="61"/>
      <c r="E137" s="61"/>
      <c r="F137" s="61"/>
      <c r="G137" s="61"/>
      <c r="H137" s="61"/>
      <c r="I137" s="61"/>
      <c r="J137" s="62" t="s">
        <v>296</v>
      </c>
    </row>
    <row r="138" spans="1:10" s="17" customFormat="1">
      <c r="A138" s="62" t="s">
        <v>297</v>
      </c>
      <c r="B138" s="63" t="s">
        <v>11</v>
      </c>
      <c r="C138" s="63" t="s">
        <v>11</v>
      </c>
      <c r="D138" s="61"/>
      <c r="E138" s="61"/>
      <c r="F138" s="61"/>
      <c r="G138" s="61"/>
      <c r="H138" s="61"/>
      <c r="I138" s="61"/>
      <c r="J138" s="62" t="s">
        <v>298</v>
      </c>
    </row>
    <row r="139" spans="1:10" s="17" customFormat="1">
      <c r="A139" s="62" t="s">
        <v>299</v>
      </c>
      <c r="B139" s="63" t="s">
        <v>11</v>
      </c>
      <c r="C139" s="61" t="s">
        <v>11</v>
      </c>
      <c r="D139" s="61" t="s">
        <v>300</v>
      </c>
      <c r="E139" s="61"/>
      <c r="F139" s="61"/>
      <c r="G139" s="61"/>
      <c r="H139" s="61"/>
      <c r="I139" s="61"/>
      <c r="J139" s="62" t="s">
        <v>301</v>
      </c>
    </row>
    <row r="140" spans="1:10" s="17" customFormat="1">
      <c r="A140" s="62" t="s">
        <v>302</v>
      </c>
      <c r="B140" s="63" t="s">
        <v>11</v>
      </c>
      <c r="C140" s="63" t="s">
        <v>14</v>
      </c>
      <c r="D140" s="61" t="s">
        <v>303</v>
      </c>
      <c r="E140" s="61" t="s">
        <v>14</v>
      </c>
      <c r="F140" s="61"/>
      <c r="G140" s="61"/>
      <c r="H140" s="61"/>
      <c r="I140" s="61"/>
      <c r="J140" s="62" t="s">
        <v>304</v>
      </c>
    </row>
    <row r="141" spans="1:10" s="17" customFormat="1">
      <c r="A141" s="62" t="s">
        <v>305</v>
      </c>
      <c r="B141" s="63" t="s">
        <v>11</v>
      </c>
      <c r="C141" s="63" t="s">
        <v>11</v>
      </c>
      <c r="D141" s="61" t="s">
        <v>283</v>
      </c>
      <c r="E141" s="61"/>
      <c r="F141" s="61"/>
      <c r="G141" s="61"/>
      <c r="H141" s="61"/>
      <c r="I141" s="61"/>
      <c r="J141" s="62" t="s">
        <v>306</v>
      </c>
    </row>
    <row r="142" spans="1:10" s="17" customFormat="1">
      <c r="A142" s="62" t="s">
        <v>307</v>
      </c>
      <c r="B142" s="63" t="s">
        <v>11</v>
      </c>
      <c r="C142" s="63" t="s">
        <v>11</v>
      </c>
      <c r="D142" s="61"/>
      <c r="E142" s="61"/>
      <c r="F142" s="61"/>
      <c r="G142" s="61"/>
      <c r="H142" s="61"/>
      <c r="I142" s="61"/>
      <c r="J142" s="62" t="s">
        <v>308</v>
      </c>
    </row>
    <row r="143" spans="1:10" s="17" customFormat="1">
      <c r="A143" s="62" t="s">
        <v>309</v>
      </c>
      <c r="B143" s="63" t="s">
        <v>11</v>
      </c>
      <c r="C143" s="61" t="s">
        <v>11</v>
      </c>
      <c r="D143" s="61" t="s">
        <v>310</v>
      </c>
      <c r="E143" s="61"/>
      <c r="F143" s="61"/>
      <c r="G143" s="61"/>
      <c r="H143" s="61"/>
      <c r="I143" s="61"/>
      <c r="J143" s="62" t="s">
        <v>311</v>
      </c>
    </row>
    <row r="144" spans="1:10" s="17" customFormat="1" hidden="1">
      <c r="A144" s="62" t="s">
        <v>312</v>
      </c>
      <c r="B144" s="63" t="s">
        <v>14</v>
      </c>
      <c r="C144" s="63" t="s">
        <v>14</v>
      </c>
      <c r="D144" s="61" t="s">
        <v>313</v>
      </c>
      <c r="E144" s="61" t="s">
        <v>14</v>
      </c>
      <c r="F144" s="61"/>
      <c r="G144" s="61"/>
      <c r="H144" s="61"/>
      <c r="I144" s="61"/>
      <c r="J144" s="62" t="s">
        <v>314</v>
      </c>
    </row>
    <row r="145" spans="1:10" s="17" customFormat="1" hidden="1">
      <c r="A145" s="62" t="s">
        <v>315</v>
      </c>
      <c r="B145" s="63" t="s">
        <v>14</v>
      </c>
      <c r="C145" s="63" t="s">
        <v>14</v>
      </c>
      <c r="D145" s="61" t="s">
        <v>316</v>
      </c>
      <c r="E145" s="61" t="s">
        <v>14</v>
      </c>
      <c r="F145" s="61"/>
      <c r="G145" s="61"/>
      <c r="H145" s="61"/>
      <c r="I145" s="61"/>
      <c r="J145" s="62" t="s">
        <v>317</v>
      </c>
    </row>
    <row r="146" spans="1:10" s="17" customFormat="1" hidden="1">
      <c r="A146" s="62" t="s">
        <v>318</v>
      </c>
      <c r="B146" s="63" t="s">
        <v>14</v>
      </c>
      <c r="C146" s="63" t="s">
        <v>14</v>
      </c>
      <c r="D146" s="61" t="s">
        <v>316</v>
      </c>
      <c r="E146" s="61" t="s">
        <v>14</v>
      </c>
      <c r="F146" s="61"/>
      <c r="G146" s="61"/>
      <c r="H146" s="61"/>
      <c r="I146" s="61"/>
      <c r="J146" s="62" t="s">
        <v>319</v>
      </c>
    </row>
    <row r="147" spans="1:10" s="17" customFormat="1" hidden="1">
      <c r="A147" s="62" t="s">
        <v>320</v>
      </c>
      <c r="B147" s="63" t="s">
        <v>14</v>
      </c>
      <c r="C147" s="63" t="s">
        <v>14</v>
      </c>
      <c r="D147" s="61" t="s">
        <v>316</v>
      </c>
      <c r="E147" s="61" t="s">
        <v>14</v>
      </c>
      <c r="F147" s="61"/>
      <c r="G147" s="61"/>
      <c r="H147" s="61"/>
      <c r="I147" s="61"/>
      <c r="J147" s="62" t="s">
        <v>321</v>
      </c>
    </row>
    <row r="148" spans="1:10" s="17" customFormat="1">
      <c r="A148" s="62" t="s">
        <v>322</v>
      </c>
      <c r="B148" s="63" t="s">
        <v>11</v>
      </c>
      <c r="C148" s="63" t="s">
        <v>11</v>
      </c>
      <c r="D148" s="61"/>
      <c r="E148" s="61"/>
      <c r="F148" s="61"/>
      <c r="G148" s="61"/>
      <c r="H148" s="61"/>
      <c r="I148" s="61"/>
      <c r="J148" s="62" t="s">
        <v>323</v>
      </c>
    </row>
    <row r="149" spans="1:10" s="17" customFormat="1">
      <c r="A149" s="62" t="s">
        <v>324</v>
      </c>
      <c r="B149" s="63" t="s">
        <v>11</v>
      </c>
      <c r="C149" s="61" t="s">
        <v>85</v>
      </c>
      <c r="D149" s="61"/>
      <c r="E149" s="61"/>
      <c r="F149" s="61" t="s">
        <v>86</v>
      </c>
      <c r="G149" s="61" t="s">
        <v>86</v>
      </c>
      <c r="I149" s="61" t="s">
        <v>325</v>
      </c>
      <c r="J149" s="17" t="s">
        <v>326</v>
      </c>
    </row>
    <row r="150" spans="1:10" s="17" customFormat="1">
      <c r="A150" s="62" t="s">
        <v>327</v>
      </c>
      <c r="B150" s="63" t="s">
        <v>11</v>
      </c>
      <c r="C150" s="61" t="s">
        <v>14</v>
      </c>
      <c r="D150" s="61" t="s">
        <v>328</v>
      </c>
      <c r="E150" s="61"/>
      <c r="F150" s="61" t="s">
        <v>11</v>
      </c>
      <c r="G150" s="61" t="s">
        <v>14</v>
      </c>
      <c r="H150" s="61"/>
      <c r="I150" s="61"/>
      <c r="J150" s="62" t="s">
        <v>329</v>
      </c>
    </row>
    <row r="151" spans="1:10" s="17" customFormat="1">
      <c r="A151" s="62" t="s">
        <v>330</v>
      </c>
      <c r="B151" s="63" t="s">
        <v>11</v>
      </c>
      <c r="C151" s="61" t="s">
        <v>14</v>
      </c>
      <c r="D151" s="61" t="s">
        <v>328</v>
      </c>
      <c r="E151" s="61"/>
      <c r="F151" s="61" t="s">
        <v>11</v>
      </c>
      <c r="G151" s="61" t="s">
        <v>14</v>
      </c>
      <c r="H151" s="61"/>
      <c r="I151" s="61"/>
      <c r="J151" s="62" t="s">
        <v>331</v>
      </c>
    </row>
    <row r="152" spans="1:10" s="17" customFormat="1">
      <c r="A152" s="62" t="s">
        <v>332</v>
      </c>
      <c r="B152" s="63" t="s">
        <v>11</v>
      </c>
      <c r="C152" s="61" t="s">
        <v>14</v>
      </c>
      <c r="D152" s="61" t="s">
        <v>333</v>
      </c>
      <c r="E152" s="61"/>
      <c r="F152" s="61" t="s">
        <v>11</v>
      </c>
      <c r="G152" s="61" t="s">
        <v>14</v>
      </c>
      <c r="H152" s="61"/>
      <c r="I152" s="61"/>
      <c r="J152" s="62" t="s">
        <v>334</v>
      </c>
    </row>
    <row r="153" spans="1:10" s="17" customFormat="1">
      <c r="A153" s="62" t="s">
        <v>335</v>
      </c>
      <c r="B153" s="63" t="s">
        <v>11</v>
      </c>
      <c r="C153" s="61" t="s">
        <v>14</v>
      </c>
      <c r="D153" s="61"/>
      <c r="E153" s="61"/>
      <c r="F153" s="61" t="s">
        <v>11</v>
      </c>
      <c r="G153" s="61" t="s">
        <v>14</v>
      </c>
      <c r="H153" s="61"/>
      <c r="I153" s="61"/>
      <c r="J153" s="62" t="s">
        <v>336</v>
      </c>
    </row>
    <row r="154" spans="1:10" s="17" customFormat="1">
      <c r="A154" s="62" t="s">
        <v>337</v>
      </c>
      <c r="B154" s="63" t="s">
        <v>11</v>
      </c>
      <c r="C154" s="63" t="s">
        <v>11</v>
      </c>
      <c r="D154" s="61"/>
      <c r="E154" s="61"/>
      <c r="F154" s="61"/>
      <c r="G154" s="61"/>
      <c r="H154" s="61"/>
      <c r="I154" s="61"/>
      <c r="J154" s="62" t="s">
        <v>338</v>
      </c>
    </row>
    <row r="155" spans="1:10" s="17" customFormat="1">
      <c r="A155" s="62" t="s">
        <v>339</v>
      </c>
      <c r="B155" s="63" t="s">
        <v>11</v>
      </c>
      <c r="C155" s="63" t="s">
        <v>11</v>
      </c>
      <c r="D155" s="61"/>
      <c r="E155" s="61"/>
      <c r="F155" s="61"/>
      <c r="G155" s="61"/>
      <c r="H155" s="61"/>
      <c r="I155" s="61"/>
      <c r="J155" s="62" t="s">
        <v>340</v>
      </c>
    </row>
    <row r="156" spans="1:10" s="17" customFormat="1">
      <c r="A156" s="62" t="s">
        <v>341</v>
      </c>
      <c r="B156" s="63" t="s">
        <v>11</v>
      </c>
      <c r="C156" s="63" t="s">
        <v>11</v>
      </c>
      <c r="D156" s="61"/>
      <c r="E156" s="61"/>
      <c r="F156" s="61"/>
      <c r="G156" s="61"/>
      <c r="H156" s="61"/>
      <c r="I156" s="61"/>
      <c r="J156" s="62" t="s">
        <v>342</v>
      </c>
    </row>
    <row r="157" spans="1:10" s="17" customFormat="1" hidden="1">
      <c r="A157" s="62" t="s">
        <v>343</v>
      </c>
      <c r="B157" s="63" t="s">
        <v>14</v>
      </c>
      <c r="C157" s="63" t="s">
        <v>14</v>
      </c>
      <c r="D157" s="61"/>
      <c r="E157" s="61" t="s">
        <v>14</v>
      </c>
      <c r="F157" s="61"/>
      <c r="G157" s="61"/>
      <c r="H157" s="61"/>
      <c r="I157" s="61"/>
      <c r="J157" s="62" t="s">
        <v>344</v>
      </c>
    </row>
    <row r="158" spans="1:10" s="17" customFormat="1">
      <c r="A158" s="62" t="s">
        <v>345</v>
      </c>
      <c r="B158" s="63" t="s">
        <v>11</v>
      </c>
      <c r="C158" s="61" t="s">
        <v>14</v>
      </c>
      <c r="D158" s="61" t="s">
        <v>346</v>
      </c>
      <c r="E158" s="61"/>
      <c r="F158" s="61" t="s">
        <v>11</v>
      </c>
      <c r="G158" s="61" t="s">
        <v>14</v>
      </c>
      <c r="H158" s="61"/>
      <c r="I158" s="61"/>
      <c r="J158" s="62" t="s">
        <v>347</v>
      </c>
    </row>
    <row r="159" spans="1:10" s="17" customFormat="1">
      <c r="A159" s="62" t="s">
        <v>348</v>
      </c>
      <c r="B159" s="63" t="s">
        <v>11</v>
      </c>
      <c r="C159" s="63" t="s">
        <v>14</v>
      </c>
      <c r="D159" s="61" t="s">
        <v>349</v>
      </c>
      <c r="E159" s="61" t="s">
        <v>14</v>
      </c>
      <c r="F159" s="61"/>
      <c r="G159" s="61"/>
      <c r="H159" s="61"/>
      <c r="I159" s="61"/>
      <c r="J159" s="62" t="s">
        <v>350</v>
      </c>
    </row>
    <row r="160" spans="1:10" s="17" customFormat="1">
      <c r="A160" s="62" t="s">
        <v>351</v>
      </c>
      <c r="B160" s="63" t="s">
        <v>11</v>
      </c>
      <c r="C160" s="63" t="s">
        <v>14</v>
      </c>
      <c r="D160" s="61" t="s">
        <v>349</v>
      </c>
      <c r="E160" s="61" t="s">
        <v>14</v>
      </c>
      <c r="F160" s="61"/>
      <c r="G160" s="61"/>
      <c r="H160" s="61"/>
      <c r="I160" s="61"/>
      <c r="J160" s="62" t="s">
        <v>352</v>
      </c>
    </row>
    <row r="161" spans="1:10" s="17" customFormat="1">
      <c r="A161" s="62" t="s">
        <v>353</v>
      </c>
      <c r="B161" s="63" t="s">
        <v>11</v>
      </c>
      <c r="C161" s="63" t="s">
        <v>14</v>
      </c>
      <c r="D161" s="61" t="s">
        <v>349</v>
      </c>
      <c r="E161" s="61" t="s">
        <v>14</v>
      </c>
      <c r="F161" s="61"/>
      <c r="G161" s="61"/>
      <c r="H161" s="61"/>
      <c r="I161" s="61"/>
      <c r="J161" s="62" t="s">
        <v>354</v>
      </c>
    </row>
    <row r="162" spans="1:10" s="17" customFormat="1" hidden="1">
      <c r="A162" s="62" t="s">
        <v>355</v>
      </c>
      <c r="B162" s="63" t="s">
        <v>14</v>
      </c>
      <c r="C162" s="63" t="s">
        <v>14</v>
      </c>
      <c r="D162" s="61" t="s">
        <v>356</v>
      </c>
      <c r="E162" s="61" t="s">
        <v>14</v>
      </c>
      <c r="F162" s="61"/>
      <c r="G162" s="61"/>
      <c r="H162" s="61"/>
      <c r="I162" s="61"/>
      <c r="J162" s="62" t="s">
        <v>357</v>
      </c>
    </row>
    <row r="163" spans="1:10" s="17" customFormat="1">
      <c r="A163" s="62" t="s">
        <v>358</v>
      </c>
      <c r="B163" s="63" t="s">
        <v>11</v>
      </c>
      <c r="C163" s="63" t="s">
        <v>14</v>
      </c>
      <c r="D163" s="61" t="s">
        <v>359</v>
      </c>
      <c r="E163" s="61" t="s">
        <v>14</v>
      </c>
      <c r="F163" s="61"/>
      <c r="G163" s="61"/>
      <c r="H163" s="61"/>
      <c r="I163" s="61"/>
      <c r="J163" s="62" t="s">
        <v>360</v>
      </c>
    </row>
    <row r="164" spans="1:10" s="17" customFormat="1" hidden="1">
      <c r="A164" s="62" t="s">
        <v>361</v>
      </c>
      <c r="B164" s="63" t="s">
        <v>14</v>
      </c>
      <c r="C164" s="63" t="s">
        <v>14</v>
      </c>
      <c r="D164" s="61" t="s">
        <v>359</v>
      </c>
      <c r="E164" s="61" t="s">
        <v>14</v>
      </c>
      <c r="F164" s="61"/>
      <c r="G164" s="61"/>
      <c r="H164" s="61"/>
      <c r="I164" s="61"/>
      <c r="J164" s="62" t="s">
        <v>362</v>
      </c>
    </row>
    <row r="165" spans="1:10" s="17" customFormat="1" hidden="1">
      <c r="A165" s="62" t="s">
        <v>363</v>
      </c>
      <c r="B165" s="63" t="s">
        <v>14</v>
      </c>
      <c r="C165" s="63" t="s">
        <v>14</v>
      </c>
      <c r="D165" s="61" t="s">
        <v>356</v>
      </c>
      <c r="E165" s="61" t="s">
        <v>14</v>
      </c>
      <c r="F165" s="61"/>
      <c r="G165" s="61"/>
      <c r="H165" s="61"/>
      <c r="I165" s="61"/>
      <c r="J165" s="62" t="s">
        <v>364</v>
      </c>
    </row>
    <row r="166" spans="1:10" s="17" customFormat="1" hidden="1">
      <c r="A166" s="62" t="s">
        <v>365</v>
      </c>
      <c r="B166" s="63" t="s">
        <v>14</v>
      </c>
      <c r="C166" s="63" t="s">
        <v>14</v>
      </c>
      <c r="D166" s="61" t="s">
        <v>356</v>
      </c>
      <c r="E166" s="61" t="s">
        <v>14</v>
      </c>
      <c r="F166" s="61"/>
      <c r="G166" s="61"/>
      <c r="H166" s="61"/>
      <c r="I166" s="61"/>
      <c r="J166" s="62" t="s">
        <v>366</v>
      </c>
    </row>
    <row r="167" spans="1:10" s="17" customFormat="1" hidden="1">
      <c r="A167" s="62" t="s">
        <v>367</v>
      </c>
      <c r="B167" s="63" t="s">
        <v>14</v>
      </c>
      <c r="C167" s="63" t="s">
        <v>14</v>
      </c>
      <c r="D167" s="61" t="s">
        <v>356</v>
      </c>
      <c r="E167" s="61" t="s">
        <v>14</v>
      </c>
      <c r="F167" s="61"/>
      <c r="G167" s="61"/>
      <c r="H167" s="61"/>
      <c r="I167" s="61"/>
      <c r="J167" s="62" t="s">
        <v>368</v>
      </c>
    </row>
    <row r="168" spans="1:10" s="17" customFormat="1" hidden="1">
      <c r="A168" s="62" t="s">
        <v>369</v>
      </c>
      <c r="B168" s="63" t="s">
        <v>14</v>
      </c>
      <c r="C168" s="63" t="s">
        <v>14</v>
      </c>
      <c r="D168" s="61" t="s">
        <v>356</v>
      </c>
      <c r="E168" s="61" t="s">
        <v>14</v>
      </c>
      <c r="F168" s="61"/>
      <c r="G168" s="61"/>
      <c r="H168" s="61"/>
      <c r="I168" s="61"/>
      <c r="J168" s="62" t="s">
        <v>370</v>
      </c>
    </row>
    <row r="169" spans="1:10" s="17" customFormat="1">
      <c r="A169" s="62" t="s">
        <v>371</v>
      </c>
      <c r="B169" s="63" t="s">
        <v>11</v>
      </c>
      <c r="C169" s="61" t="s">
        <v>11</v>
      </c>
      <c r="D169" s="61" t="s">
        <v>356</v>
      </c>
      <c r="E169" s="61"/>
      <c r="F169" s="61"/>
      <c r="G169" s="61"/>
      <c r="H169" s="61"/>
      <c r="I169" s="61"/>
      <c r="J169" s="62" t="s">
        <v>372</v>
      </c>
    </row>
    <row r="170" spans="1:10" s="17" customFormat="1" hidden="1">
      <c r="A170" s="62" t="s">
        <v>373</v>
      </c>
      <c r="B170" s="63" t="s">
        <v>14</v>
      </c>
      <c r="C170" s="63" t="s">
        <v>14</v>
      </c>
      <c r="D170" s="61" t="s">
        <v>374</v>
      </c>
      <c r="E170" s="61" t="s">
        <v>14</v>
      </c>
      <c r="F170" s="61"/>
      <c r="G170" s="61"/>
      <c r="H170" s="61"/>
      <c r="I170" s="61"/>
      <c r="J170" s="62" t="s">
        <v>375</v>
      </c>
    </row>
    <row r="171" spans="1:10" s="17" customFormat="1" hidden="1">
      <c r="A171" s="62" t="s">
        <v>376</v>
      </c>
      <c r="B171" s="63" t="s">
        <v>14</v>
      </c>
      <c r="C171" s="63" t="s">
        <v>14</v>
      </c>
      <c r="D171" s="61" t="s">
        <v>374</v>
      </c>
      <c r="E171" s="61" t="s">
        <v>14</v>
      </c>
      <c r="F171" s="61"/>
      <c r="G171" s="61"/>
      <c r="H171" s="61"/>
      <c r="I171" s="61"/>
      <c r="J171" s="62" t="s">
        <v>377</v>
      </c>
    </row>
    <row r="172" spans="1:10" s="17" customFormat="1" hidden="1">
      <c r="A172" s="62" t="s">
        <v>378</v>
      </c>
      <c r="B172" s="63" t="s">
        <v>14</v>
      </c>
      <c r="C172" s="63" t="s">
        <v>14</v>
      </c>
      <c r="D172" s="61" t="s">
        <v>374</v>
      </c>
      <c r="E172" s="61" t="s">
        <v>14</v>
      </c>
      <c r="F172" s="61"/>
      <c r="G172" s="61"/>
      <c r="H172" s="61"/>
      <c r="I172" s="61"/>
      <c r="J172" s="62" t="s">
        <v>379</v>
      </c>
    </row>
    <row r="173" spans="1:10" s="17" customFormat="1" hidden="1">
      <c r="A173" s="62" t="s">
        <v>380</v>
      </c>
      <c r="B173" s="63" t="s">
        <v>14</v>
      </c>
      <c r="C173" s="63" t="s">
        <v>14</v>
      </c>
      <c r="D173" s="61" t="s">
        <v>374</v>
      </c>
      <c r="E173" s="61" t="s">
        <v>14</v>
      </c>
      <c r="F173" s="61"/>
      <c r="G173" s="61"/>
      <c r="H173" s="61"/>
      <c r="I173" s="61"/>
      <c r="J173" s="62" t="s">
        <v>379</v>
      </c>
    </row>
    <row r="174" spans="1:10" s="17" customFormat="1" hidden="1">
      <c r="A174" s="62" t="s">
        <v>381</v>
      </c>
      <c r="B174" s="63" t="s">
        <v>14</v>
      </c>
      <c r="C174" s="63" t="s">
        <v>14</v>
      </c>
      <c r="D174" s="61" t="s">
        <v>374</v>
      </c>
      <c r="E174" s="61" t="s">
        <v>14</v>
      </c>
      <c r="F174" s="61"/>
      <c r="G174" s="61"/>
      <c r="H174" s="61"/>
      <c r="I174" s="61"/>
      <c r="J174" s="62" t="s">
        <v>382</v>
      </c>
    </row>
    <row r="175" spans="1:10" s="17" customFormat="1" hidden="1">
      <c r="A175" s="62" t="s">
        <v>383</v>
      </c>
      <c r="B175" s="63" t="s">
        <v>14</v>
      </c>
      <c r="C175" s="63" t="s">
        <v>14</v>
      </c>
      <c r="D175" s="61" t="s">
        <v>374</v>
      </c>
      <c r="E175" s="61" t="s">
        <v>14</v>
      </c>
      <c r="F175" s="61"/>
      <c r="G175" s="61"/>
      <c r="H175" s="61"/>
      <c r="I175" s="61"/>
      <c r="J175" s="62" t="s">
        <v>384</v>
      </c>
    </row>
    <row r="176" spans="1:10" s="17" customFormat="1" hidden="1">
      <c r="A176" s="62" t="s">
        <v>385</v>
      </c>
      <c r="B176" s="63" t="s">
        <v>14</v>
      </c>
      <c r="C176" s="63" t="s">
        <v>14</v>
      </c>
      <c r="D176" s="61" t="s">
        <v>374</v>
      </c>
      <c r="E176" s="61" t="s">
        <v>14</v>
      </c>
      <c r="F176" s="61"/>
      <c r="G176" s="61"/>
      <c r="H176" s="61"/>
      <c r="I176" s="61"/>
      <c r="J176" s="62" t="s">
        <v>386</v>
      </c>
    </row>
    <row r="177" spans="1:10" s="17" customFormat="1">
      <c r="A177" s="62" t="s">
        <v>387</v>
      </c>
      <c r="B177" s="63" t="s">
        <v>11</v>
      </c>
      <c r="C177" s="63" t="s">
        <v>11</v>
      </c>
      <c r="D177" s="61"/>
      <c r="E177" s="61"/>
      <c r="F177" s="61"/>
      <c r="G177" s="61"/>
      <c r="H177" s="61"/>
      <c r="I177" s="61"/>
      <c r="J177" s="62" t="s">
        <v>388</v>
      </c>
    </row>
    <row r="178" spans="1:10" s="17" customFormat="1">
      <c r="A178" s="62" t="s">
        <v>389</v>
      </c>
      <c r="B178" s="63" t="s">
        <v>11</v>
      </c>
      <c r="C178" s="63" t="s">
        <v>11</v>
      </c>
      <c r="D178" s="61"/>
      <c r="E178" s="61"/>
      <c r="F178" s="61"/>
      <c r="G178" s="61"/>
      <c r="H178" s="61"/>
      <c r="I178" s="61"/>
      <c r="J178" s="62" t="s">
        <v>390</v>
      </c>
    </row>
    <row r="179" spans="1:10" s="17" customFormat="1">
      <c r="A179" s="62" t="s">
        <v>391</v>
      </c>
      <c r="B179" s="63" t="s">
        <v>11</v>
      </c>
      <c r="C179" s="63" t="s">
        <v>11</v>
      </c>
      <c r="D179" s="61"/>
      <c r="E179" s="61"/>
      <c r="F179" s="61"/>
      <c r="G179" s="61"/>
      <c r="H179" s="61"/>
      <c r="I179" s="61"/>
      <c r="J179" s="62" t="s">
        <v>392</v>
      </c>
    </row>
    <row r="180" spans="1:10" s="17" customFormat="1">
      <c r="A180" s="62" t="s">
        <v>393</v>
      </c>
      <c r="B180" s="63" t="s">
        <v>11</v>
      </c>
      <c r="C180" s="63" t="s">
        <v>11</v>
      </c>
      <c r="D180" s="61"/>
      <c r="E180" s="61"/>
      <c r="F180" s="61"/>
      <c r="G180" s="61"/>
      <c r="H180" s="61"/>
      <c r="I180" s="61"/>
      <c r="J180" s="62" t="s">
        <v>394</v>
      </c>
    </row>
    <row r="181" spans="1:10" s="17" customFormat="1">
      <c r="A181" s="62" t="s">
        <v>395</v>
      </c>
      <c r="B181" s="63" t="s">
        <v>11</v>
      </c>
      <c r="C181" s="63" t="s">
        <v>11</v>
      </c>
      <c r="D181" s="61"/>
      <c r="E181" s="61"/>
      <c r="F181" s="61"/>
      <c r="G181" s="61"/>
      <c r="H181" s="61"/>
      <c r="I181" s="61"/>
      <c r="J181" s="62" t="s">
        <v>396</v>
      </c>
    </row>
    <row r="182" spans="1:10" s="17" customFormat="1">
      <c r="A182" s="62" t="s">
        <v>397</v>
      </c>
      <c r="B182" s="63" t="s">
        <v>11</v>
      </c>
      <c r="C182" s="63" t="s">
        <v>11</v>
      </c>
      <c r="D182" s="61"/>
      <c r="E182" s="61"/>
      <c r="F182" s="61"/>
      <c r="G182" s="61"/>
      <c r="H182" s="61"/>
      <c r="I182" s="61"/>
      <c r="J182" s="62" t="s">
        <v>398</v>
      </c>
    </row>
    <row r="183" spans="1:10" s="17" customFormat="1">
      <c r="A183" s="62" t="s">
        <v>399</v>
      </c>
      <c r="B183" s="63" t="s">
        <v>11</v>
      </c>
      <c r="C183" s="63" t="s">
        <v>11</v>
      </c>
      <c r="D183" s="61"/>
      <c r="E183" s="61"/>
      <c r="F183" s="61"/>
      <c r="G183" s="61"/>
      <c r="H183" s="61"/>
      <c r="I183" s="61"/>
      <c r="J183" s="62" t="s">
        <v>400</v>
      </c>
    </row>
    <row r="184" spans="1:10" s="17" customFormat="1">
      <c r="A184" s="62" t="s">
        <v>401</v>
      </c>
      <c r="B184" s="63" t="s">
        <v>11</v>
      </c>
      <c r="C184" s="63" t="s">
        <v>11</v>
      </c>
      <c r="D184" s="61"/>
      <c r="E184" s="61"/>
      <c r="F184" s="61"/>
      <c r="G184" s="61"/>
      <c r="H184" s="61"/>
      <c r="I184" s="61"/>
      <c r="J184" s="62" t="s">
        <v>402</v>
      </c>
    </row>
    <row r="185" spans="1:10" s="17" customFormat="1">
      <c r="A185" s="62" t="s">
        <v>403</v>
      </c>
      <c r="B185" s="63" t="s">
        <v>11</v>
      </c>
      <c r="C185" s="63" t="s">
        <v>11</v>
      </c>
      <c r="D185" s="61"/>
      <c r="E185" s="61"/>
      <c r="F185" s="61"/>
      <c r="G185" s="61"/>
      <c r="H185" s="61"/>
      <c r="I185" s="61"/>
      <c r="J185" s="62" t="s">
        <v>404</v>
      </c>
    </row>
    <row r="186" spans="1:10" s="17" customFormat="1">
      <c r="A186" s="62" t="s">
        <v>405</v>
      </c>
      <c r="B186" s="63" t="s">
        <v>11</v>
      </c>
      <c r="C186" s="63" t="s">
        <v>11</v>
      </c>
      <c r="D186" s="61"/>
      <c r="E186" s="61"/>
      <c r="F186" s="61"/>
      <c r="G186" s="61"/>
      <c r="H186" s="61"/>
      <c r="I186" s="61"/>
      <c r="J186" s="62" t="s">
        <v>406</v>
      </c>
    </row>
    <row r="187" spans="1:10" s="17" customFormat="1">
      <c r="A187" s="62" t="s">
        <v>407</v>
      </c>
      <c r="B187" s="63" t="s">
        <v>11</v>
      </c>
      <c r="C187" s="63" t="s">
        <v>11</v>
      </c>
      <c r="D187" s="61"/>
      <c r="E187" s="61"/>
      <c r="F187" s="61"/>
      <c r="G187" s="61"/>
      <c r="H187" s="61"/>
      <c r="I187" s="61"/>
      <c r="J187" s="62" t="s">
        <v>408</v>
      </c>
    </row>
    <row r="188" spans="1:10" s="17" customFormat="1" hidden="1">
      <c r="A188" s="62" t="s">
        <v>409</v>
      </c>
      <c r="B188" s="63" t="s">
        <v>14</v>
      </c>
      <c r="C188" s="63" t="s">
        <v>14</v>
      </c>
      <c r="D188" s="61" t="s">
        <v>410</v>
      </c>
      <c r="E188" s="61" t="s">
        <v>14</v>
      </c>
      <c r="F188" s="61"/>
      <c r="G188" s="61"/>
      <c r="H188" s="61"/>
      <c r="I188" s="61"/>
      <c r="J188" s="62" t="s">
        <v>411</v>
      </c>
    </row>
    <row r="189" spans="1:10" s="17" customFormat="1">
      <c r="A189" s="62" t="s">
        <v>412</v>
      </c>
      <c r="B189" s="63" t="s">
        <v>11</v>
      </c>
      <c r="C189" s="63" t="s">
        <v>14</v>
      </c>
      <c r="D189" s="61" t="s">
        <v>410</v>
      </c>
      <c r="E189" s="61" t="s">
        <v>14</v>
      </c>
      <c r="F189" s="61"/>
      <c r="G189" s="61"/>
      <c r="H189" s="61"/>
      <c r="I189" s="61"/>
      <c r="J189" s="62" t="s">
        <v>411</v>
      </c>
    </row>
    <row r="190" spans="1:10" s="17" customFormat="1" hidden="1">
      <c r="A190" s="62" t="s">
        <v>413</v>
      </c>
      <c r="B190" s="63" t="s">
        <v>14</v>
      </c>
      <c r="C190" s="63" t="s">
        <v>14</v>
      </c>
      <c r="D190" s="61" t="s">
        <v>410</v>
      </c>
      <c r="E190" s="61" t="s">
        <v>14</v>
      </c>
      <c r="F190" s="61"/>
      <c r="G190" s="61"/>
      <c r="H190" s="61"/>
      <c r="I190" s="61"/>
      <c r="J190" s="62" t="s">
        <v>414</v>
      </c>
    </row>
    <row r="191" spans="1:10" s="17" customFormat="1" hidden="1">
      <c r="A191" s="62" t="s">
        <v>415</v>
      </c>
      <c r="B191" s="63" t="s">
        <v>14</v>
      </c>
      <c r="C191" s="63" t="s">
        <v>14</v>
      </c>
      <c r="D191" s="61" t="s">
        <v>410</v>
      </c>
      <c r="E191" s="61" t="s">
        <v>14</v>
      </c>
      <c r="F191" s="61"/>
      <c r="G191" s="61"/>
      <c r="H191" s="61"/>
      <c r="I191" s="61"/>
      <c r="J191" s="62" t="s">
        <v>416</v>
      </c>
    </row>
    <row r="192" spans="1:10" s="17" customFormat="1" hidden="1">
      <c r="A192" s="62" t="s">
        <v>417</v>
      </c>
      <c r="B192" s="63" t="s">
        <v>14</v>
      </c>
      <c r="C192" s="63" t="s">
        <v>14</v>
      </c>
      <c r="D192" s="61" t="s">
        <v>418</v>
      </c>
      <c r="E192" s="61" t="s">
        <v>14</v>
      </c>
      <c r="F192" s="61"/>
      <c r="G192" s="61"/>
      <c r="H192" s="61"/>
      <c r="I192" s="61"/>
      <c r="J192" s="62" t="s">
        <v>419</v>
      </c>
    </row>
    <row r="193" spans="1:10" s="17" customFormat="1">
      <c r="A193" s="62" t="s">
        <v>420</v>
      </c>
      <c r="B193" s="63" t="s">
        <v>11</v>
      </c>
      <c r="C193" s="63" t="s">
        <v>14</v>
      </c>
      <c r="D193" s="61" t="s">
        <v>421</v>
      </c>
      <c r="E193" s="61" t="s">
        <v>14</v>
      </c>
      <c r="F193" s="61"/>
      <c r="G193" s="61"/>
      <c r="H193" s="61"/>
      <c r="I193" s="61"/>
      <c r="J193" s="62" t="s">
        <v>422</v>
      </c>
    </row>
    <row r="194" spans="1:10" s="17" customFormat="1">
      <c r="A194" s="62" t="s">
        <v>423</v>
      </c>
      <c r="B194" s="63" t="s">
        <v>11</v>
      </c>
      <c r="C194" s="63" t="s">
        <v>14</v>
      </c>
      <c r="D194" s="61" t="s">
        <v>421</v>
      </c>
      <c r="E194" s="61" t="s">
        <v>14</v>
      </c>
      <c r="F194" s="61"/>
      <c r="G194" s="61"/>
      <c r="H194" s="61"/>
      <c r="I194" s="61"/>
      <c r="J194" s="62" t="s">
        <v>424</v>
      </c>
    </row>
    <row r="195" spans="1:10" s="17" customFormat="1">
      <c r="A195" s="62" t="s">
        <v>425</v>
      </c>
      <c r="B195" s="63" t="s">
        <v>11</v>
      </c>
      <c r="C195" s="61" t="s">
        <v>11</v>
      </c>
      <c r="D195" s="61" t="s">
        <v>426</v>
      </c>
      <c r="E195" s="61"/>
      <c r="F195" s="61"/>
      <c r="G195" s="61"/>
      <c r="H195" s="61"/>
      <c r="I195" s="61"/>
      <c r="J195" s="62" t="s">
        <v>427</v>
      </c>
    </row>
    <row r="196" spans="1:10" s="17" customFormat="1" hidden="1">
      <c r="A196" s="62" t="s">
        <v>428</v>
      </c>
      <c r="B196" s="63" t="s">
        <v>14</v>
      </c>
      <c r="C196" s="63" t="s">
        <v>14</v>
      </c>
      <c r="D196" s="61" t="s">
        <v>429</v>
      </c>
      <c r="E196" s="61" t="s">
        <v>14</v>
      </c>
      <c r="F196" s="61"/>
      <c r="G196" s="61"/>
      <c r="H196" s="61"/>
      <c r="I196" s="61"/>
      <c r="J196" s="62" t="s">
        <v>430</v>
      </c>
    </row>
    <row r="197" spans="1:10" s="17" customFormat="1" hidden="1">
      <c r="A197" s="62" t="s">
        <v>431</v>
      </c>
      <c r="B197" s="63" t="s">
        <v>14</v>
      </c>
      <c r="C197" s="63" t="s">
        <v>14</v>
      </c>
      <c r="D197" s="61" t="s">
        <v>316</v>
      </c>
      <c r="E197" s="61" t="s">
        <v>14</v>
      </c>
      <c r="F197" s="61"/>
      <c r="G197" s="61"/>
      <c r="H197" s="61"/>
      <c r="I197" s="61"/>
      <c r="J197" s="62" t="s">
        <v>432</v>
      </c>
    </row>
    <row r="198" spans="1:10" s="17" customFormat="1">
      <c r="A198" s="62" t="s">
        <v>433</v>
      </c>
      <c r="B198" s="63" t="s">
        <v>11</v>
      </c>
      <c r="C198" s="63" t="s">
        <v>11</v>
      </c>
      <c r="D198" s="61"/>
      <c r="E198" s="61"/>
      <c r="F198" s="61"/>
      <c r="G198" s="61"/>
      <c r="H198" s="61"/>
      <c r="I198" s="61"/>
      <c r="J198" s="62" t="s">
        <v>434</v>
      </c>
    </row>
    <row r="199" spans="1:10" s="17" customFormat="1">
      <c r="A199" s="62" t="s">
        <v>435</v>
      </c>
      <c r="B199" s="63" t="s">
        <v>11</v>
      </c>
      <c r="C199" s="63" t="s">
        <v>11</v>
      </c>
      <c r="D199" s="61"/>
      <c r="E199" s="61"/>
      <c r="F199" s="61"/>
      <c r="G199" s="61"/>
      <c r="H199" s="61"/>
      <c r="I199" s="61"/>
      <c r="J199" s="62" t="s">
        <v>436</v>
      </c>
    </row>
    <row r="200" spans="1:10" s="17" customFormat="1">
      <c r="A200" s="62" t="s">
        <v>437</v>
      </c>
      <c r="B200" s="63" t="s">
        <v>11</v>
      </c>
      <c r="C200" s="63" t="s">
        <v>11</v>
      </c>
      <c r="D200" s="61"/>
      <c r="E200" s="61"/>
      <c r="F200" s="61"/>
      <c r="G200" s="61"/>
      <c r="H200" s="61"/>
      <c r="I200" s="61"/>
      <c r="J200" s="62" t="s">
        <v>437</v>
      </c>
    </row>
    <row r="201" spans="1:10" s="17" customFormat="1">
      <c r="A201" s="62" t="s">
        <v>438</v>
      </c>
      <c r="B201" s="63" t="s">
        <v>11</v>
      </c>
      <c r="C201" s="61" t="s">
        <v>14</v>
      </c>
      <c r="D201" s="61"/>
      <c r="E201" s="61"/>
      <c r="F201" s="61" t="s">
        <v>11</v>
      </c>
      <c r="G201" s="61" t="s">
        <v>14</v>
      </c>
      <c r="H201" s="61"/>
      <c r="I201" s="61"/>
      <c r="J201" s="62" t="s">
        <v>439</v>
      </c>
    </row>
    <row r="202" spans="1:10" s="17" customFormat="1">
      <c r="A202" s="62" t="s">
        <v>440</v>
      </c>
      <c r="B202" s="63" t="s">
        <v>11</v>
      </c>
      <c r="C202" s="63" t="s">
        <v>11</v>
      </c>
      <c r="D202" s="61"/>
      <c r="E202" s="61"/>
      <c r="F202" s="61"/>
      <c r="G202" s="61"/>
      <c r="H202" s="61"/>
      <c r="I202" s="61"/>
      <c r="J202" s="62" t="s">
        <v>441</v>
      </c>
    </row>
    <row r="203" spans="1:10" s="17" customFormat="1">
      <c r="A203" s="62" t="s">
        <v>442</v>
      </c>
      <c r="B203" s="63" t="s">
        <v>11</v>
      </c>
      <c r="C203" s="63" t="s">
        <v>14</v>
      </c>
      <c r="D203" s="61"/>
      <c r="E203" s="61"/>
      <c r="F203" s="61" t="s">
        <v>14</v>
      </c>
      <c r="G203" s="61" t="s">
        <v>11</v>
      </c>
      <c r="H203" s="61"/>
      <c r="I203" s="61"/>
      <c r="J203" s="62" t="s">
        <v>443</v>
      </c>
    </row>
    <row r="204" spans="1:10" s="17" customFormat="1">
      <c r="A204" s="62" t="s">
        <v>444</v>
      </c>
      <c r="B204" s="63" t="s">
        <v>11</v>
      </c>
      <c r="C204" s="63" t="s">
        <v>11</v>
      </c>
      <c r="D204" s="61"/>
      <c r="E204" s="61"/>
      <c r="F204" s="61"/>
      <c r="G204" s="61"/>
      <c r="H204" s="61"/>
      <c r="I204" s="61"/>
      <c r="J204" s="62" t="s">
        <v>445</v>
      </c>
    </row>
    <row r="205" spans="1:10" s="17" customFormat="1">
      <c r="A205" s="62" t="s">
        <v>446</v>
      </c>
      <c r="B205" s="63" t="s">
        <v>11</v>
      </c>
      <c r="C205" s="63" t="s">
        <v>11</v>
      </c>
      <c r="D205" s="61"/>
      <c r="E205" s="61"/>
      <c r="F205" s="61"/>
      <c r="G205" s="61"/>
      <c r="H205" s="61"/>
      <c r="I205" s="61"/>
      <c r="J205" s="62" t="s">
        <v>447</v>
      </c>
    </row>
    <row r="206" spans="1:10" s="17" customFormat="1">
      <c r="A206" s="62" t="s">
        <v>448</v>
      </c>
      <c r="B206" s="63" t="s">
        <v>11</v>
      </c>
      <c r="C206" s="63" t="s">
        <v>11</v>
      </c>
      <c r="D206" s="61"/>
      <c r="E206" s="61"/>
      <c r="F206" s="61"/>
      <c r="G206" s="61"/>
      <c r="H206" s="61"/>
      <c r="I206" s="61"/>
      <c r="J206" s="62" t="s">
        <v>449</v>
      </c>
    </row>
    <row r="207" spans="1:10" s="17" customFormat="1">
      <c r="A207" s="62" t="s">
        <v>450</v>
      </c>
      <c r="B207" s="63" t="s">
        <v>11</v>
      </c>
      <c r="C207" s="61" t="s">
        <v>11</v>
      </c>
      <c r="D207" s="61"/>
      <c r="E207" s="61"/>
      <c r="F207" s="61"/>
      <c r="G207" s="61"/>
      <c r="H207" s="61"/>
      <c r="I207" s="61"/>
      <c r="J207" s="62" t="s">
        <v>451</v>
      </c>
    </row>
    <row r="208" spans="1:10" s="17" customFormat="1">
      <c r="A208" s="62" t="s">
        <v>452</v>
      </c>
      <c r="B208" s="63" t="s">
        <v>11</v>
      </c>
      <c r="C208" s="63" t="s">
        <v>11</v>
      </c>
      <c r="D208" s="61"/>
      <c r="E208" s="61"/>
      <c r="F208" s="61"/>
      <c r="G208" s="61"/>
      <c r="H208" s="61"/>
      <c r="I208" s="61"/>
      <c r="J208" s="62" t="s">
        <v>453</v>
      </c>
    </row>
    <row r="209" spans="1:10" s="17" customFormat="1">
      <c r="A209" s="62" t="s">
        <v>454</v>
      </c>
      <c r="B209" s="63" t="s">
        <v>11</v>
      </c>
      <c r="C209" s="63" t="s">
        <v>11</v>
      </c>
      <c r="D209" s="61"/>
      <c r="E209" s="61"/>
      <c r="F209" s="61"/>
      <c r="G209" s="61"/>
      <c r="H209" s="61"/>
      <c r="I209" s="61"/>
      <c r="J209" s="62" t="s">
        <v>455</v>
      </c>
    </row>
    <row r="210" spans="1:10" s="17" customFormat="1">
      <c r="A210" s="62" t="s">
        <v>456</v>
      </c>
      <c r="B210" s="63" t="s">
        <v>11</v>
      </c>
      <c r="C210" s="63" t="s">
        <v>11</v>
      </c>
      <c r="D210" s="61"/>
      <c r="E210" s="61"/>
      <c r="F210" s="61"/>
      <c r="G210" s="61"/>
      <c r="H210" s="61"/>
      <c r="I210" s="61"/>
      <c r="J210" s="62" t="s">
        <v>457</v>
      </c>
    </row>
    <row r="211" spans="1:10" s="17" customFormat="1">
      <c r="A211" s="62" t="s">
        <v>458</v>
      </c>
      <c r="B211" s="63" t="s">
        <v>11</v>
      </c>
      <c r="C211" s="63" t="s">
        <v>11</v>
      </c>
      <c r="D211" s="61"/>
      <c r="E211" s="61"/>
      <c r="F211" s="61"/>
      <c r="G211" s="61"/>
      <c r="H211" s="61"/>
      <c r="I211" s="61"/>
      <c r="J211" s="62" t="s">
        <v>459</v>
      </c>
    </row>
    <row r="212" spans="1:10" s="17" customFormat="1">
      <c r="A212" s="62" t="s">
        <v>460</v>
      </c>
      <c r="B212" s="63" t="s">
        <v>11</v>
      </c>
      <c r="C212" s="63" t="s">
        <v>11</v>
      </c>
      <c r="D212" s="61"/>
      <c r="E212" s="61"/>
      <c r="F212" s="61"/>
      <c r="G212" s="61"/>
      <c r="H212" s="61"/>
      <c r="I212" s="61"/>
      <c r="J212" s="62" t="s">
        <v>461</v>
      </c>
    </row>
    <row r="213" spans="1:10" s="17" customFormat="1">
      <c r="A213" s="62" t="s">
        <v>462</v>
      </c>
      <c r="B213" s="63" t="s">
        <v>11</v>
      </c>
      <c r="C213" s="63" t="s">
        <v>11</v>
      </c>
      <c r="D213" s="61"/>
      <c r="E213" s="61"/>
      <c r="F213" s="61"/>
      <c r="G213" s="61"/>
      <c r="H213" s="61"/>
      <c r="I213" s="61"/>
      <c r="J213" s="62" t="s">
        <v>463</v>
      </c>
    </row>
    <row r="214" spans="1:10" s="17" customFormat="1">
      <c r="A214" s="62" t="s">
        <v>464</v>
      </c>
      <c r="B214" s="63" t="s">
        <v>11</v>
      </c>
      <c r="C214" s="63" t="s">
        <v>11</v>
      </c>
      <c r="D214" s="61"/>
      <c r="E214" s="61"/>
      <c r="F214" s="61"/>
      <c r="G214" s="61"/>
      <c r="H214" s="61"/>
      <c r="I214" s="61"/>
      <c r="J214" s="62" t="s">
        <v>465</v>
      </c>
    </row>
    <row r="215" spans="1:10" s="17" customFormat="1">
      <c r="A215" s="62" t="s">
        <v>466</v>
      </c>
      <c r="B215" s="63" t="s">
        <v>11</v>
      </c>
      <c r="C215" s="63" t="s">
        <v>11</v>
      </c>
      <c r="D215" s="61"/>
      <c r="E215" s="61"/>
      <c r="F215" s="61"/>
      <c r="G215" s="61"/>
      <c r="H215" s="61"/>
      <c r="I215" s="61"/>
      <c r="J215" s="62" t="s">
        <v>467</v>
      </c>
    </row>
    <row r="216" spans="1:10" s="17" customFormat="1">
      <c r="A216" s="62" t="s">
        <v>468</v>
      </c>
      <c r="B216" s="63" t="s">
        <v>11</v>
      </c>
      <c r="C216" s="63" t="s">
        <v>11</v>
      </c>
      <c r="D216" s="61"/>
      <c r="E216" s="61"/>
      <c r="F216" s="61"/>
      <c r="G216" s="61"/>
      <c r="H216" s="61"/>
      <c r="I216" s="61"/>
      <c r="J216" s="62" t="s">
        <v>469</v>
      </c>
    </row>
    <row r="217" spans="1:10" s="17" customFormat="1">
      <c r="A217" s="62" t="s">
        <v>470</v>
      </c>
      <c r="B217" s="63" t="s">
        <v>11</v>
      </c>
      <c r="C217" s="63" t="s">
        <v>11</v>
      </c>
      <c r="D217" s="61"/>
      <c r="E217" s="61"/>
      <c r="F217" s="61"/>
      <c r="G217" s="61"/>
      <c r="H217" s="61"/>
      <c r="I217" s="61"/>
      <c r="J217" s="62" t="s">
        <v>471</v>
      </c>
    </row>
    <row r="218" spans="1:10" s="17" customFormat="1">
      <c r="A218" s="62" t="s">
        <v>472</v>
      </c>
      <c r="B218" s="63" t="s">
        <v>11</v>
      </c>
      <c r="C218" s="63" t="s">
        <v>11</v>
      </c>
      <c r="D218" s="61"/>
      <c r="E218" s="61"/>
      <c r="F218" s="61"/>
      <c r="G218" s="61"/>
      <c r="H218" s="61"/>
      <c r="I218" s="61"/>
      <c r="J218" s="62" t="s">
        <v>473</v>
      </c>
    </row>
    <row r="219" spans="1:10" s="17" customFormat="1">
      <c r="A219" s="62" t="s">
        <v>474</v>
      </c>
      <c r="B219" s="63" t="s">
        <v>11</v>
      </c>
      <c r="C219" s="61" t="s">
        <v>14</v>
      </c>
      <c r="D219" s="61"/>
      <c r="E219" s="61"/>
      <c r="F219" s="61" t="s">
        <v>14</v>
      </c>
      <c r="G219" s="61" t="s">
        <v>11</v>
      </c>
      <c r="H219" s="61"/>
      <c r="I219" s="61"/>
      <c r="J219" s="62" t="s">
        <v>475</v>
      </c>
    </row>
    <row r="220" spans="1:10" s="17" customFormat="1">
      <c r="A220" s="62" t="s">
        <v>476</v>
      </c>
      <c r="B220" s="63" t="s">
        <v>11</v>
      </c>
      <c r="C220" s="63" t="s">
        <v>11</v>
      </c>
      <c r="D220" s="61"/>
      <c r="E220" s="61"/>
      <c r="F220" s="61"/>
      <c r="G220" s="61"/>
      <c r="H220" s="61"/>
      <c r="I220" s="61"/>
      <c r="J220" s="62" t="s">
        <v>477</v>
      </c>
    </row>
    <row r="221" spans="1:10" s="17" customFormat="1">
      <c r="A221" s="62" t="s">
        <v>478</v>
      </c>
      <c r="B221" s="63" t="s">
        <v>11</v>
      </c>
      <c r="C221" s="63" t="s">
        <v>11</v>
      </c>
      <c r="D221" s="61"/>
      <c r="E221" s="61"/>
      <c r="F221" s="61"/>
      <c r="G221" s="61"/>
      <c r="H221" s="61"/>
      <c r="I221" s="61"/>
      <c r="J221" s="62" t="s">
        <v>479</v>
      </c>
    </row>
    <row r="222" spans="1:10" s="17" customFormat="1" hidden="1">
      <c r="A222" s="62" t="s">
        <v>480</v>
      </c>
      <c r="B222" s="63" t="s">
        <v>14</v>
      </c>
      <c r="C222" s="63" t="s">
        <v>14</v>
      </c>
      <c r="D222" s="61" t="s">
        <v>421</v>
      </c>
      <c r="E222" s="61" t="s">
        <v>14</v>
      </c>
      <c r="F222" s="61"/>
      <c r="G222" s="61"/>
      <c r="H222" s="61"/>
      <c r="I222" s="61"/>
      <c r="J222" s="62" t="s">
        <v>481</v>
      </c>
    </row>
    <row r="223" spans="1:10" s="17" customFormat="1" hidden="1">
      <c r="A223" s="62" t="s">
        <v>482</v>
      </c>
      <c r="B223" s="63" t="s">
        <v>14</v>
      </c>
      <c r="C223" s="63" t="s">
        <v>14</v>
      </c>
      <c r="D223" s="61" t="s">
        <v>483</v>
      </c>
      <c r="E223" s="61" t="s">
        <v>14</v>
      </c>
      <c r="F223" s="61"/>
      <c r="G223" s="61"/>
      <c r="H223" s="61"/>
      <c r="I223" s="61"/>
      <c r="J223" s="62" t="s">
        <v>484</v>
      </c>
    </row>
    <row r="224" spans="1:10" s="17" customFormat="1" hidden="1">
      <c r="A224" s="62" t="s">
        <v>485</v>
      </c>
      <c r="B224" s="63" t="s">
        <v>14</v>
      </c>
      <c r="C224" s="63" t="s">
        <v>14</v>
      </c>
      <c r="D224" s="61" t="s">
        <v>486</v>
      </c>
      <c r="E224" s="61" t="s">
        <v>14</v>
      </c>
      <c r="F224" s="61"/>
      <c r="G224" s="61"/>
      <c r="H224" s="61"/>
      <c r="I224" s="61"/>
      <c r="J224" s="62" t="s">
        <v>487</v>
      </c>
    </row>
    <row r="225" spans="1:10" s="17" customFormat="1" hidden="1">
      <c r="A225" s="62" t="s">
        <v>488</v>
      </c>
      <c r="B225" s="63" t="s">
        <v>14</v>
      </c>
      <c r="C225" s="61" t="s">
        <v>14</v>
      </c>
      <c r="D225" s="61"/>
      <c r="E225" s="61" t="s">
        <v>14</v>
      </c>
      <c r="F225" s="61"/>
      <c r="G225" s="61"/>
      <c r="H225" s="61"/>
      <c r="I225" s="61"/>
      <c r="J225" s="62" t="s">
        <v>489</v>
      </c>
    </row>
    <row r="226" spans="1:10" s="17" customFormat="1">
      <c r="A226" s="62" t="s">
        <v>490</v>
      </c>
      <c r="B226" s="63" t="s">
        <v>11</v>
      </c>
      <c r="C226" s="63" t="s">
        <v>11</v>
      </c>
      <c r="D226" s="61"/>
      <c r="E226" s="61"/>
      <c r="F226" s="61"/>
      <c r="G226" s="61"/>
      <c r="H226" s="61"/>
      <c r="I226" s="61"/>
      <c r="J226" s="62" t="s">
        <v>491</v>
      </c>
    </row>
    <row r="227" spans="1:10" s="17" customFormat="1" hidden="1">
      <c r="A227" s="62" t="s">
        <v>492</v>
      </c>
      <c r="B227" s="63" t="s">
        <v>14</v>
      </c>
      <c r="C227" s="63" t="s">
        <v>14</v>
      </c>
      <c r="D227" s="61" t="s">
        <v>486</v>
      </c>
      <c r="E227" s="61" t="s">
        <v>14</v>
      </c>
      <c r="F227" s="61"/>
      <c r="G227" s="61"/>
      <c r="H227" s="61"/>
      <c r="I227" s="61"/>
      <c r="J227" s="62" t="s">
        <v>493</v>
      </c>
    </row>
    <row r="228" spans="1:10" s="17" customFormat="1">
      <c r="A228" s="62" t="s">
        <v>494</v>
      </c>
      <c r="B228" s="63" t="s">
        <v>11</v>
      </c>
      <c r="C228" s="63" t="s">
        <v>11</v>
      </c>
      <c r="D228" s="61"/>
      <c r="E228" s="61"/>
      <c r="F228" s="61"/>
      <c r="G228" s="61"/>
      <c r="H228" s="61"/>
      <c r="I228" s="61"/>
      <c r="J228" s="62" t="s">
        <v>495</v>
      </c>
    </row>
    <row r="229" spans="1:10" s="17" customFormat="1">
      <c r="A229" s="62" t="s">
        <v>496</v>
      </c>
      <c r="B229" s="63" t="s">
        <v>11</v>
      </c>
      <c r="C229" s="63" t="s">
        <v>14</v>
      </c>
      <c r="D229" s="61" t="s">
        <v>497</v>
      </c>
      <c r="E229" s="61" t="s">
        <v>14</v>
      </c>
      <c r="F229" s="61"/>
      <c r="G229" s="61"/>
      <c r="H229" s="61"/>
      <c r="I229" s="61"/>
      <c r="J229" s="62"/>
    </row>
    <row r="230" spans="1:10" s="17" customFormat="1" hidden="1">
      <c r="A230" s="62" t="s">
        <v>498</v>
      </c>
      <c r="B230" s="63" t="s">
        <v>14</v>
      </c>
      <c r="C230" s="61" t="s">
        <v>14</v>
      </c>
      <c r="D230" s="61"/>
      <c r="E230" s="61" t="s">
        <v>14</v>
      </c>
      <c r="F230" s="61"/>
      <c r="G230" s="61"/>
      <c r="H230" s="61"/>
      <c r="I230" s="61"/>
      <c r="J230" s="62" t="s">
        <v>499</v>
      </c>
    </row>
    <row r="231" spans="1:10" s="17" customFormat="1">
      <c r="A231" s="62" t="s">
        <v>500</v>
      </c>
      <c r="B231" s="63" t="s">
        <v>11</v>
      </c>
      <c r="C231" s="63" t="s">
        <v>11</v>
      </c>
      <c r="D231" s="61"/>
      <c r="E231" s="61"/>
      <c r="F231" s="61"/>
      <c r="G231" s="61"/>
      <c r="H231" s="61"/>
      <c r="I231" s="61"/>
      <c r="J231" s="62" t="s">
        <v>501</v>
      </c>
    </row>
    <row r="232" spans="1:10" s="17" customFormat="1">
      <c r="A232" s="62" t="s">
        <v>502</v>
      </c>
      <c r="B232" s="63" t="s">
        <v>11</v>
      </c>
      <c r="C232" s="61" t="s">
        <v>14</v>
      </c>
      <c r="D232" s="61" t="s">
        <v>503</v>
      </c>
      <c r="E232" s="61"/>
      <c r="F232" s="61"/>
      <c r="G232" s="61" t="s">
        <v>504</v>
      </c>
      <c r="H232" s="61"/>
      <c r="I232" s="61"/>
      <c r="J232" s="62" t="s">
        <v>505</v>
      </c>
    </row>
    <row r="233" spans="1:10" s="17" customFormat="1">
      <c r="A233" s="62" t="s">
        <v>506</v>
      </c>
      <c r="B233" s="63" t="s">
        <v>11</v>
      </c>
      <c r="C233" s="63" t="s">
        <v>11</v>
      </c>
      <c r="D233" s="61"/>
      <c r="E233" s="61"/>
      <c r="F233" s="61"/>
      <c r="G233" s="61"/>
      <c r="H233" s="61"/>
      <c r="I233" s="61"/>
      <c r="J233" s="62" t="s">
        <v>507</v>
      </c>
    </row>
    <row r="234" spans="1:10" s="17" customFormat="1">
      <c r="A234" s="62" t="s">
        <v>508</v>
      </c>
      <c r="B234" s="63" t="s">
        <v>11</v>
      </c>
      <c r="C234" s="63" t="s">
        <v>11</v>
      </c>
      <c r="D234" s="61"/>
      <c r="E234" s="61"/>
      <c r="F234" s="61"/>
      <c r="G234" s="61"/>
      <c r="H234" s="61"/>
      <c r="I234" s="61"/>
      <c r="J234" s="62" t="s">
        <v>509</v>
      </c>
    </row>
    <row r="235" spans="1:10" s="17" customFormat="1">
      <c r="A235" s="62" t="s">
        <v>510</v>
      </c>
      <c r="B235" s="63" t="s">
        <v>11</v>
      </c>
      <c r="C235" s="63" t="s">
        <v>11</v>
      </c>
      <c r="D235" s="61"/>
      <c r="E235" s="61"/>
      <c r="F235" s="61"/>
      <c r="G235" s="61"/>
      <c r="H235" s="61"/>
      <c r="I235" s="61"/>
      <c r="J235" s="62" t="s">
        <v>511</v>
      </c>
    </row>
    <row r="236" spans="1:10" s="17" customFormat="1" hidden="1">
      <c r="A236" s="62" t="s">
        <v>512</v>
      </c>
      <c r="B236" s="63" t="s">
        <v>14</v>
      </c>
      <c r="C236" s="63" t="s">
        <v>14</v>
      </c>
      <c r="D236" s="61"/>
      <c r="E236" s="61" t="s">
        <v>14</v>
      </c>
      <c r="F236" s="61"/>
      <c r="G236" s="61"/>
      <c r="H236" s="61"/>
      <c r="I236" s="61"/>
      <c r="J236" s="62" t="s">
        <v>513</v>
      </c>
    </row>
    <row r="237" spans="1:10" s="17" customFormat="1">
      <c r="A237" s="62" t="s">
        <v>514</v>
      </c>
      <c r="B237" s="63" t="s">
        <v>11</v>
      </c>
      <c r="C237" s="63" t="s">
        <v>11</v>
      </c>
      <c r="D237" s="61"/>
      <c r="E237" s="61"/>
      <c r="F237" s="61"/>
      <c r="G237" s="61"/>
      <c r="H237" s="61"/>
      <c r="I237" s="61"/>
      <c r="J237" s="62" t="s">
        <v>515</v>
      </c>
    </row>
    <row r="238" spans="1:10" s="17" customFormat="1" hidden="1">
      <c r="A238" s="62" t="s">
        <v>516</v>
      </c>
      <c r="B238" s="63" t="s">
        <v>14</v>
      </c>
      <c r="C238" s="63" t="s">
        <v>14</v>
      </c>
      <c r="D238" s="61" t="s">
        <v>11</v>
      </c>
      <c r="E238" s="61" t="s">
        <v>14</v>
      </c>
      <c r="F238" s="61"/>
      <c r="G238" s="61"/>
      <c r="H238" s="61"/>
      <c r="I238" s="61"/>
      <c r="J238" s="62" t="s">
        <v>517</v>
      </c>
    </row>
    <row r="239" spans="1:10" s="17" customFormat="1">
      <c r="A239" s="62" t="s">
        <v>518</v>
      </c>
      <c r="B239" s="63" t="s">
        <v>11</v>
      </c>
      <c r="C239" s="61" t="s">
        <v>14</v>
      </c>
      <c r="D239" s="61" t="s">
        <v>519</v>
      </c>
      <c r="E239" s="61"/>
      <c r="F239" s="61" t="s">
        <v>11</v>
      </c>
      <c r="G239" s="61" t="s">
        <v>14</v>
      </c>
      <c r="H239" s="61"/>
      <c r="I239" s="61"/>
      <c r="J239" s="62" t="s">
        <v>520</v>
      </c>
    </row>
    <row r="240" spans="1:10" s="17" customFormat="1">
      <c r="A240" s="62" t="s">
        <v>521</v>
      </c>
      <c r="B240" s="63" t="s">
        <v>11</v>
      </c>
      <c r="C240" s="63" t="s">
        <v>11</v>
      </c>
      <c r="D240" s="61"/>
      <c r="E240" s="61"/>
      <c r="F240" s="61"/>
      <c r="G240" s="61"/>
      <c r="H240" s="61"/>
      <c r="I240" s="61"/>
      <c r="J240" s="62" t="s">
        <v>522</v>
      </c>
    </row>
    <row r="241" spans="1:10" s="17" customFormat="1">
      <c r="A241" s="62" t="s">
        <v>521</v>
      </c>
      <c r="B241" s="63" t="s">
        <v>11</v>
      </c>
      <c r="C241" s="63" t="s">
        <v>11</v>
      </c>
      <c r="D241" s="61" t="s">
        <v>523</v>
      </c>
      <c r="E241" s="61"/>
      <c r="F241" s="61"/>
      <c r="G241" s="61"/>
      <c r="H241" s="61"/>
      <c r="I241" s="61"/>
      <c r="J241" s="62"/>
    </row>
    <row r="242" spans="1:10" s="17" customFormat="1">
      <c r="A242" s="62" t="s">
        <v>524</v>
      </c>
      <c r="B242" s="63" t="s">
        <v>11</v>
      </c>
      <c r="C242" s="63" t="s">
        <v>11</v>
      </c>
      <c r="D242" s="61"/>
      <c r="E242" s="61"/>
      <c r="F242" s="61"/>
      <c r="G242" s="61"/>
      <c r="H242" s="61"/>
      <c r="I242" s="61"/>
      <c r="J242" s="62" t="s">
        <v>525</v>
      </c>
    </row>
    <row r="243" spans="1:10" s="17" customFormat="1">
      <c r="A243" s="62" t="s">
        <v>526</v>
      </c>
      <c r="B243" s="63" t="s">
        <v>11</v>
      </c>
      <c r="C243" s="63" t="s">
        <v>11</v>
      </c>
      <c r="D243" s="61"/>
      <c r="E243" s="61"/>
      <c r="F243" s="61"/>
      <c r="G243" s="61"/>
      <c r="H243" s="61"/>
      <c r="I243" s="61"/>
      <c r="J243" s="62" t="s">
        <v>527</v>
      </c>
    </row>
    <row r="244" spans="1:10" s="17" customFormat="1" hidden="1">
      <c r="A244" s="62" t="s">
        <v>528</v>
      </c>
      <c r="B244" s="63" t="s">
        <v>14</v>
      </c>
      <c r="C244" s="63" t="s">
        <v>14</v>
      </c>
      <c r="D244" s="61" t="s">
        <v>356</v>
      </c>
      <c r="E244" s="61" t="s">
        <v>14</v>
      </c>
      <c r="F244" s="61"/>
      <c r="G244" s="61"/>
      <c r="H244" s="61"/>
      <c r="I244" s="61"/>
      <c r="J244" s="62" t="s">
        <v>529</v>
      </c>
    </row>
    <row r="245" spans="1:10" s="17" customFormat="1">
      <c r="A245" s="62" t="s">
        <v>530</v>
      </c>
      <c r="B245" s="63" t="s">
        <v>11</v>
      </c>
      <c r="C245" s="61" t="s">
        <v>14</v>
      </c>
      <c r="D245" s="61" t="s">
        <v>531</v>
      </c>
      <c r="E245" s="61"/>
      <c r="F245" s="61" t="s">
        <v>11</v>
      </c>
      <c r="G245" s="61" t="s">
        <v>14</v>
      </c>
      <c r="H245" s="61"/>
      <c r="I245" s="61"/>
      <c r="J245" s="62" t="s">
        <v>532</v>
      </c>
    </row>
    <row r="246" spans="1:10" s="17" customFormat="1" hidden="1">
      <c r="A246" s="62" t="s">
        <v>533</v>
      </c>
      <c r="B246" s="63" t="s">
        <v>14</v>
      </c>
      <c r="C246" s="63" t="s">
        <v>14</v>
      </c>
      <c r="D246" s="61" t="s">
        <v>534</v>
      </c>
      <c r="E246" s="61" t="s">
        <v>14</v>
      </c>
      <c r="F246" s="61"/>
      <c r="G246" s="61"/>
      <c r="H246" s="61"/>
      <c r="I246" s="61"/>
      <c r="J246" s="62" t="s">
        <v>535</v>
      </c>
    </row>
    <row r="247" spans="1:10" s="17" customFormat="1">
      <c r="A247" s="62" t="s">
        <v>536</v>
      </c>
      <c r="B247" s="63" t="s">
        <v>11</v>
      </c>
      <c r="C247" s="63" t="s">
        <v>11</v>
      </c>
      <c r="D247" s="61" t="s">
        <v>537</v>
      </c>
      <c r="E247" s="61"/>
      <c r="F247" s="61"/>
      <c r="G247" s="61"/>
      <c r="H247" s="61"/>
      <c r="I247" s="61"/>
      <c r="J247" s="62" t="s">
        <v>538</v>
      </c>
    </row>
    <row r="248" spans="1:10" s="17" customFormat="1">
      <c r="A248" s="62" t="s">
        <v>539</v>
      </c>
      <c r="B248" s="63" t="s">
        <v>11</v>
      </c>
      <c r="C248" s="63" t="s">
        <v>11</v>
      </c>
      <c r="D248" s="61"/>
      <c r="E248" s="61"/>
      <c r="F248" s="61"/>
      <c r="G248" s="61"/>
      <c r="H248" s="61"/>
      <c r="I248" s="61"/>
      <c r="J248" s="62" t="s">
        <v>540</v>
      </c>
    </row>
    <row r="249" spans="1:10" s="17" customFormat="1" hidden="1">
      <c r="A249" s="62" t="s">
        <v>541</v>
      </c>
      <c r="B249" s="63" t="s">
        <v>14</v>
      </c>
      <c r="C249" s="63" t="s">
        <v>14</v>
      </c>
      <c r="D249" s="61" t="s">
        <v>497</v>
      </c>
      <c r="E249" s="61" t="s">
        <v>14</v>
      </c>
      <c r="F249" s="61"/>
      <c r="G249" s="61"/>
      <c r="H249" s="61"/>
      <c r="I249" s="61"/>
      <c r="J249" s="62" t="s">
        <v>542</v>
      </c>
    </row>
    <row r="250" spans="1:10" s="17" customFormat="1">
      <c r="A250" s="62" t="s">
        <v>543</v>
      </c>
      <c r="B250" s="63" t="s">
        <v>11</v>
      </c>
      <c r="C250" s="63" t="s">
        <v>11</v>
      </c>
      <c r="D250" s="61"/>
      <c r="E250" s="61"/>
      <c r="F250" s="61"/>
      <c r="G250" s="61"/>
      <c r="H250" s="61"/>
      <c r="I250" s="61"/>
      <c r="J250" s="62" t="s">
        <v>544</v>
      </c>
    </row>
    <row r="251" spans="1:10" s="17" customFormat="1">
      <c r="A251" s="62" t="s">
        <v>545</v>
      </c>
      <c r="B251" s="63" t="s">
        <v>11</v>
      </c>
      <c r="C251" s="63" t="s">
        <v>11</v>
      </c>
      <c r="D251" s="61"/>
      <c r="E251" s="61"/>
      <c r="F251" s="61"/>
      <c r="G251" s="61"/>
      <c r="H251" s="61"/>
      <c r="I251" s="61"/>
      <c r="J251" s="62" t="s">
        <v>546</v>
      </c>
    </row>
    <row r="252" spans="1:10" s="17" customFormat="1">
      <c r="A252" s="62" t="s">
        <v>547</v>
      </c>
      <c r="B252" s="63" t="s">
        <v>11</v>
      </c>
      <c r="C252" s="63" t="s">
        <v>11</v>
      </c>
      <c r="D252" s="61"/>
      <c r="E252" s="61"/>
      <c r="F252" s="61"/>
      <c r="G252" s="61"/>
      <c r="H252" s="61"/>
      <c r="I252" s="61"/>
      <c r="J252" s="62" t="s">
        <v>548</v>
      </c>
    </row>
    <row r="253" spans="1:10" s="17" customFormat="1">
      <c r="A253" s="62" t="s">
        <v>549</v>
      </c>
      <c r="B253" s="63" t="s">
        <v>11</v>
      </c>
      <c r="C253" s="63" t="s">
        <v>11</v>
      </c>
      <c r="D253" s="61"/>
      <c r="E253" s="61"/>
      <c r="F253" s="61"/>
      <c r="G253" s="61"/>
      <c r="H253" s="61"/>
      <c r="I253" s="61"/>
      <c r="J253" s="62" t="s">
        <v>548</v>
      </c>
    </row>
    <row r="254" spans="1:10" s="17" customFormat="1">
      <c r="A254" s="62" t="s">
        <v>550</v>
      </c>
      <c r="B254" s="63" t="s">
        <v>11</v>
      </c>
      <c r="C254" s="61" t="s">
        <v>14</v>
      </c>
      <c r="D254" s="61" t="s">
        <v>551</v>
      </c>
      <c r="E254" s="61"/>
      <c r="F254" s="61" t="s">
        <v>11</v>
      </c>
      <c r="G254" s="61" t="s">
        <v>14</v>
      </c>
      <c r="H254" s="61"/>
      <c r="I254" s="61"/>
      <c r="J254" s="62" t="s">
        <v>552</v>
      </c>
    </row>
    <row r="255" spans="1:10" s="17" customFormat="1" hidden="1">
      <c r="A255" s="62" t="s">
        <v>553</v>
      </c>
      <c r="B255" s="63" t="s">
        <v>14</v>
      </c>
      <c r="C255" s="63" t="s">
        <v>14</v>
      </c>
      <c r="D255" s="61" t="s">
        <v>554</v>
      </c>
      <c r="E255" s="61" t="s">
        <v>14</v>
      </c>
      <c r="F255" s="61"/>
      <c r="G255" s="61"/>
      <c r="H255" s="61"/>
      <c r="I255" s="61"/>
      <c r="J255" s="62" t="s">
        <v>555</v>
      </c>
    </row>
    <row r="256" spans="1:10" s="17" customFormat="1" hidden="1">
      <c r="A256" s="62" t="s">
        <v>556</v>
      </c>
      <c r="B256" s="63" t="s">
        <v>14</v>
      </c>
      <c r="C256" s="63" t="s">
        <v>14</v>
      </c>
      <c r="D256" s="61" t="s">
        <v>557</v>
      </c>
      <c r="E256" s="61" t="s">
        <v>14</v>
      </c>
      <c r="F256" s="61"/>
      <c r="G256" s="61"/>
      <c r="H256" s="61"/>
      <c r="I256" s="61"/>
      <c r="J256" s="62" t="s">
        <v>555</v>
      </c>
    </row>
    <row r="257" spans="1:10" s="17" customFormat="1" hidden="1">
      <c r="A257" s="62" t="s">
        <v>558</v>
      </c>
      <c r="B257" s="63" t="s">
        <v>14</v>
      </c>
      <c r="C257" s="63" t="s">
        <v>14</v>
      </c>
      <c r="D257" s="61" t="s">
        <v>557</v>
      </c>
      <c r="E257" s="61" t="s">
        <v>14</v>
      </c>
      <c r="F257" s="61"/>
      <c r="G257" s="61"/>
      <c r="H257" s="61"/>
      <c r="I257" s="61"/>
      <c r="J257" s="62" t="s">
        <v>559</v>
      </c>
    </row>
    <row r="258" spans="1:10" s="17" customFormat="1" hidden="1">
      <c r="A258" s="62" t="s">
        <v>560</v>
      </c>
      <c r="B258" s="63" t="s">
        <v>14</v>
      </c>
      <c r="C258" s="63" t="s">
        <v>14</v>
      </c>
      <c r="D258" s="61" t="s">
        <v>557</v>
      </c>
      <c r="E258" s="61" t="s">
        <v>14</v>
      </c>
      <c r="F258" s="61"/>
      <c r="G258" s="61"/>
      <c r="H258" s="61"/>
      <c r="I258" s="61"/>
      <c r="J258" s="62" t="s">
        <v>561</v>
      </c>
    </row>
    <row r="259" spans="1:10" s="17" customFormat="1" hidden="1">
      <c r="A259" s="62" t="s">
        <v>562</v>
      </c>
      <c r="B259" s="63" t="s">
        <v>14</v>
      </c>
      <c r="C259" s="63" t="s">
        <v>14</v>
      </c>
      <c r="D259" s="61" t="s">
        <v>563</v>
      </c>
      <c r="E259" s="61" t="s">
        <v>14</v>
      </c>
      <c r="F259" s="61"/>
      <c r="G259" s="61"/>
      <c r="H259" s="61"/>
      <c r="I259" s="61"/>
      <c r="J259" s="62" t="s">
        <v>564</v>
      </c>
    </row>
    <row r="260" spans="1:10" s="17" customFormat="1" hidden="1">
      <c r="A260" s="62" t="s">
        <v>565</v>
      </c>
      <c r="B260" s="63" t="s">
        <v>14</v>
      </c>
      <c r="C260" s="63" t="s">
        <v>14</v>
      </c>
      <c r="D260" s="61" t="s">
        <v>557</v>
      </c>
      <c r="E260" s="61" t="s">
        <v>14</v>
      </c>
      <c r="F260" s="61"/>
      <c r="G260" s="61"/>
      <c r="H260" s="61"/>
      <c r="I260" s="61"/>
      <c r="J260" s="62" t="s">
        <v>566</v>
      </c>
    </row>
    <row r="261" spans="1:10" s="17" customFormat="1" hidden="1">
      <c r="A261" s="62" t="s">
        <v>567</v>
      </c>
      <c r="B261" s="63" t="s">
        <v>14</v>
      </c>
      <c r="C261" s="63" t="s">
        <v>14</v>
      </c>
      <c r="D261" s="61" t="s">
        <v>568</v>
      </c>
      <c r="E261" s="61" t="s">
        <v>14</v>
      </c>
      <c r="F261" s="61"/>
      <c r="G261" s="61"/>
      <c r="H261" s="61"/>
      <c r="I261" s="61"/>
      <c r="J261" s="62" t="s">
        <v>569</v>
      </c>
    </row>
    <row r="262" spans="1:10" s="17" customFormat="1" hidden="1">
      <c r="A262" s="62" t="s">
        <v>570</v>
      </c>
      <c r="B262" s="63" t="s">
        <v>14</v>
      </c>
      <c r="C262" s="63" t="s">
        <v>14</v>
      </c>
      <c r="D262" s="61" t="s">
        <v>568</v>
      </c>
      <c r="E262" s="61" t="s">
        <v>14</v>
      </c>
      <c r="F262" s="61"/>
      <c r="G262" s="61"/>
      <c r="H262" s="61"/>
      <c r="I262" s="61"/>
      <c r="J262" s="62" t="s">
        <v>571</v>
      </c>
    </row>
    <row r="263" spans="1:10" s="17" customFormat="1" hidden="1">
      <c r="A263" s="62" t="s">
        <v>572</v>
      </c>
      <c r="B263" s="63" t="s">
        <v>14</v>
      </c>
      <c r="C263" s="63" t="s">
        <v>14</v>
      </c>
      <c r="D263" s="61" t="s">
        <v>568</v>
      </c>
      <c r="E263" s="61" t="s">
        <v>14</v>
      </c>
      <c r="F263" s="61"/>
      <c r="G263" s="61"/>
      <c r="H263" s="61"/>
      <c r="I263" s="61"/>
      <c r="J263" s="62" t="s">
        <v>573</v>
      </c>
    </row>
    <row r="264" spans="1:10" s="17" customFormat="1" hidden="1">
      <c r="A264" s="62" t="s">
        <v>574</v>
      </c>
      <c r="B264" s="63" t="s">
        <v>14</v>
      </c>
      <c r="C264" s="63" t="s">
        <v>14</v>
      </c>
      <c r="D264" s="61" t="s">
        <v>568</v>
      </c>
      <c r="E264" s="61" t="s">
        <v>14</v>
      </c>
      <c r="F264" s="61"/>
      <c r="G264" s="61"/>
      <c r="H264" s="61"/>
      <c r="I264" s="61"/>
      <c r="J264" s="62" t="s">
        <v>575</v>
      </c>
    </row>
    <row r="265" spans="1:10" s="17" customFormat="1" hidden="1">
      <c r="A265" s="62" t="s">
        <v>576</v>
      </c>
      <c r="B265" s="63" t="s">
        <v>14</v>
      </c>
      <c r="C265" s="63" t="s">
        <v>14</v>
      </c>
      <c r="D265" s="61" t="s">
        <v>568</v>
      </c>
      <c r="E265" s="61" t="s">
        <v>14</v>
      </c>
      <c r="F265" s="61"/>
      <c r="G265" s="61"/>
      <c r="H265" s="61"/>
      <c r="I265" s="61"/>
      <c r="J265" s="62" t="s">
        <v>577</v>
      </c>
    </row>
    <row r="266" spans="1:10" s="17" customFormat="1" hidden="1">
      <c r="A266" s="62" t="s">
        <v>578</v>
      </c>
      <c r="B266" s="63" t="s">
        <v>14</v>
      </c>
      <c r="C266" s="63" t="s">
        <v>14</v>
      </c>
      <c r="D266" s="61" t="s">
        <v>568</v>
      </c>
      <c r="E266" s="61" t="s">
        <v>14</v>
      </c>
      <c r="F266" s="61"/>
      <c r="G266" s="61"/>
      <c r="H266" s="61"/>
      <c r="I266" s="61"/>
      <c r="J266" s="62" t="s">
        <v>577</v>
      </c>
    </row>
    <row r="267" spans="1:10" s="17" customFormat="1" hidden="1">
      <c r="A267" s="62" t="s">
        <v>579</v>
      </c>
      <c r="B267" s="63" t="s">
        <v>14</v>
      </c>
      <c r="C267" s="63" t="s">
        <v>14</v>
      </c>
      <c r="D267" s="61" t="s">
        <v>568</v>
      </c>
      <c r="E267" s="61" t="s">
        <v>14</v>
      </c>
      <c r="F267" s="61"/>
      <c r="G267" s="61"/>
      <c r="H267" s="61"/>
      <c r="I267" s="61"/>
      <c r="J267" s="62" t="s">
        <v>580</v>
      </c>
    </row>
    <row r="268" spans="1:10" s="17" customFormat="1" hidden="1">
      <c r="A268" s="62" t="s">
        <v>581</v>
      </c>
      <c r="B268" s="63" t="s">
        <v>14</v>
      </c>
      <c r="C268" s="63" t="s">
        <v>14</v>
      </c>
      <c r="D268" s="61" t="s">
        <v>568</v>
      </c>
      <c r="E268" s="61" t="s">
        <v>14</v>
      </c>
      <c r="F268" s="61"/>
      <c r="G268" s="61"/>
      <c r="H268" s="61"/>
      <c r="I268" s="61"/>
      <c r="J268" s="62" t="s">
        <v>580</v>
      </c>
    </row>
    <row r="269" spans="1:10" s="17" customFormat="1">
      <c r="A269" s="62" t="s">
        <v>582</v>
      </c>
      <c r="B269" s="63" t="s">
        <v>11</v>
      </c>
      <c r="C269" s="63" t="s">
        <v>11</v>
      </c>
      <c r="D269" s="61"/>
      <c r="E269" s="61"/>
      <c r="F269" s="61"/>
      <c r="G269" s="61"/>
      <c r="H269" s="61"/>
      <c r="I269" s="61"/>
      <c r="J269" s="62" t="s">
        <v>583</v>
      </c>
    </row>
    <row r="270" spans="1:10" s="17" customFormat="1">
      <c r="A270" s="62" t="s">
        <v>584</v>
      </c>
      <c r="B270" s="63" t="s">
        <v>11</v>
      </c>
      <c r="C270" s="63" t="s">
        <v>11</v>
      </c>
      <c r="D270" s="61"/>
      <c r="E270" s="61"/>
      <c r="F270" s="61"/>
      <c r="G270" s="61"/>
      <c r="H270" s="61"/>
      <c r="I270" s="61"/>
      <c r="J270" s="62" t="s">
        <v>585</v>
      </c>
    </row>
    <row r="271" spans="1:10" s="17" customFormat="1">
      <c r="A271" s="62" t="s">
        <v>586</v>
      </c>
      <c r="B271" s="63" t="s">
        <v>11</v>
      </c>
      <c r="C271" s="63" t="s">
        <v>11</v>
      </c>
      <c r="D271" s="61"/>
      <c r="E271" s="61"/>
      <c r="F271" s="61"/>
      <c r="G271" s="61"/>
      <c r="H271" s="61"/>
      <c r="I271" s="61"/>
      <c r="J271" s="62" t="s">
        <v>587</v>
      </c>
    </row>
    <row r="272" spans="1:10" s="17" customFormat="1">
      <c r="A272" s="62" t="s">
        <v>588</v>
      </c>
      <c r="B272" s="63" t="s">
        <v>11</v>
      </c>
      <c r="C272" s="61" t="s">
        <v>589</v>
      </c>
      <c r="D272" s="61"/>
      <c r="E272" s="61"/>
      <c r="F272" s="61" t="s">
        <v>11</v>
      </c>
      <c r="G272" s="61" t="s">
        <v>86</v>
      </c>
      <c r="H272" s="61"/>
      <c r="I272" s="61"/>
      <c r="J272" s="62" t="s">
        <v>590</v>
      </c>
    </row>
    <row r="273" spans="1:10" s="17" customFormat="1">
      <c r="A273" s="62" t="s">
        <v>591</v>
      </c>
      <c r="B273" s="63" t="s">
        <v>11</v>
      </c>
      <c r="C273" s="61" t="s">
        <v>589</v>
      </c>
      <c r="D273" s="61"/>
      <c r="E273" s="61"/>
      <c r="F273" s="61" t="s">
        <v>11</v>
      </c>
      <c r="G273" s="61" t="s">
        <v>86</v>
      </c>
      <c r="H273" s="61"/>
      <c r="I273" s="61"/>
      <c r="J273" s="62" t="s">
        <v>592</v>
      </c>
    </row>
    <row r="274" spans="1:10" s="17" customFormat="1">
      <c r="A274" s="62" t="s">
        <v>593</v>
      </c>
      <c r="B274" s="63" t="s">
        <v>11</v>
      </c>
      <c r="C274" s="63" t="s">
        <v>11</v>
      </c>
      <c r="D274" s="61"/>
      <c r="E274" s="61"/>
      <c r="F274" s="61"/>
      <c r="G274" s="61"/>
      <c r="H274" s="61"/>
      <c r="I274" s="61"/>
      <c r="J274" s="62" t="s">
        <v>594</v>
      </c>
    </row>
    <row r="275" spans="1:10" s="17" customFormat="1">
      <c r="A275" s="62" t="s">
        <v>595</v>
      </c>
      <c r="B275" s="63" t="s">
        <v>11</v>
      </c>
      <c r="C275" s="63" t="s">
        <v>11</v>
      </c>
      <c r="D275" s="61"/>
      <c r="E275" s="61"/>
      <c r="F275" s="61"/>
      <c r="G275" s="61"/>
      <c r="H275" s="61"/>
      <c r="I275" s="61"/>
      <c r="J275" s="62" t="s">
        <v>596</v>
      </c>
    </row>
    <row r="276" spans="1:10" s="17" customFormat="1">
      <c r="A276" s="62" t="s">
        <v>597</v>
      </c>
      <c r="B276" s="63" t="s">
        <v>11</v>
      </c>
      <c r="C276" s="61" t="s">
        <v>11</v>
      </c>
      <c r="D276" s="61" t="s">
        <v>598</v>
      </c>
      <c r="E276" s="61"/>
      <c r="F276" s="61"/>
      <c r="G276" s="61"/>
      <c r="H276" s="61"/>
      <c r="I276" s="61"/>
      <c r="J276" s="62" t="s">
        <v>599</v>
      </c>
    </row>
    <row r="277" spans="1:10" s="17" customFormat="1">
      <c r="A277" s="62" t="s">
        <v>600</v>
      </c>
      <c r="B277" s="63" t="s">
        <v>11</v>
      </c>
      <c r="C277" s="63" t="s">
        <v>11</v>
      </c>
      <c r="D277" s="61"/>
      <c r="E277" s="61"/>
      <c r="F277" s="61"/>
      <c r="G277" s="61"/>
      <c r="H277" s="61"/>
      <c r="I277" s="61"/>
      <c r="J277" s="62" t="s">
        <v>601</v>
      </c>
    </row>
    <row r="278" spans="1:10" s="17" customFormat="1">
      <c r="A278" s="62" t="s">
        <v>602</v>
      </c>
      <c r="B278" s="63" t="s">
        <v>11</v>
      </c>
      <c r="C278" s="61" t="s">
        <v>14</v>
      </c>
      <c r="D278" s="61"/>
      <c r="E278" s="61"/>
      <c r="F278" s="61" t="s">
        <v>14</v>
      </c>
      <c r="G278" s="61" t="s">
        <v>11</v>
      </c>
      <c r="H278" s="61"/>
      <c r="I278" s="61"/>
      <c r="J278" s="62" t="s">
        <v>603</v>
      </c>
    </row>
    <row r="279" spans="1:10" s="17" customFormat="1">
      <c r="A279" s="62" t="s">
        <v>604</v>
      </c>
      <c r="B279" s="63" t="s">
        <v>11</v>
      </c>
      <c r="C279" s="63" t="s">
        <v>11</v>
      </c>
      <c r="D279" s="61"/>
      <c r="E279" s="61"/>
      <c r="F279" s="61"/>
      <c r="G279" s="61"/>
      <c r="H279" s="61"/>
      <c r="I279" s="61"/>
      <c r="J279" s="62" t="s">
        <v>605</v>
      </c>
    </row>
    <row r="280" spans="1:10" s="17" customFormat="1" hidden="1">
      <c r="A280" s="62" t="s">
        <v>606</v>
      </c>
      <c r="B280" s="63" t="s">
        <v>14</v>
      </c>
      <c r="C280" s="63" t="s">
        <v>14</v>
      </c>
      <c r="D280" s="61" t="s">
        <v>607</v>
      </c>
      <c r="E280" s="61" t="s">
        <v>14</v>
      </c>
      <c r="F280" s="61"/>
      <c r="G280" s="61"/>
      <c r="H280" s="61"/>
      <c r="I280" s="61"/>
      <c r="J280" s="62" t="s">
        <v>608</v>
      </c>
    </row>
    <row r="281" spans="1:10" s="17" customFormat="1" hidden="1">
      <c r="A281" s="62" t="s">
        <v>609</v>
      </c>
      <c r="B281" s="63" t="s">
        <v>610</v>
      </c>
      <c r="C281" s="63" t="s">
        <v>14</v>
      </c>
      <c r="D281" s="61" t="s">
        <v>607</v>
      </c>
      <c r="E281" s="61" t="s">
        <v>14</v>
      </c>
      <c r="F281" s="61"/>
      <c r="G281" s="61"/>
      <c r="H281" s="61"/>
      <c r="I281" s="61"/>
      <c r="J281" s="62" t="s">
        <v>611</v>
      </c>
    </row>
    <row r="282" spans="1:10" s="17" customFormat="1" hidden="1">
      <c r="A282" s="62" t="s">
        <v>612</v>
      </c>
      <c r="B282" s="63" t="s">
        <v>14</v>
      </c>
      <c r="C282" s="63" t="s">
        <v>14</v>
      </c>
      <c r="D282" s="61" t="s">
        <v>607</v>
      </c>
      <c r="E282" s="61" t="s">
        <v>14</v>
      </c>
      <c r="F282" s="61"/>
      <c r="G282" s="61"/>
      <c r="H282" s="61" t="s">
        <v>504</v>
      </c>
      <c r="I282" s="61"/>
      <c r="J282" s="62" t="s">
        <v>613</v>
      </c>
    </row>
    <row r="283" spans="1:10" s="17" customFormat="1">
      <c r="A283" s="62" t="s">
        <v>614</v>
      </c>
      <c r="B283" s="63" t="s">
        <v>11</v>
      </c>
      <c r="C283" s="63" t="s">
        <v>11</v>
      </c>
      <c r="D283" s="61"/>
      <c r="E283" s="61"/>
      <c r="F283" s="61"/>
      <c r="G283" s="61"/>
      <c r="H283" s="61"/>
      <c r="I283" s="61"/>
      <c r="J283" s="62" t="s">
        <v>615</v>
      </c>
    </row>
    <row r="284" spans="1:10" s="17" customFormat="1">
      <c r="A284" s="62" t="s">
        <v>616</v>
      </c>
      <c r="B284" s="63" t="s">
        <v>11</v>
      </c>
      <c r="C284" s="61" t="s">
        <v>11</v>
      </c>
      <c r="D284" s="61" t="s">
        <v>617</v>
      </c>
      <c r="E284" s="61"/>
      <c r="F284" s="61"/>
      <c r="G284" s="61"/>
      <c r="H284" s="61"/>
      <c r="I284" s="61"/>
      <c r="J284" s="62" t="s">
        <v>618</v>
      </c>
    </row>
    <row r="285" spans="1:10" s="17" customFormat="1">
      <c r="A285" s="62" t="s">
        <v>619</v>
      </c>
      <c r="B285" s="63" t="s">
        <v>11</v>
      </c>
      <c r="C285" s="61" t="s">
        <v>11</v>
      </c>
      <c r="D285" s="61" t="s">
        <v>617</v>
      </c>
      <c r="E285" s="61"/>
      <c r="F285" s="61"/>
      <c r="G285" s="61"/>
      <c r="H285" s="61"/>
      <c r="I285" s="61"/>
      <c r="J285" s="62" t="s">
        <v>620</v>
      </c>
    </row>
    <row r="286" spans="1:10" s="17" customFormat="1">
      <c r="A286" s="62" t="s">
        <v>621</v>
      </c>
      <c r="B286" s="63" t="s">
        <v>11</v>
      </c>
      <c r="C286" s="61" t="s">
        <v>11</v>
      </c>
      <c r="D286" s="61" t="s">
        <v>617</v>
      </c>
      <c r="E286" s="61"/>
      <c r="F286" s="61"/>
      <c r="G286" s="61"/>
      <c r="H286" s="61"/>
      <c r="I286" s="61"/>
      <c r="J286" s="62" t="s">
        <v>622</v>
      </c>
    </row>
    <row r="287" spans="1:10" s="17" customFormat="1">
      <c r="A287" s="62" t="s">
        <v>623</v>
      </c>
      <c r="B287" s="63" t="s">
        <v>11</v>
      </c>
      <c r="C287" s="61" t="s">
        <v>11</v>
      </c>
      <c r="D287" s="61" t="s">
        <v>617</v>
      </c>
      <c r="E287" s="61"/>
      <c r="F287" s="61"/>
      <c r="G287" s="61"/>
      <c r="H287" s="61"/>
      <c r="I287" s="61"/>
      <c r="J287" s="62" t="s">
        <v>624</v>
      </c>
    </row>
    <row r="288" spans="1:10" s="17" customFormat="1">
      <c r="A288" s="62" t="s">
        <v>625</v>
      </c>
      <c r="B288" s="63" t="s">
        <v>11</v>
      </c>
      <c r="C288" s="61" t="s">
        <v>11</v>
      </c>
      <c r="D288" s="61" t="s">
        <v>617</v>
      </c>
      <c r="E288" s="61"/>
      <c r="F288" s="61"/>
      <c r="G288" s="61"/>
      <c r="H288" s="61"/>
      <c r="I288" s="61"/>
      <c r="J288" s="62" t="s">
        <v>626</v>
      </c>
    </row>
    <row r="289" spans="1:10" s="17" customFormat="1">
      <c r="A289" s="62" t="s">
        <v>627</v>
      </c>
      <c r="B289" s="63" t="s">
        <v>11</v>
      </c>
      <c r="C289" s="61" t="s">
        <v>11</v>
      </c>
      <c r="D289" s="61" t="s">
        <v>617</v>
      </c>
      <c r="E289" s="61"/>
      <c r="F289" s="61"/>
      <c r="G289" s="61"/>
      <c r="H289" s="61"/>
      <c r="I289" s="61"/>
      <c r="J289" s="62" t="s">
        <v>628</v>
      </c>
    </row>
    <row r="290" spans="1:10" s="17" customFormat="1">
      <c r="A290" s="62" t="s">
        <v>629</v>
      </c>
      <c r="B290" s="63" t="s">
        <v>11</v>
      </c>
      <c r="C290" s="61" t="s">
        <v>11</v>
      </c>
      <c r="D290" s="61" t="s">
        <v>617</v>
      </c>
      <c r="E290" s="61"/>
      <c r="F290" s="61"/>
      <c r="G290" s="61"/>
      <c r="H290" s="61"/>
      <c r="I290" s="61"/>
      <c r="J290" s="62" t="s">
        <v>630</v>
      </c>
    </row>
    <row r="291" spans="1:10" s="17" customFormat="1">
      <c r="A291" s="62" t="s">
        <v>631</v>
      </c>
      <c r="B291" s="63" t="s">
        <v>11</v>
      </c>
      <c r="C291" s="61" t="s">
        <v>11</v>
      </c>
      <c r="D291" s="61" t="s">
        <v>617</v>
      </c>
      <c r="E291" s="61"/>
      <c r="F291" s="61"/>
      <c r="G291" s="61"/>
      <c r="H291" s="61"/>
      <c r="I291" s="61"/>
      <c r="J291" s="62" t="s">
        <v>632</v>
      </c>
    </row>
    <row r="292" spans="1:10" s="17" customFormat="1">
      <c r="A292" s="62" t="s">
        <v>633</v>
      </c>
      <c r="B292" s="63" t="s">
        <v>11</v>
      </c>
      <c r="C292" s="63" t="s">
        <v>11</v>
      </c>
      <c r="D292" s="61"/>
      <c r="E292" s="61"/>
      <c r="F292" s="61"/>
      <c r="G292" s="61"/>
      <c r="H292" s="61"/>
      <c r="I292" s="61"/>
      <c r="J292" s="62" t="s">
        <v>634</v>
      </c>
    </row>
    <row r="293" spans="1:10" s="17" customFormat="1">
      <c r="A293" s="62" t="s">
        <v>635</v>
      </c>
      <c r="B293" s="63" t="s">
        <v>11</v>
      </c>
      <c r="C293" s="63" t="s">
        <v>11</v>
      </c>
      <c r="D293" s="61"/>
      <c r="E293" s="61"/>
      <c r="F293" s="61"/>
      <c r="G293" s="61"/>
      <c r="H293" s="61"/>
      <c r="I293" s="61"/>
      <c r="J293" s="62" t="s">
        <v>636</v>
      </c>
    </row>
    <row r="294" spans="1:10" s="17" customFormat="1">
      <c r="A294" s="62" t="s">
        <v>637</v>
      </c>
      <c r="B294" s="63" t="s">
        <v>11</v>
      </c>
      <c r="C294" s="63" t="s">
        <v>11</v>
      </c>
      <c r="D294" s="61"/>
      <c r="E294" s="61"/>
      <c r="F294" s="61"/>
      <c r="G294" s="61"/>
      <c r="H294" s="61"/>
      <c r="I294" s="61"/>
      <c r="J294" s="62" t="s">
        <v>638</v>
      </c>
    </row>
    <row r="295" spans="1:10" s="17" customFormat="1">
      <c r="A295" s="62" t="s">
        <v>639</v>
      </c>
      <c r="B295" s="63" t="s">
        <v>11</v>
      </c>
      <c r="C295" s="61" t="s">
        <v>14</v>
      </c>
      <c r="D295" s="61" t="s">
        <v>551</v>
      </c>
      <c r="E295" s="61"/>
      <c r="F295" s="61"/>
      <c r="G295" s="61" t="s">
        <v>504</v>
      </c>
      <c r="H295" s="61"/>
      <c r="I295" s="61"/>
      <c r="J295" s="62" t="s">
        <v>640</v>
      </c>
    </row>
    <row r="296" spans="1:10" s="17" customFormat="1" hidden="1">
      <c r="A296" s="62" t="s">
        <v>641</v>
      </c>
      <c r="B296" s="63" t="s">
        <v>14</v>
      </c>
      <c r="C296" s="61" t="s">
        <v>14</v>
      </c>
      <c r="D296" s="61"/>
      <c r="E296" s="61" t="s">
        <v>14</v>
      </c>
      <c r="F296" s="61"/>
      <c r="G296" s="61"/>
      <c r="H296" s="61"/>
      <c r="I296" s="61"/>
      <c r="J296" s="62" t="s">
        <v>642</v>
      </c>
    </row>
    <row r="297" spans="1:10" s="17" customFormat="1">
      <c r="A297" s="62" t="s">
        <v>643</v>
      </c>
      <c r="B297" s="63" t="s">
        <v>11</v>
      </c>
      <c r="C297" s="63" t="s">
        <v>14</v>
      </c>
      <c r="D297" s="61" t="s">
        <v>644</v>
      </c>
      <c r="E297" s="61" t="s">
        <v>14</v>
      </c>
      <c r="F297" s="61"/>
      <c r="G297" s="61"/>
      <c r="H297" s="61"/>
      <c r="I297" s="61"/>
      <c r="J297" s="62" t="s">
        <v>645</v>
      </c>
    </row>
    <row r="298" spans="1:10" s="17" customFormat="1">
      <c r="A298" s="62" t="s">
        <v>646</v>
      </c>
      <c r="B298" s="63" t="s">
        <v>11</v>
      </c>
      <c r="C298" s="63" t="s">
        <v>11</v>
      </c>
      <c r="D298" s="61"/>
      <c r="E298" s="61"/>
      <c r="F298" s="61"/>
      <c r="G298" s="61"/>
      <c r="H298" s="61"/>
      <c r="I298" s="61"/>
      <c r="J298" s="62" t="s">
        <v>647</v>
      </c>
    </row>
    <row r="299" spans="1:10" s="17" customFormat="1">
      <c r="A299" s="62" t="s">
        <v>648</v>
      </c>
      <c r="B299" s="63" t="s">
        <v>11</v>
      </c>
      <c r="C299" s="63" t="s">
        <v>11</v>
      </c>
      <c r="D299" s="61"/>
      <c r="E299" s="61"/>
      <c r="F299" s="61"/>
      <c r="G299" s="61"/>
      <c r="H299" s="61"/>
      <c r="I299" s="61"/>
      <c r="J299" s="62" t="s">
        <v>649</v>
      </c>
    </row>
    <row r="300" spans="1:10" s="17" customFormat="1">
      <c r="A300" s="62" t="s">
        <v>650</v>
      </c>
      <c r="B300" s="63" t="s">
        <v>11</v>
      </c>
      <c r="C300" s="63" t="s">
        <v>11</v>
      </c>
      <c r="D300" s="61"/>
      <c r="E300" s="61"/>
      <c r="F300" s="61"/>
      <c r="G300" s="61"/>
      <c r="H300" s="61"/>
      <c r="I300" s="61"/>
      <c r="J300" s="62" t="s">
        <v>651</v>
      </c>
    </row>
    <row r="301" spans="1:10" s="17" customFormat="1">
      <c r="A301" s="62" t="s">
        <v>652</v>
      </c>
      <c r="B301" s="63" t="s">
        <v>11</v>
      </c>
      <c r="C301" s="63" t="s">
        <v>14</v>
      </c>
      <c r="D301" s="61" t="s">
        <v>653</v>
      </c>
      <c r="E301" s="61" t="s">
        <v>14</v>
      </c>
      <c r="F301" s="61"/>
      <c r="G301" s="61"/>
      <c r="H301" s="61"/>
      <c r="I301" s="61"/>
      <c r="J301" s="62"/>
    </row>
    <row r="302" spans="1:10" s="17" customFormat="1">
      <c r="A302" s="62" t="s">
        <v>654</v>
      </c>
      <c r="B302" s="63" t="s">
        <v>11</v>
      </c>
      <c r="C302" s="61" t="s">
        <v>85</v>
      </c>
      <c r="D302" s="61"/>
      <c r="E302" s="61"/>
      <c r="F302" s="61" t="s">
        <v>86</v>
      </c>
      <c r="G302" s="61" t="s">
        <v>86</v>
      </c>
      <c r="I302" s="61" t="s">
        <v>325</v>
      </c>
      <c r="J302" s="17" t="s">
        <v>655</v>
      </c>
    </row>
    <row r="303" spans="1:10" s="17" customFormat="1">
      <c r="A303" s="62" t="s">
        <v>656</v>
      </c>
      <c r="B303" s="63" t="s">
        <v>11</v>
      </c>
      <c r="C303" s="63" t="s">
        <v>14</v>
      </c>
      <c r="D303" s="61" t="s">
        <v>653</v>
      </c>
      <c r="E303" s="61" t="s">
        <v>14</v>
      </c>
      <c r="F303" s="61"/>
      <c r="G303" s="61"/>
      <c r="H303" s="61"/>
      <c r="I303" s="61"/>
      <c r="J303" s="62" t="s">
        <v>657</v>
      </c>
    </row>
    <row r="304" spans="1:10" s="17" customFormat="1">
      <c r="A304" s="62" t="s">
        <v>658</v>
      </c>
      <c r="B304" s="63" t="s">
        <v>11</v>
      </c>
      <c r="C304" s="61" t="s">
        <v>11</v>
      </c>
      <c r="D304" s="61"/>
      <c r="E304" s="61"/>
      <c r="F304" s="61"/>
      <c r="G304" s="61"/>
      <c r="H304" s="61"/>
      <c r="I304" s="61"/>
      <c r="J304" s="62" t="s">
        <v>659</v>
      </c>
    </row>
    <row r="305" spans="1:10" s="17" customFormat="1">
      <c r="A305" s="62" t="s">
        <v>660</v>
      </c>
      <c r="B305" s="63" t="s">
        <v>11</v>
      </c>
      <c r="C305" s="63" t="s">
        <v>11</v>
      </c>
      <c r="D305" s="61"/>
      <c r="E305" s="61"/>
      <c r="F305" s="61"/>
      <c r="G305" s="61"/>
      <c r="H305" s="61"/>
      <c r="I305" s="61"/>
      <c r="J305" s="62" t="s">
        <v>661</v>
      </c>
    </row>
    <row r="306" spans="1:10" s="17" customFormat="1">
      <c r="A306" s="62" t="s">
        <v>662</v>
      </c>
      <c r="B306" s="63" t="s">
        <v>11</v>
      </c>
      <c r="C306" s="63" t="s">
        <v>14</v>
      </c>
      <c r="D306" s="61" t="s">
        <v>653</v>
      </c>
      <c r="E306" s="61" t="s">
        <v>14</v>
      </c>
      <c r="F306" s="61"/>
      <c r="G306" s="61"/>
      <c r="H306" s="61"/>
      <c r="I306" s="61"/>
      <c r="J306" s="62" t="s">
        <v>663</v>
      </c>
    </row>
    <row r="307" spans="1:10" s="17" customFormat="1">
      <c r="A307" s="62" t="s">
        <v>664</v>
      </c>
      <c r="B307" s="63" t="s">
        <v>11</v>
      </c>
      <c r="C307" s="63" t="s">
        <v>14</v>
      </c>
      <c r="D307" s="61" t="s">
        <v>653</v>
      </c>
      <c r="E307" s="61" t="s">
        <v>14</v>
      </c>
      <c r="F307" s="61"/>
      <c r="G307" s="61"/>
      <c r="H307" s="61"/>
      <c r="I307" s="61"/>
      <c r="J307" s="62" t="s">
        <v>665</v>
      </c>
    </row>
    <row r="308" spans="1:10" s="17" customFormat="1">
      <c r="A308" s="62" t="s">
        <v>666</v>
      </c>
      <c r="B308" s="63" t="s">
        <v>11</v>
      </c>
      <c r="C308" s="63" t="s">
        <v>14</v>
      </c>
      <c r="D308" s="61" t="s">
        <v>653</v>
      </c>
      <c r="E308" s="61" t="s">
        <v>14</v>
      </c>
      <c r="F308" s="61"/>
      <c r="G308" s="61"/>
      <c r="H308" s="61"/>
      <c r="I308" s="61"/>
      <c r="J308" s="62"/>
    </row>
    <row r="309" spans="1:10" s="17" customFormat="1">
      <c r="A309" s="62" t="s">
        <v>667</v>
      </c>
      <c r="B309" s="63" t="s">
        <v>11</v>
      </c>
      <c r="C309" s="63" t="s">
        <v>14</v>
      </c>
      <c r="D309" s="61" t="s">
        <v>653</v>
      </c>
      <c r="E309" s="61" t="s">
        <v>14</v>
      </c>
      <c r="F309" s="61"/>
      <c r="G309" s="61"/>
      <c r="H309" s="61"/>
      <c r="I309" s="61"/>
      <c r="J309" s="62" t="s">
        <v>663</v>
      </c>
    </row>
    <row r="310" spans="1:10" s="17" customFormat="1" hidden="1">
      <c r="A310" s="62" t="s">
        <v>668</v>
      </c>
      <c r="B310" s="63" t="s">
        <v>14</v>
      </c>
      <c r="C310" s="63" t="s">
        <v>14</v>
      </c>
      <c r="D310" s="61" t="s">
        <v>669</v>
      </c>
      <c r="E310" s="61" t="s">
        <v>14</v>
      </c>
      <c r="F310" s="61"/>
      <c r="G310" s="61"/>
      <c r="H310" s="61"/>
      <c r="I310" s="61"/>
      <c r="J310" s="62" t="s">
        <v>670</v>
      </c>
    </row>
    <row r="311" spans="1:10" s="17" customFormat="1">
      <c r="A311" s="62" t="s">
        <v>671</v>
      </c>
      <c r="B311" s="63" t="s">
        <v>11</v>
      </c>
      <c r="C311" s="63" t="s">
        <v>11</v>
      </c>
      <c r="D311" s="61" t="s">
        <v>283</v>
      </c>
      <c r="E311" s="61"/>
      <c r="F311" s="61"/>
      <c r="G311" s="61"/>
      <c r="H311" s="61"/>
      <c r="I311" s="61"/>
      <c r="J311" s="62" t="s">
        <v>672</v>
      </c>
    </row>
    <row r="312" spans="1:10" s="17" customFormat="1">
      <c r="A312" s="62" t="s">
        <v>673</v>
      </c>
      <c r="B312" s="63" t="s">
        <v>11</v>
      </c>
      <c r="C312" s="63" t="s">
        <v>11</v>
      </c>
      <c r="D312" s="61"/>
      <c r="E312" s="61"/>
      <c r="F312" s="61"/>
      <c r="G312" s="61"/>
      <c r="H312" s="61"/>
      <c r="I312" s="61"/>
      <c r="J312" s="62" t="s">
        <v>674</v>
      </c>
    </row>
    <row r="313" spans="1:10" s="17" customFormat="1" hidden="1">
      <c r="A313" s="62" t="s">
        <v>675</v>
      </c>
      <c r="B313" s="63" t="s">
        <v>14</v>
      </c>
      <c r="C313" s="63" t="s">
        <v>14</v>
      </c>
      <c r="D313" s="61"/>
      <c r="E313" s="61" t="s">
        <v>14</v>
      </c>
      <c r="F313" s="61"/>
      <c r="G313" s="61"/>
      <c r="H313" s="61"/>
      <c r="I313" s="61"/>
      <c r="J313" s="62" t="s">
        <v>676</v>
      </c>
    </row>
    <row r="314" spans="1:10" s="17" customFormat="1">
      <c r="A314" s="62" t="s">
        <v>677</v>
      </c>
      <c r="B314" s="63" t="s">
        <v>11</v>
      </c>
      <c r="C314" s="63" t="s">
        <v>11</v>
      </c>
      <c r="D314" s="61"/>
      <c r="E314" s="61"/>
      <c r="F314" s="61"/>
      <c r="G314" s="61"/>
      <c r="H314" s="61"/>
      <c r="I314" s="61"/>
      <c r="J314" s="62" t="s">
        <v>678</v>
      </c>
    </row>
    <row r="315" spans="1:10" s="17" customFormat="1">
      <c r="A315" s="62" t="s">
        <v>679</v>
      </c>
      <c r="B315" s="63" t="s">
        <v>11</v>
      </c>
      <c r="C315" s="63" t="s">
        <v>11</v>
      </c>
      <c r="D315" s="61"/>
      <c r="E315" s="61"/>
      <c r="F315" s="61"/>
      <c r="G315" s="61"/>
      <c r="H315" s="61"/>
      <c r="I315" s="61"/>
      <c r="J315" s="62" t="s">
        <v>680</v>
      </c>
    </row>
    <row r="316" spans="1:10" s="17" customFormat="1" hidden="1">
      <c r="A316" s="62" t="s">
        <v>681</v>
      </c>
      <c r="B316" s="63" t="s">
        <v>14</v>
      </c>
      <c r="C316" s="63" t="s">
        <v>14</v>
      </c>
      <c r="D316" s="61" t="s">
        <v>316</v>
      </c>
      <c r="E316" s="61" t="s">
        <v>14</v>
      </c>
      <c r="F316" s="61"/>
      <c r="G316" s="61"/>
      <c r="H316" s="61"/>
      <c r="I316" s="61"/>
      <c r="J316" s="62" t="s">
        <v>682</v>
      </c>
    </row>
    <row r="317" spans="1:10" s="17" customFormat="1">
      <c r="A317" s="62" t="s">
        <v>683</v>
      </c>
      <c r="B317" s="63" t="s">
        <v>11</v>
      </c>
      <c r="C317" s="63" t="s">
        <v>11</v>
      </c>
      <c r="D317" s="61" t="s">
        <v>684</v>
      </c>
      <c r="E317" s="61"/>
      <c r="F317" s="61"/>
      <c r="G317" s="61"/>
      <c r="H317" s="61"/>
      <c r="I317" s="61"/>
      <c r="J317" s="62" t="s">
        <v>685</v>
      </c>
    </row>
    <row r="318" spans="1:10" s="17" customFormat="1" hidden="1">
      <c r="A318" s="62" t="s">
        <v>686</v>
      </c>
      <c r="B318" s="63" t="s">
        <v>14</v>
      </c>
      <c r="C318" s="63" t="s">
        <v>14</v>
      </c>
      <c r="D318" s="61" t="s">
        <v>687</v>
      </c>
      <c r="E318" s="61" t="s">
        <v>14</v>
      </c>
      <c r="F318" s="61"/>
      <c r="G318" s="61"/>
      <c r="H318" s="61"/>
      <c r="I318" s="61"/>
      <c r="J318" s="62" t="s">
        <v>688</v>
      </c>
    </row>
    <row r="319" spans="1:10" s="17" customFormat="1">
      <c r="A319" s="62" t="s">
        <v>689</v>
      </c>
      <c r="B319" s="63" t="s">
        <v>11</v>
      </c>
      <c r="C319" s="61" t="s">
        <v>14</v>
      </c>
      <c r="D319" s="61" t="s">
        <v>690</v>
      </c>
      <c r="E319" s="61"/>
      <c r="F319" s="61" t="s">
        <v>11</v>
      </c>
      <c r="G319" s="61" t="s">
        <v>14</v>
      </c>
      <c r="H319" s="61"/>
      <c r="I319" s="61"/>
      <c r="J319" s="62" t="s">
        <v>691</v>
      </c>
    </row>
    <row r="320" spans="1:10" s="17" customFormat="1">
      <c r="A320" s="62" t="s">
        <v>692</v>
      </c>
      <c r="B320" s="63" t="s">
        <v>11</v>
      </c>
      <c r="C320" s="63" t="s">
        <v>11</v>
      </c>
      <c r="D320" s="61"/>
      <c r="E320" s="61"/>
      <c r="F320" s="61"/>
      <c r="G320" s="61"/>
      <c r="H320" s="61"/>
      <c r="I320" s="61"/>
      <c r="J320" s="62" t="s">
        <v>693</v>
      </c>
    </row>
    <row r="321" spans="1:10" s="17" customFormat="1">
      <c r="A321" s="62" t="s">
        <v>694</v>
      </c>
      <c r="B321" s="63" t="s">
        <v>11</v>
      </c>
      <c r="C321" s="63" t="s">
        <v>11</v>
      </c>
      <c r="D321" s="61"/>
      <c r="E321" s="61"/>
      <c r="F321" s="61"/>
      <c r="G321" s="61"/>
      <c r="H321" s="61"/>
      <c r="I321" s="61"/>
      <c r="J321" s="62" t="s">
        <v>695</v>
      </c>
    </row>
    <row r="322" spans="1:10" s="17" customFormat="1" hidden="1">
      <c r="A322" s="62" t="s">
        <v>696</v>
      </c>
      <c r="B322" s="63" t="s">
        <v>14</v>
      </c>
      <c r="C322" s="63" t="s">
        <v>14</v>
      </c>
      <c r="D322" s="61"/>
      <c r="E322" s="61" t="s">
        <v>14</v>
      </c>
      <c r="F322" s="61"/>
      <c r="G322" s="61"/>
      <c r="H322" s="61"/>
      <c r="I322" s="61"/>
      <c r="J322" s="62" t="s">
        <v>697</v>
      </c>
    </row>
    <row r="323" spans="1:10" s="17" customFormat="1">
      <c r="A323" s="62" t="s">
        <v>698</v>
      </c>
      <c r="B323" s="63" t="s">
        <v>11</v>
      </c>
      <c r="C323" s="61" t="s">
        <v>14</v>
      </c>
      <c r="D323" s="61"/>
      <c r="E323" s="61"/>
      <c r="F323" s="61"/>
      <c r="G323" s="61" t="s">
        <v>504</v>
      </c>
      <c r="H323" s="61"/>
      <c r="I323" s="61"/>
      <c r="J323" s="62" t="s">
        <v>699</v>
      </c>
    </row>
    <row r="324" spans="1:10" s="17" customFormat="1">
      <c r="A324" s="62" t="s">
        <v>700</v>
      </c>
      <c r="B324" s="63" t="s">
        <v>11</v>
      </c>
      <c r="C324" s="61" t="s">
        <v>11</v>
      </c>
      <c r="D324" s="61"/>
      <c r="E324" s="61"/>
      <c r="F324" s="61"/>
      <c r="G324" s="61"/>
      <c r="H324" s="61"/>
      <c r="I324" s="61"/>
      <c r="J324" s="62" t="s">
        <v>701</v>
      </c>
    </row>
    <row r="325" spans="1:10" s="17" customFormat="1">
      <c r="A325" s="62" t="s">
        <v>702</v>
      </c>
      <c r="B325" s="63" t="s">
        <v>11</v>
      </c>
      <c r="C325" s="63" t="s">
        <v>11</v>
      </c>
      <c r="D325" s="61"/>
      <c r="E325" s="61"/>
      <c r="F325" s="61"/>
      <c r="G325" s="61"/>
      <c r="H325" s="61"/>
      <c r="I325" s="61"/>
      <c r="J325" s="62" t="s">
        <v>703</v>
      </c>
    </row>
    <row r="326" spans="1:10" s="17" customFormat="1">
      <c r="A326" s="62" t="s">
        <v>704</v>
      </c>
      <c r="B326" s="63" t="s">
        <v>11</v>
      </c>
      <c r="C326" s="61" t="s">
        <v>14</v>
      </c>
      <c r="D326" s="61"/>
      <c r="E326" s="61"/>
      <c r="F326" s="61" t="s">
        <v>14</v>
      </c>
      <c r="G326" s="61" t="s">
        <v>11</v>
      </c>
      <c r="H326" s="61"/>
      <c r="I326" s="61"/>
      <c r="J326" s="62" t="s">
        <v>705</v>
      </c>
    </row>
    <row r="327" spans="1:10" s="17" customFormat="1">
      <c r="A327" s="62" t="s">
        <v>706</v>
      </c>
      <c r="B327" s="63" t="s">
        <v>11</v>
      </c>
      <c r="C327" s="61" t="s">
        <v>14</v>
      </c>
      <c r="D327" s="61"/>
      <c r="E327" s="61"/>
      <c r="F327" s="61" t="s">
        <v>14</v>
      </c>
      <c r="G327" s="61" t="s">
        <v>11</v>
      </c>
      <c r="H327" s="61"/>
      <c r="I327" s="61"/>
      <c r="J327" s="62" t="s">
        <v>707</v>
      </c>
    </row>
    <row r="328" spans="1:10" s="17" customFormat="1" hidden="1">
      <c r="A328" s="62" t="s">
        <v>708</v>
      </c>
      <c r="B328" s="63" t="s">
        <v>14</v>
      </c>
      <c r="C328" s="63" t="s">
        <v>14</v>
      </c>
      <c r="D328" s="61" t="s">
        <v>557</v>
      </c>
      <c r="E328" s="61" t="s">
        <v>14</v>
      </c>
      <c r="F328" s="61"/>
      <c r="G328" s="61"/>
      <c r="H328" s="61"/>
      <c r="I328" s="61"/>
      <c r="J328" s="62" t="s">
        <v>709</v>
      </c>
    </row>
    <row r="329" spans="1:10" s="17" customFormat="1" hidden="1">
      <c r="A329" s="62" t="s">
        <v>710</v>
      </c>
      <c r="B329" s="63" t="s">
        <v>14</v>
      </c>
      <c r="C329" s="63" t="s">
        <v>14</v>
      </c>
      <c r="D329" s="61" t="s">
        <v>557</v>
      </c>
      <c r="E329" s="61" t="s">
        <v>14</v>
      </c>
      <c r="F329" s="61"/>
      <c r="G329" s="61"/>
      <c r="H329" s="61"/>
      <c r="I329" s="61"/>
      <c r="J329" s="62" t="s">
        <v>711</v>
      </c>
    </row>
    <row r="330" spans="1:10" s="17" customFormat="1">
      <c r="A330" s="62" t="s">
        <v>712</v>
      </c>
      <c r="B330" s="63" t="s">
        <v>11</v>
      </c>
      <c r="C330" s="63" t="s">
        <v>14</v>
      </c>
      <c r="D330" s="61" t="s">
        <v>557</v>
      </c>
      <c r="E330" s="61" t="s">
        <v>14</v>
      </c>
      <c r="F330" s="61"/>
      <c r="G330" s="61"/>
      <c r="H330" s="61"/>
      <c r="I330" s="61"/>
      <c r="J330" s="62" t="s">
        <v>712</v>
      </c>
    </row>
    <row r="331" spans="1:10" s="17" customFormat="1">
      <c r="A331" s="62" t="s">
        <v>713</v>
      </c>
      <c r="B331" s="63" t="s">
        <v>11</v>
      </c>
      <c r="C331" s="63" t="s">
        <v>11</v>
      </c>
      <c r="D331" s="61"/>
      <c r="E331" s="61"/>
      <c r="F331" s="61"/>
      <c r="G331" s="61"/>
      <c r="H331" s="61"/>
      <c r="I331" s="61"/>
      <c r="J331" s="62" t="s">
        <v>714</v>
      </c>
    </row>
    <row r="332" spans="1:10" s="17" customFormat="1">
      <c r="A332" s="62" t="s">
        <v>715</v>
      </c>
      <c r="B332" s="63" t="s">
        <v>11</v>
      </c>
      <c r="C332" s="63" t="s">
        <v>11</v>
      </c>
      <c r="D332" s="61"/>
      <c r="E332" s="61"/>
      <c r="F332" s="61"/>
      <c r="G332" s="61"/>
      <c r="H332" s="61"/>
      <c r="I332" s="61"/>
      <c r="J332" s="62" t="s">
        <v>716</v>
      </c>
    </row>
    <row r="333" spans="1:10" s="17" customFormat="1">
      <c r="A333" s="62" t="s">
        <v>717</v>
      </c>
      <c r="B333" s="63" t="s">
        <v>11</v>
      </c>
      <c r="C333" s="63" t="s">
        <v>11</v>
      </c>
      <c r="D333" s="61"/>
      <c r="E333" s="61"/>
      <c r="F333" s="61"/>
      <c r="G333" s="61"/>
      <c r="H333" s="61"/>
      <c r="I333" s="61"/>
      <c r="J333" s="62" t="s">
        <v>718</v>
      </c>
    </row>
    <row r="334" spans="1:10" s="17" customFormat="1">
      <c r="A334" s="62" t="s">
        <v>719</v>
      </c>
      <c r="B334" s="63" t="s">
        <v>11</v>
      </c>
      <c r="C334" s="63" t="s">
        <v>11</v>
      </c>
      <c r="D334" s="61"/>
      <c r="E334" s="61"/>
      <c r="F334" s="61"/>
      <c r="G334" s="61"/>
      <c r="H334" s="61"/>
      <c r="I334" s="61"/>
      <c r="J334" s="62" t="s">
        <v>720</v>
      </c>
    </row>
    <row r="335" spans="1:10" s="17" customFormat="1">
      <c r="A335" s="62" t="s">
        <v>721</v>
      </c>
      <c r="B335" s="63" t="s">
        <v>11</v>
      </c>
      <c r="C335" s="63" t="s">
        <v>11</v>
      </c>
      <c r="D335" s="61"/>
      <c r="E335" s="61"/>
      <c r="F335" s="61"/>
      <c r="G335" s="61"/>
      <c r="H335" s="61"/>
      <c r="I335" s="61"/>
      <c r="J335" s="62" t="s">
        <v>722</v>
      </c>
    </row>
    <row r="336" spans="1:10" s="17" customFormat="1">
      <c r="A336" s="62" t="s">
        <v>723</v>
      </c>
      <c r="B336" s="63" t="s">
        <v>11</v>
      </c>
      <c r="C336" s="63" t="s">
        <v>11</v>
      </c>
      <c r="D336" s="61"/>
      <c r="E336" s="61"/>
      <c r="F336" s="61"/>
      <c r="G336" s="61"/>
      <c r="H336" s="61"/>
      <c r="I336" s="61"/>
      <c r="J336" s="62" t="s">
        <v>724</v>
      </c>
    </row>
    <row r="337" spans="1:10" s="17" customFormat="1">
      <c r="A337" s="62" t="s">
        <v>725</v>
      </c>
      <c r="B337" s="63" t="s">
        <v>11</v>
      </c>
      <c r="C337" s="63" t="s">
        <v>11</v>
      </c>
      <c r="D337" s="61"/>
      <c r="E337" s="61"/>
      <c r="F337" s="61"/>
      <c r="G337" s="61"/>
      <c r="H337" s="61"/>
      <c r="I337" s="61"/>
      <c r="J337" s="62" t="s">
        <v>724</v>
      </c>
    </row>
    <row r="338" spans="1:10" s="17" customFormat="1">
      <c r="A338" s="62" t="s">
        <v>726</v>
      </c>
      <c r="B338" s="63" t="s">
        <v>11</v>
      </c>
      <c r="C338" s="63" t="s">
        <v>11</v>
      </c>
      <c r="D338" s="61"/>
      <c r="E338" s="61"/>
      <c r="F338" s="61"/>
      <c r="G338" s="61"/>
      <c r="H338" s="61"/>
      <c r="I338" s="61"/>
      <c r="J338" s="62" t="s">
        <v>727</v>
      </c>
    </row>
    <row r="339" spans="1:10" s="17" customFormat="1">
      <c r="A339" s="62" t="s">
        <v>728</v>
      </c>
      <c r="B339" s="63" t="s">
        <v>11</v>
      </c>
      <c r="C339" s="63" t="s">
        <v>11</v>
      </c>
      <c r="D339" s="61"/>
      <c r="E339" s="61"/>
      <c r="F339" s="61"/>
      <c r="G339" s="61"/>
      <c r="H339" s="61"/>
      <c r="I339" s="61"/>
      <c r="J339" s="62" t="s">
        <v>729</v>
      </c>
    </row>
    <row r="340" spans="1:10" s="17" customFormat="1">
      <c r="A340" s="62" t="s">
        <v>730</v>
      </c>
      <c r="B340" s="63" t="s">
        <v>11</v>
      </c>
      <c r="C340" s="63" t="s">
        <v>11</v>
      </c>
      <c r="D340" s="61"/>
      <c r="E340" s="61"/>
      <c r="F340" s="61"/>
      <c r="G340" s="61"/>
      <c r="H340" s="61"/>
      <c r="I340" s="61"/>
      <c r="J340" s="62" t="s">
        <v>731</v>
      </c>
    </row>
    <row r="341" spans="1:10" s="17" customFormat="1">
      <c r="A341" s="62" t="s">
        <v>732</v>
      </c>
      <c r="B341" s="63" t="s">
        <v>11</v>
      </c>
      <c r="C341" s="63" t="s">
        <v>11</v>
      </c>
      <c r="D341" s="61"/>
      <c r="E341" s="61"/>
      <c r="F341" s="61"/>
      <c r="G341" s="61"/>
      <c r="H341" s="61"/>
      <c r="I341" s="61"/>
      <c r="J341" s="62" t="s">
        <v>733</v>
      </c>
    </row>
    <row r="342" spans="1:10" s="17" customFormat="1">
      <c r="A342" s="62" t="s">
        <v>734</v>
      </c>
      <c r="B342" s="63" t="s">
        <v>11</v>
      </c>
      <c r="C342" s="63" t="s">
        <v>11</v>
      </c>
      <c r="D342" s="61"/>
      <c r="E342" s="61"/>
      <c r="F342" s="61"/>
      <c r="G342" s="61"/>
      <c r="H342" s="61"/>
      <c r="I342" s="61"/>
      <c r="J342" s="62" t="s">
        <v>735</v>
      </c>
    </row>
    <row r="343" spans="1:10" s="17" customFormat="1">
      <c r="A343" s="62" t="s">
        <v>736</v>
      </c>
      <c r="B343" s="63" t="s">
        <v>11</v>
      </c>
      <c r="C343" s="63" t="s">
        <v>11</v>
      </c>
      <c r="D343" s="61"/>
      <c r="E343" s="61"/>
      <c r="F343" s="61"/>
      <c r="G343" s="61"/>
      <c r="H343" s="61"/>
      <c r="I343" s="61"/>
      <c r="J343" s="62" t="s">
        <v>737</v>
      </c>
    </row>
    <row r="344" spans="1:10" s="17" customFormat="1">
      <c r="A344" s="62" t="s">
        <v>738</v>
      </c>
      <c r="B344" s="63" t="s">
        <v>11</v>
      </c>
      <c r="C344" s="63" t="s">
        <v>11</v>
      </c>
      <c r="D344" s="61"/>
      <c r="E344" s="61"/>
      <c r="F344" s="61"/>
      <c r="G344" s="61"/>
      <c r="H344" s="61"/>
      <c r="I344" s="61"/>
      <c r="J344" s="62" t="s">
        <v>739</v>
      </c>
    </row>
    <row r="345" spans="1:10" s="17" customFormat="1">
      <c r="A345" s="62" t="s">
        <v>740</v>
      </c>
      <c r="B345" s="63" t="s">
        <v>11</v>
      </c>
      <c r="C345" s="63" t="s">
        <v>11</v>
      </c>
      <c r="D345" s="61"/>
      <c r="E345" s="61"/>
      <c r="F345" s="61"/>
      <c r="G345" s="61"/>
      <c r="H345" s="61"/>
      <c r="I345" s="61"/>
      <c r="J345" s="62" t="s">
        <v>741</v>
      </c>
    </row>
    <row r="346" spans="1:10" s="17" customFormat="1">
      <c r="A346" s="62" t="s">
        <v>742</v>
      </c>
      <c r="B346" s="63" t="s">
        <v>11</v>
      </c>
      <c r="C346" s="63" t="s">
        <v>11</v>
      </c>
      <c r="D346" s="61"/>
      <c r="E346" s="61"/>
      <c r="F346" s="61"/>
      <c r="G346" s="61"/>
      <c r="H346" s="61"/>
      <c r="I346" s="61"/>
      <c r="J346" s="62" t="s">
        <v>743</v>
      </c>
    </row>
    <row r="347" spans="1:10" s="17" customFormat="1">
      <c r="A347" s="62" t="s">
        <v>744</v>
      </c>
      <c r="B347" s="63" t="s">
        <v>11</v>
      </c>
      <c r="C347" s="61" t="s">
        <v>85</v>
      </c>
      <c r="D347" s="61"/>
      <c r="E347" s="61"/>
      <c r="F347" s="61" t="s">
        <v>86</v>
      </c>
      <c r="G347" s="61" t="s">
        <v>86</v>
      </c>
      <c r="I347" s="61" t="s">
        <v>745</v>
      </c>
      <c r="J347" s="17" t="s">
        <v>746</v>
      </c>
    </row>
    <row r="348" spans="1:10" s="17" customFormat="1" hidden="1">
      <c r="A348" s="62" t="s">
        <v>747</v>
      </c>
      <c r="B348" s="63" t="s">
        <v>14</v>
      </c>
      <c r="C348" s="61" t="s">
        <v>14</v>
      </c>
      <c r="D348" s="61" t="s">
        <v>748</v>
      </c>
      <c r="E348" s="61" t="s">
        <v>14</v>
      </c>
      <c r="F348" s="61"/>
      <c r="G348" s="61"/>
      <c r="H348" s="61"/>
      <c r="I348" s="61"/>
      <c r="J348" s="62" t="s">
        <v>749</v>
      </c>
    </row>
    <row r="349" spans="1:10" s="17" customFormat="1">
      <c r="A349" s="62" t="s">
        <v>750</v>
      </c>
      <c r="B349" s="63" t="s">
        <v>11</v>
      </c>
      <c r="C349" s="63" t="s">
        <v>11</v>
      </c>
      <c r="D349" s="61"/>
      <c r="E349" s="61"/>
      <c r="F349" s="61"/>
      <c r="G349" s="61"/>
      <c r="H349" s="61"/>
      <c r="I349" s="61"/>
      <c r="J349" s="62" t="s">
        <v>751</v>
      </c>
    </row>
    <row r="350" spans="1:10" s="17" customFormat="1">
      <c r="A350" s="62" t="s">
        <v>752</v>
      </c>
      <c r="B350" s="63" t="s">
        <v>11</v>
      </c>
      <c r="C350" s="63" t="s">
        <v>11</v>
      </c>
      <c r="D350" s="61"/>
      <c r="E350" s="61"/>
      <c r="F350" s="61"/>
      <c r="G350" s="61"/>
      <c r="H350" s="61"/>
      <c r="I350" s="61"/>
      <c r="J350" s="62" t="s">
        <v>753</v>
      </c>
    </row>
    <row r="351" spans="1:10" s="17" customFormat="1" hidden="1">
      <c r="A351" s="62" t="s">
        <v>754</v>
      </c>
      <c r="B351" s="63" t="s">
        <v>14</v>
      </c>
      <c r="C351" s="63" t="s">
        <v>14</v>
      </c>
      <c r="D351" s="61" t="s">
        <v>497</v>
      </c>
      <c r="E351" s="61" t="s">
        <v>14</v>
      </c>
      <c r="F351" s="61"/>
      <c r="G351" s="61"/>
      <c r="H351" s="61"/>
      <c r="I351" s="61"/>
      <c r="J351" s="62" t="s">
        <v>755</v>
      </c>
    </row>
    <row r="352" spans="1:10" s="17" customFormat="1">
      <c r="A352" s="62" t="s">
        <v>756</v>
      </c>
      <c r="B352" s="63" t="s">
        <v>11</v>
      </c>
      <c r="C352" s="63" t="s">
        <v>11</v>
      </c>
      <c r="D352" s="61"/>
      <c r="E352" s="61"/>
      <c r="F352" s="61"/>
      <c r="G352" s="61"/>
      <c r="H352" s="61"/>
      <c r="I352" s="61"/>
      <c r="J352" s="62" t="s">
        <v>757</v>
      </c>
    </row>
    <row r="353" spans="1:10" s="17" customFormat="1">
      <c r="A353" s="62" t="s">
        <v>758</v>
      </c>
      <c r="B353" s="63" t="s">
        <v>11</v>
      </c>
      <c r="C353" s="63" t="s">
        <v>11</v>
      </c>
      <c r="D353" s="61"/>
      <c r="E353" s="61"/>
      <c r="F353" s="61"/>
      <c r="G353" s="61"/>
      <c r="H353" s="61"/>
      <c r="I353" s="61"/>
      <c r="J353" s="62" t="s">
        <v>759</v>
      </c>
    </row>
    <row r="354" spans="1:10" s="17" customFormat="1">
      <c r="A354" s="62" t="s">
        <v>760</v>
      </c>
      <c r="B354" s="63" t="s">
        <v>11</v>
      </c>
      <c r="C354" s="63" t="s">
        <v>11</v>
      </c>
      <c r="D354" s="61"/>
      <c r="E354" s="61"/>
      <c r="F354" s="61"/>
      <c r="G354" s="61"/>
      <c r="H354" s="61"/>
      <c r="I354" s="61"/>
      <c r="J354" s="62" t="s">
        <v>761</v>
      </c>
    </row>
    <row r="355" spans="1:10" s="17" customFormat="1">
      <c r="A355" s="62" t="s">
        <v>762</v>
      </c>
      <c r="B355" s="63" t="s">
        <v>11</v>
      </c>
      <c r="C355" s="61" t="s">
        <v>11</v>
      </c>
      <c r="D355" s="61" t="s">
        <v>763</v>
      </c>
      <c r="E355" s="61"/>
      <c r="F355" s="61"/>
      <c r="G355" s="61"/>
      <c r="H355" s="61"/>
      <c r="I355" s="61"/>
      <c r="J355" s="62" t="s">
        <v>764</v>
      </c>
    </row>
    <row r="356" spans="1:10" s="17" customFormat="1">
      <c r="A356" s="62" t="s">
        <v>765</v>
      </c>
      <c r="B356" s="63" t="s">
        <v>11</v>
      </c>
      <c r="C356" s="61" t="s">
        <v>11</v>
      </c>
      <c r="D356" s="61"/>
      <c r="E356" s="61"/>
      <c r="F356" s="61"/>
      <c r="G356" s="61"/>
      <c r="H356" s="61"/>
      <c r="I356" s="61"/>
      <c r="J356" s="62" t="s">
        <v>766</v>
      </c>
    </row>
    <row r="357" spans="1:10" s="17" customFormat="1">
      <c r="A357" s="62" t="s">
        <v>767</v>
      </c>
      <c r="B357" s="63" t="s">
        <v>11</v>
      </c>
      <c r="C357" s="63" t="s">
        <v>11</v>
      </c>
      <c r="D357" s="61"/>
      <c r="E357" s="61"/>
      <c r="F357" s="61"/>
      <c r="G357" s="61"/>
      <c r="H357" s="61"/>
      <c r="I357" s="61"/>
      <c r="J357" s="62" t="s">
        <v>768</v>
      </c>
    </row>
    <row r="358" spans="1:10" s="17" customFormat="1">
      <c r="A358" s="62" t="s">
        <v>769</v>
      </c>
      <c r="B358" s="63" t="s">
        <v>11</v>
      </c>
      <c r="C358" s="61" t="s">
        <v>14</v>
      </c>
      <c r="D358" s="61" t="s">
        <v>770</v>
      </c>
      <c r="E358" s="61"/>
      <c r="F358" s="61" t="s">
        <v>14</v>
      </c>
      <c r="G358" s="61" t="s">
        <v>11</v>
      </c>
      <c r="H358" s="61"/>
      <c r="I358" s="61"/>
      <c r="J358" s="62" t="s">
        <v>771</v>
      </c>
    </row>
    <row r="359" spans="1:10" s="17" customFormat="1">
      <c r="A359" s="62" t="s">
        <v>772</v>
      </c>
      <c r="B359" s="63" t="s">
        <v>11</v>
      </c>
      <c r="C359" s="63" t="s">
        <v>11</v>
      </c>
      <c r="D359" s="61"/>
      <c r="E359" s="61"/>
      <c r="F359" s="61"/>
      <c r="G359" s="61"/>
      <c r="H359" s="61"/>
      <c r="I359" s="61"/>
      <c r="J359" s="62" t="s">
        <v>773</v>
      </c>
    </row>
    <row r="360" spans="1:10" s="17" customFormat="1">
      <c r="A360" s="62" t="s">
        <v>774</v>
      </c>
      <c r="B360" s="63" t="s">
        <v>11</v>
      </c>
      <c r="C360" s="63" t="s">
        <v>11</v>
      </c>
      <c r="D360" s="61"/>
      <c r="E360" s="61"/>
      <c r="F360" s="61"/>
      <c r="G360" s="61"/>
      <c r="H360" s="61"/>
      <c r="I360" s="61"/>
      <c r="J360" s="62" t="s">
        <v>775</v>
      </c>
    </row>
    <row r="361" spans="1:10" s="17" customFormat="1">
      <c r="A361" s="62" t="s">
        <v>776</v>
      </c>
      <c r="B361" s="63" t="s">
        <v>11</v>
      </c>
      <c r="C361" s="63" t="s">
        <v>11</v>
      </c>
      <c r="D361" s="61"/>
      <c r="E361" s="61"/>
      <c r="F361" s="61"/>
      <c r="G361" s="61"/>
      <c r="H361" s="61"/>
      <c r="I361" s="61"/>
      <c r="J361" s="62" t="s">
        <v>777</v>
      </c>
    </row>
    <row r="362" spans="1:10" s="17" customFormat="1" hidden="1">
      <c r="A362" s="62" t="s">
        <v>778</v>
      </c>
      <c r="B362" s="63" t="s">
        <v>14</v>
      </c>
      <c r="C362" s="61" t="s">
        <v>14</v>
      </c>
      <c r="D362" s="61" t="s">
        <v>779</v>
      </c>
      <c r="E362" s="61" t="s">
        <v>14</v>
      </c>
      <c r="F362" s="61"/>
      <c r="G362" s="61"/>
      <c r="H362" s="61"/>
      <c r="I362" s="61"/>
      <c r="J362" s="62" t="s">
        <v>780</v>
      </c>
    </row>
    <row r="363" spans="1:10" s="17" customFormat="1" hidden="1">
      <c r="A363" s="62" t="s">
        <v>781</v>
      </c>
      <c r="B363" s="63" t="s">
        <v>14</v>
      </c>
      <c r="C363" s="63" t="s">
        <v>14</v>
      </c>
      <c r="D363" s="61"/>
      <c r="E363" s="61" t="s">
        <v>14</v>
      </c>
      <c r="F363" s="61"/>
      <c r="G363" s="61"/>
      <c r="H363" s="61"/>
      <c r="I363" s="61"/>
      <c r="J363" s="62" t="s">
        <v>782</v>
      </c>
    </row>
    <row r="364" spans="1:10" s="17" customFormat="1">
      <c r="A364" s="62" t="s">
        <v>783</v>
      </c>
      <c r="B364" s="63" t="s">
        <v>11</v>
      </c>
      <c r="C364" s="63" t="s">
        <v>11</v>
      </c>
      <c r="D364" s="61"/>
      <c r="E364" s="61"/>
      <c r="F364" s="61"/>
      <c r="G364" s="61"/>
      <c r="H364" s="61"/>
      <c r="I364" s="61"/>
      <c r="J364" s="62" t="s">
        <v>782</v>
      </c>
    </row>
    <row r="365" spans="1:10" s="17" customFormat="1">
      <c r="A365" s="62" t="s">
        <v>784</v>
      </c>
      <c r="B365" s="63" t="s">
        <v>11</v>
      </c>
      <c r="C365" s="61" t="s">
        <v>11</v>
      </c>
      <c r="D365" s="61" t="s">
        <v>785</v>
      </c>
      <c r="E365" s="61"/>
      <c r="F365" s="61"/>
      <c r="G365" s="61"/>
      <c r="H365" s="61"/>
      <c r="I365" s="61"/>
      <c r="J365" s="62" t="s">
        <v>786</v>
      </c>
    </row>
    <row r="366" spans="1:10" s="17" customFormat="1" hidden="1">
      <c r="A366" s="62" t="s">
        <v>787</v>
      </c>
      <c r="B366" s="63" t="s">
        <v>14</v>
      </c>
      <c r="C366" s="61" t="s">
        <v>14</v>
      </c>
      <c r="D366" s="61" t="s">
        <v>788</v>
      </c>
      <c r="E366" s="61" t="s">
        <v>14</v>
      </c>
      <c r="F366" s="61"/>
      <c r="G366" s="61"/>
      <c r="H366" s="61"/>
      <c r="I366" s="61"/>
      <c r="J366" s="62" t="s">
        <v>789</v>
      </c>
    </row>
    <row r="367" spans="1:10" s="17" customFormat="1">
      <c r="A367" s="62" t="s">
        <v>790</v>
      </c>
      <c r="B367" s="63" t="s">
        <v>11</v>
      </c>
      <c r="C367" s="63" t="s">
        <v>11</v>
      </c>
      <c r="D367" s="61"/>
      <c r="E367" s="61"/>
      <c r="F367" s="61"/>
      <c r="G367" s="61"/>
      <c r="H367" s="61"/>
      <c r="I367" s="61"/>
      <c r="J367" s="62" t="s">
        <v>791</v>
      </c>
    </row>
    <row r="368" spans="1:10" s="17" customFormat="1" hidden="1">
      <c r="A368" s="62" t="s">
        <v>792</v>
      </c>
      <c r="B368" s="63" t="s">
        <v>14</v>
      </c>
      <c r="C368" s="63" t="s">
        <v>14</v>
      </c>
      <c r="D368" s="61"/>
      <c r="E368" s="61" t="s">
        <v>14</v>
      </c>
      <c r="F368" s="61"/>
      <c r="G368" s="61"/>
      <c r="H368" s="61"/>
      <c r="I368" s="61"/>
      <c r="J368" s="62" t="s">
        <v>793</v>
      </c>
    </row>
    <row r="369" spans="1:10" s="17" customFormat="1" hidden="1">
      <c r="A369" s="62" t="s">
        <v>794</v>
      </c>
      <c r="B369" s="63" t="s">
        <v>14</v>
      </c>
      <c r="C369" s="63" t="s">
        <v>14</v>
      </c>
      <c r="D369" s="61"/>
      <c r="E369" s="61" t="s">
        <v>14</v>
      </c>
      <c r="F369" s="61"/>
      <c r="G369" s="61"/>
      <c r="H369" s="61" t="s">
        <v>504</v>
      </c>
      <c r="I369" s="61"/>
      <c r="J369" s="62"/>
    </row>
    <row r="370" spans="1:10" s="17" customFormat="1">
      <c r="A370" s="62" t="s">
        <v>795</v>
      </c>
      <c r="B370" s="63" t="s">
        <v>11</v>
      </c>
      <c r="C370" s="61" t="s">
        <v>14</v>
      </c>
      <c r="D370" s="61" t="s">
        <v>796</v>
      </c>
      <c r="E370" s="61"/>
      <c r="F370" s="61" t="s">
        <v>14</v>
      </c>
      <c r="G370" s="61" t="s">
        <v>11</v>
      </c>
      <c r="H370" s="61"/>
      <c r="I370" s="61"/>
      <c r="J370" s="62" t="s">
        <v>797</v>
      </c>
    </row>
    <row r="371" spans="1:10" s="17" customFormat="1">
      <c r="A371" s="62" t="s">
        <v>798</v>
      </c>
      <c r="B371" s="63" t="s">
        <v>11</v>
      </c>
      <c r="C371" s="61" t="s">
        <v>14</v>
      </c>
      <c r="D371" s="61" t="s">
        <v>796</v>
      </c>
      <c r="E371" s="61"/>
      <c r="F371" s="61" t="s">
        <v>14</v>
      </c>
      <c r="G371" s="61" t="s">
        <v>11</v>
      </c>
      <c r="H371" s="61"/>
      <c r="I371" s="61"/>
      <c r="J371" s="62" t="s">
        <v>799</v>
      </c>
    </row>
    <row r="372" spans="1:10" s="17" customFormat="1">
      <c r="A372" s="62" t="s">
        <v>800</v>
      </c>
      <c r="B372" s="63" t="s">
        <v>11</v>
      </c>
      <c r="C372" s="63" t="s">
        <v>11</v>
      </c>
      <c r="D372" s="61"/>
      <c r="E372" s="61"/>
      <c r="F372" s="61"/>
      <c r="G372" s="61"/>
      <c r="H372" s="61"/>
      <c r="I372" s="61"/>
      <c r="J372" s="62" t="s">
        <v>801</v>
      </c>
    </row>
    <row r="373" spans="1:10" s="17" customFormat="1" hidden="1">
      <c r="A373" s="62" t="s">
        <v>802</v>
      </c>
      <c r="B373" s="63" t="s">
        <v>14</v>
      </c>
      <c r="C373" s="63" t="s">
        <v>14</v>
      </c>
      <c r="D373" s="61" t="s">
        <v>803</v>
      </c>
      <c r="E373" s="61" t="s">
        <v>14</v>
      </c>
      <c r="F373" s="61"/>
      <c r="G373" s="61"/>
      <c r="H373" s="61"/>
      <c r="I373" s="61"/>
      <c r="J373" s="62" t="s">
        <v>804</v>
      </c>
    </row>
    <row r="374" spans="1:10" s="17" customFormat="1" hidden="1">
      <c r="A374" s="62" t="s">
        <v>805</v>
      </c>
      <c r="B374" s="63" t="s">
        <v>14</v>
      </c>
      <c r="C374" s="63" t="s">
        <v>14</v>
      </c>
      <c r="D374" s="61" t="s">
        <v>803</v>
      </c>
      <c r="E374" s="61" t="s">
        <v>14</v>
      </c>
      <c r="F374" s="61"/>
      <c r="G374" s="61"/>
      <c r="H374" s="61"/>
      <c r="I374" s="61"/>
      <c r="J374" s="62" t="s">
        <v>806</v>
      </c>
    </row>
    <row r="375" spans="1:10" s="17" customFormat="1" hidden="1">
      <c r="A375" s="62" t="s">
        <v>807</v>
      </c>
      <c r="B375" s="63" t="s">
        <v>14</v>
      </c>
      <c r="C375" s="61" t="s">
        <v>14</v>
      </c>
      <c r="D375" s="61"/>
      <c r="E375" s="61" t="s">
        <v>14</v>
      </c>
      <c r="F375" s="61"/>
      <c r="G375" s="61"/>
      <c r="H375" s="61"/>
      <c r="I375" s="61"/>
      <c r="J375" s="62" t="s">
        <v>808</v>
      </c>
    </row>
    <row r="376" spans="1:10" s="17" customFormat="1">
      <c r="A376" s="62" t="s">
        <v>809</v>
      </c>
      <c r="B376" s="63" t="s">
        <v>11</v>
      </c>
      <c r="C376" s="63" t="s">
        <v>14</v>
      </c>
      <c r="D376" s="61" t="s">
        <v>421</v>
      </c>
      <c r="E376" s="61" t="s">
        <v>14</v>
      </c>
      <c r="F376" s="61"/>
      <c r="G376" s="61"/>
      <c r="H376" s="61"/>
      <c r="I376" s="61"/>
      <c r="J376" s="62" t="s">
        <v>810</v>
      </c>
    </row>
    <row r="377" spans="1:10" s="17" customFormat="1" hidden="1">
      <c r="A377" s="62" t="s">
        <v>811</v>
      </c>
      <c r="B377" s="63" t="s">
        <v>14</v>
      </c>
      <c r="C377" s="63" t="s">
        <v>14</v>
      </c>
      <c r="D377" s="61" t="s">
        <v>812</v>
      </c>
      <c r="E377" s="61" t="s">
        <v>14</v>
      </c>
      <c r="F377" s="61"/>
      <c r="G377" s="61"/>
      <c r="H377" s="61"/>
      <c r="I377" s="61"/>
      <c r="J377" s="62" t="s">
        <v>813</v>
      </c>
    </row>
    <row r="378" spans="1:10" s="17" customFormat="1" hidden="1">
      <c r="A378" s="62" t="s">
        <v>814</v>
      </c>
      <c r="B378" s="63" t="s">
        <v>14</v>
      </c>
      <c r="C378" s="63" t="s">
        <v>14</v>
      </c>
      <c r="D378" s="61" t="s">
        <v>812</v>
      </c>
      <c r="E378" s="61" t="s">
        <v>14</v>
      </c>
      <c r="F378" s="61"/>
      <c r="G378" s="61"/>
      <c r="H378" s="61"/>
      <c r="I378" s="61"/>
      <c r="J378" s="62" t="s">
        <v>815</v>
      </c>
    </row>
    <row r="379" spans="1:10" s="17" customFormat="1" hidden="1">
      <c r="A379" s="62" t="s">
        <v>816</v>
      </c>
      <c r="B379" s="63" t="s">
        <v>14</v>
      </c>
      <c r="C379" s="63" t="s">
        <v>14</v>
      </c>
      <c r="D379" s="61" t="s">
        <v>812</v>
      </c>
      <c r="E379" s="61" t="s">
        <v>14</v>
      </c>
      <c r="F379" s="61"/>
      <c r="G379" s="61"/>
      <c r="H379" s="61"/>
      <c r="I379" s="61"/>
      <c r="J379" s="62" t="s">
        <v>817</v>
      </c>
    </row>
    <row r="380" spans="1:10" s="17" customFormat="1" hidden="1">
      <c r="A380" s="62" t="s">
        <v>818</v>
      </c>
      <c r="B380" s="63" t="s">
        <v>14</v>
      </c>
      <c r="C380" s="63" t="s">
        <v>14</v>
      </c>
      <c r="D380" s="61" t="s">
        <v>812</v>
      </c>
      <c r="E380" s="61" t="s">
        <v>14</v>
      </c>
      <c r="F380" s="61"/>
      <c r="G380" s="61"/>
      <c r="H380" s="61" t="s">
        <v>504</v>
      </c>
      <c r="I380" s="61"/>
      <c r="J380" s="62" t="s">
        <v>817</v>
      </c>
    </row>
    <row r="381" spans="1:10" s="17" customFormat="1" hidden="1">
      <c r="A381" s="62" t="s">
        <v>819</v>
      </c>
      <c r="B381" s="63" t="s">
        <v>14</v>
      </c>
      <c r="C381" s="63" t="s">
        <v>14</v>
      </c>
      <c r="D381" s="61" t="s">
        <v>812</v>
      </c>
      <c r="E381" s="61" t="s">
        <v>14</v>
      </c>
      <c r="F381" s="61"/>
      <c r="G381" s="61"/>
      <c r="H381" s="61"/>
      <c r="I381" s="61"/>
      <c r="J381" s="62" t="s">
        <v>820</v>
      </c>
    </row>
    <row r="382" spans="1:10" s="17" customFormat="1" hidden="1">
      <c r="A382" s="62" t="s">
        <v>821</v>
      </c>
      <c r="B382" s="63" t="s">
        <v>14</v>
      </c>
      <c r="C382" s="63" t="s">
        <v>14</v>
      </c>
      <c r="D382" s="61" t="s">
        <v>812</v>
      </c>
      <c r="E382" s="61" t="s">
        <v>14</v>
      </c>
      <c r="F382" s="61"/>
      <c r="G382" s="61"/>
      <c r="H382" s="61"/>
      <c r="I382" s="61"/>
      <c r="J382" s="62" t="s">
        <v>822</v>
      </c>
    </row>
    <row r="383" spans="1:10" s="17" customFormat="1" hidden="1">
      <c r="A383" s="62" t="s">
        <v>823</v>
      </c>
      <c r="B383" s="63" t="s">
        <v>14</v>
      </c>
      <c r="C383" s="63" t="s">
        <v>14</v>
      </c>
      <c r="D383" s="61" t="s">
        <v>812</v>
      </c>
      <c r="E383" s="61" t="s">
        <v>14</v>
      </c>
      <c r="F383" s="61"/>
      <c r="G383" s="61"/>
      <c r="H383" s="61"/>
      <c r="I383" s="61"/>
      <c r="J383" s="62" t="s">
        <v>824</v>
      </c>
    </row>
    <row r="384" spans="1:10" s="17" customFormat="1" hidden="1">
      <c r="A384" s="62" t="s">
        <v>825</v>
      </c>
      <c r="B384" s="63" t="s">
        <v>14</v>
      </c>
      <c r="C384" s="63" t="s">
        <v>14</v>
      </c>
      <c r="D384" s="61" t="s">
        <v>812</v>
      </c>
      <c r="E384" s="61" t="s">
        <v>14</v>
      </c>
      <c r="F384" s="61"/>
      <c r="G384" s="61"/>
      <c r="H384" s="61"/>
      <c r="I384" s="61"/>
      <c r="J384" s="62" t="s">
        <v>826</v>
      </c>
    </row>
    <row r="385" spans="1:10" s="17" customFormat="1" hidden="1">
      <c r="A385" s="62" t="s">
        <v>827</v>
      </c>
      <c r="B385" s="63" t="s">
        <v>14</v>
      </c>
      <c r="C385" s="63" t="s">
        <v>14</v>
      </c>
      <c r="D385" s="61" t="s">
        <v>812</v>
      </c>
      <c r="E385" s="61" t="s">
        <v>14</v>
      </c>
      <c r="F385" s="61"/>
      <c r="G385" s="61"/>
      <c r="H385" s="61"/>
      <c r="I385" s="61"/>
      <c r="J385" s="62" t="s">
        <v>828</v>
      </c>
    </row>
    <row r="386" spans="1:10" s="17" customFormat="1" hidden="1">
      <c r="A386" s="62" t="s">
        <v>829</v>
      </c>
      <c r="B386" s="63" t="s">
        <v>14</v>
      </c>
      <c r="C386" s="63" t="s">
        <v>14</v>
      </c>
      <c r="D386" s="61" t="s">
        <v>812</v>
      </c>
      <c r="E386" s="61" t="s">
        <v>14</v>
      </c>
      <c r="F386" s="61"/>
      <c r="G386" s="61"/>
      <c r="H386" s="61"/>
      <c r="I386" s="61"/>
      <c r="J386" s="62" t="s">
        <v>830</v>
      </c>
    </row>
    <row r="387" spans="1:10" s="17" customFormat="1" hidden="1">
      <c r="A387" s="62" t="s">
        <v>831</v>
      </c>
      <c r="B387" s="63" t="s">
        <v>14</v>
      </c>
      <c r="C387" s="63" t="s">
        <v>14</v>
      </c>
      <c r="D387" s="61" t="s">
        <v>812</v>
      </c>
      <c r="E387" s="61" t="s">
        <v>14</v>
      </c>
      <c r="F387" s="61"/>
      <c r="G387" s="61"/>
      <c r="H387" s="61"/>
      <c r="I387" s="61"/>
      <c r="J387" s="62" t="s">
        <v>832</v>
      </c>
    </row>
    <row r="388" spans="1:10" s="17" customFormat="1" hidden="1">
      <c r="A388" s="62" t="s">
        <v>833</v>
      </c>
      <c r="B388" s="63" t="s">
        <v>14</v>
      </c>
      <c r="C388" s="63" t="s">
        <v>14</v>
      </c>
      <c r="D388" s="61" t="s">
        <v>812</v>
      </c>
      <c r="E388" s="61" t="s">
        <v>14</v>
      </c>
      <c r="F388" s="61"/>
      <c r="G388" s="61"/>
      <c r="H388" s="61"/>
      <c r="I388" s="61"/>
      <c r="J388" s="62" t="s">
        <v>834</v>
      </c>
    </row>
    <row r="389" spans="1:10" s="17" customFormat="1" hidden="1">
      <c r="A389" s="62" t="s">
        <v>835</v>
      </c>
      <c r="B389" s="63" t="s">
        <v>14</v>
      </c>
      <c r="C389" s="63" t="s">
        <v>14</v>
      </c>
      <c r="D389" s="61" t="s">
        <v>812</v>
      </c>
      <c r="E389" s="61" t="s">
        <v>14</v>
      </c>
      <c r="F389" s="61"/>
      <c r="G389" s="61"/>
      <c r="H389" s="61"/>
      <c r="I389" s="61"/>
      <c r="J389" s="62" t="s">
        <v>836</v>
      </c>
    </row>
    <row r="390" spans="1:10" s="17" customFormat="1">
      <c r="A390" s="62" t="s">
        <v>837</v>
      </c>
      <c r="B390" s="63" t="s">
        <v>11</v>
      </c>
      <c r="C390" s="63" t="s">
        <v>11</v>
      </c>
      <c r="D390" s="61" t="s">
        <v>283</v>
      </c>
      <c r="E390" s="61"/>
      <c r="F390" s="61"/>
      <c r="G390" s="61"/>
      <c r="H390" s="61"/>
      <c r="I390" s="61"/>
      <c r="J390" s="62" t="s">
        <v>838</v>
      </c>
    </row>
    <row r="391" spans="1:10" s="17" customFormat="1">
      <c r="A391" s="62" t="s">
        <v>839</v>
      </c>
      <c r="B391" s="63" t="s">
        <v>11</v>
      </c>
      <c r="C391" s="61" t="s">
        <v>14</v>
      </c>
      <c r="D391" s="61" t="s">
        <v>503</v>
      </c>
      <c r="E391" s="61"/>
      <c r="F391" s="61"/>
      <c r="G391" s="61" t="s">
        <v>504</v>
      </c>
      <c r="H391" s="61"/>
      <c r="I391" s="61"/>
      <c r="J391" s="62" t="s">
        <v>840</v>
      </c>
    </row>
    <row r="392" spans="1:10" s="17" customFormat="1">
      <c r="A392" s="62" t="s">
        <v>841</v>
      </c>
      <c r="B392" s="63" t="s">
        <v>11</v>
      </c>
      <c r="C392" s="63" t="s">
        <v>11</v>
      </c>
      <c r="D392" s="61" t="s">
        <v>503</v>
      </c>
      <c r="E392" s="61"/>
      <c r="F392" s="61"/>
      <c r="G392" s="61"/>
      <c r="H392" s="61"/>
      <c r="I392" s="61"/>
      <c r="J392" s="62" t="s">
        <v>842</v>
      </c>
    </row>
    <row r="393" spans="1:10" s="17" customFormat="1" hidden="1">
      <c r="A393" s="62" t="s">
        <v>843</v>
      </c>
      <c r="B393" s="63" t="s">
        <v>14</v>
      </c>
      <c r="C393" s="61" t="s">
        <v>14</v>
      </c>
      <c r="D393" s="61"/>
      <c r="E393" s="61" t="s">
        <v>14</v>
      </c>
      <c r="F393" s="61"/>
      <c r="G393" s="61"/>
      <c r="H393" s="61"/>
      <c r="I393" s="61"/>
      <c r="J393" s="62" t="s">
        <v>844</v>
      </c>
    </row>
    <row r="394" spans="1:10" s="17" customFormat="1">
      <c r="A394" s="62" t="s">
        <v>845</v>
      </c>
      <c r="B394" s="63" t="s">
        <v>11</v>
      </c>
      <c r="C394" s="63" t="s">
        <v>11</v>
      </c>
      <c r="D394" s="61"/>
      <c r="E394" s="61"/>
      <c r="F394" s="61"/>
      <c r="G394" s="61"/>
      <c r="H394" s="61"/>
      <c r="I394" s="61"/>
      <c r="J394" s="62" t="s">
        <v>846</v>
      </c>
    </row>
    <row r="395" spans="1:10" s="17" customFormat="1">
      <c r="A395" s="62" t="s">
        <v>847</v>
      </c>
      <c r="B395" s="63" t="s">
        <v>11</v>
      </c>
      <c r="C395" s="63" t="s">
        <v>11</v>
      </c>
      <c r="D395" s="61"/>
      <c r="E395" s="61"/>
      <c r="F395" s="61"/>
      <c r="G395" s="61"/>
      <c r="H395" s="61"/>
      <c r="I395" s="61"/>
      <c r="J395" s="62" t="s">
        <v>846</v>
      </c>
    </row>
    <row r="396" spans="1:10" s="17" customFormat="1" hidden="1">
      <c r="A396" s="62" t="s">
        <v>848</v>
      </c>
      <c r="B396" s="63" t="s">
        <v>14</v>
      </c>
      <c r="C396" s="63" t="s">
        <v>14</v>
      </c>
      <c r="D396" s="61"/>
      <c r="E396" s="61" t="s">
        <v>14</v>
      </c>
      <c r="F396" s="61"/>
      <c r="G396" s="61"/>
      <c r="H396" s="61"/>
      <c r="I396" s="61"/>
      <c r="J396" s="62" t="s">
        <v>849</v>
      </c>
    </row>
    <row r="397" spans="1:10" s="17" customFormat="1">
      <c r="A397" s="62" t="s">
        <v>850</v>
      </c>
      <c r="B397" s="63" t="s">
        <v>11</v>
      </c>
      <c r="C397" s="63" t="s">
        <v>11</v>
      </c>
      <c r="D397" s="61"/>
      <c r="E397" s="61"/>
      <c r="F397" s="61"/>
      <c r="G397" s="61"/>
      <c r="H397" s="61"/>
      <c r="I397" s="61"/>
      <c r="J397" s="62" t="s">
        <v>851</v>
      </c>
    </row>
    <row r="398" spans="1:10" s="17" customFormat="1">
      <c r="A398" s="62" t="s">
        <v>852</v>
      </c>
      <c r="B398" s="63" t="s">
        <v>11</v>
      </c>
      <c r="C398" s="61" t="s">
        <v>14</v>
      </c>
      <c r="D398" s="61" t="s">
        <v>853</v>
      </c>
      <c r="E398" s="61"/>
      <c r="F398" s="61" t="s">
        <v>11</v>
      </c>
      <c r="G398" s="61" t="s">
        <v>14</v>
      </c>
      <c r="H398" s="61"/>
      <c r="I398" s="61"/>
      <c r="J398" s="62" t="s">
        <v>854</v>
      </c>
    </row>
    <row r="399" spans="1:10" s="17" customFormat="1">
      <c r="A399" s="62" t="s">
        <v>855</v>
      </c>
      <c r="B399" s="63" t="s">
        <v>11</v>
      </c>
      <c r="C399" s="63" t="s">
        <v>11</v>
      </c>
      <c r="D399" s="61"/>
      <c r="E399" s="61"/>
      <c r="F399" s="61"/>
      <c r="G399" s="61"/>
      <c r="H399" s="61"/>
      <c r="I399" s="61"/>
      <c r="J399" s="62" t="s">
        <v>856</v>
      </c>
    </row>
    <row r="400" spans="1:10" s="17" customFormat="1" hidden="1">
      <c r="A400" s="62" t="s">
        <v>857</v>
      </c>
      <c r="B400" s="63" t="s">
        <v>14</v>
      </c>
      <c r="C400" s="63" t="s">
        <v>14</v>
      </c>
      <c r="D400" s="61" t="s">
        <v>568</v>
      </c>
      <c r="E400" s="61" t="s">
        <v>14</v>
      </c>
      <c r="F400" s="61"/>
      <c r="G400" s="61"/>
      <c r="H400" s="61"/>
      <c r="I400" s="61"/>
      <c r="J400" s="62" t="s">
        <v>858</v>
      </c>
    </row>
    <row r="401" spans="1:10" s="17" customFormat="1">
      <c r="A401" s="62" t="s">
        <v>859</v>
      </c>
      <c r="B401" s="63" t="s">
        <v>11</v>
      </c>
      <c r="C401" s="63" t="s">
        <v>11</v>
      </c>
      <c r="D401" s="61"/>
      <c r="E401" s="61"/>
      <c r="F401" s="61"/>
      <c r="G401" s="61"/>
      <c r="H401" s="61"/>
      <c r="I401" s="61"/>
      <c r="J401" s="62" t="s">
        <v>860</v>
      </c>
    </row>
    <row r="402" spans="1:10" s="17" customFormat="1">
      <c r="A402" s="62" t="s">
        <v>861</v>
      </c>
      <c r="B402" s="63" t="s">
        <v>11</v>
      </c>
      <c r="C402" s="63" t="s">
        <v>11</v>
      </c>
      <c r="D402" s="61"/>
      <c r="E402" s="61"/>
      <c r="F402" s="61"/>
      <c r="G402" s="61"/>
      <c r="H402" s="61"/>
      <c r="I402" s="61"/>
      <c r="J402" s="62" t="s">
        <v>862</v>
      </c>
    </row>
    <row r="403" spans="1:10" s="17" customFormat="1">
      <c r="A403" s="62" t="s">
        <v>863</v>
      </c>
      <c r="B403" s="63" t="s">
        <v>11</v>
      </c>
      <c r="C403" s="61" t="s">
        <v>14</v>
      </c>
      <c r="D403" s="61"/>
      <c r="E403" s="61"/>
      <c r="F403" s="61" t="s">
        <v>11</v>
      </c>
      <c r="G403" s="61" t="s">
        <v>14</v>
      </c>
      <c r="H403" s="61"/>
      <c r="I403" s="61"/>
      <c r="J403" s="62" t="s">
        <v>864</v>
      </c>
    </row>
    <row r="404" spans="1:10" s="17" customFormat="1">
      <c r="A404" s="62" t="s">
        <v>865</v>
      </c>
      <c r="B404" s="63" t="s">
        <v>11</v>
      </c>
      <c r="C404" s="61" t="s">
        <v>14</v>
      </c>
      <c r="D404" s="61" t="s">
        <v>866</v>
      </c>
      <c r="E404" s="61"/>
      <c r="F404" s="61"/>
      <c r="G404" s="61" t="s">
        <v>504</v>
      </c>
      <c r="H404" s="61"/>
      <c r="I404" s="61"/>
      <c r="J404" s="62" t="s">
        <v>867</v>
      </c>
    </row>
    <row r="405" spans="1:10" s="17" customFormat="1">
      <c r="A405" s="62" t="s">
        <v>868</v>
      </c>
      <c r="B405" s="63" t="s">
        <v>11</v>
      </c>
      <c r="C405" s="63" t="s">
        <v>11</v>
      </c>
      <c r="D405" s="61"/>
      <c r="E405" s="61"/>
      <c r="F405" s="61"/>
      <c r="G405" s="61"/>
      <c r="H405" s="61"/>
      <c r="I405" s="61"/>
      <c r="J405" s="62" t="s">
        <v>869</v>
      </c>
    </row>
    <row r="406" spans="1:10" s="17" customFormat="1">
      <c r="A406" s="62" t="s">
        <v>870</v>
      </c>
      <c r="B406" s="63" t="s">
        <v>11</v>
      </c>
      <c r="C406" s="63" t="s">
        <v>11</v>
      </c>
      <c r="D406" s="61"/>
      <c r="E406" s="61"/>
      <c r="F406" s="61"/>
      <c r="G406" s="61"/>
      <c r="H406" s="61"/>
      <c r="I406" s="61"/>
      <c r="J406" s="62" t="s">
        <v>871</v>
      </c>
    </row>
    <row r="407" spans="1:10" s="17" customFormat="1">
      <c r="A407" s="62" t="s">
        <v>872</v>
      </c>
      <c r="B407" s="63" t="s">
        <v>11</v>
      </c>
      <c r="C407" s="63" t="s">
        <v>11</v>
      </c>
      <c r="D407" s="61"/>
      <c r="E407" s="61"/>
      <c r="F407" s="61"/>
      <c r="G407" s="61"/>
      <c r="H407" s="61"/>
      <c r="I407" s="61"/>
      <c r="J407" s="62" t="s">
        <v>873</v>
      </c>
    </row>
    <row r="408" spans="1:10" s="17" customFormat="1">
      <c r="A408" s="62" t="s">
        <v>874</v>
      </c>
      <c r="B408" s="63" t="s">
        <v>11</v>
      </c>
      <c r="C408" s="63" t="s">
        <v>11</v>
      </c>
      <c r="D408" s="61"/>
      <c r="E408" s="61"/>
      <c r="F408" s="61"/>
      <c r="G408" s="61"/>
      <c r="H408" s="61"/>
      <c r="I408" s="61"/>
      <c r="J408" s="62" t="s">
        <v>875</v>
      </c>
    </row>
    <row r="409" spans="1:10" s="17" customFormat="1">
      <c r="A409" s="62" t="s">
        <v>876</v>
      </c>
      <c r="B409" s="63" t="s">
        <v>11</v>
      </c>
      <c r="C409" s="61" t="s">
        <v>85</v>
      </c>
      <c r="D409" s="61" t="s">
        <v>877</v>
      </c>
      <c r="E409" s="61"/>
      <c r="F409" s="61" t="s">
        <v>86</v>
      </c>
      <c r="G409" s="61" t="s">
        <v>86</v>
      </c>
      <c r="I409" s="61" t="s">
        <v>878</v>
      </c>
      <c r="J409" s="17" t="s">
        <v>879</v>
      </c>
    </row>
    <row r="410" spans="1:10" s="17" customFormat="1">
      <c r="A410" s="62" t="s">
        <v>880</v>
      </c>
      <c r="B410" s="63" t="s">
        <v>11</v>
      </c>
      <c r="C410" s="61" t="s">
        <v>11</v>
      </c>
      <c r="D410" s="61" t="s">
        <v>881</v>
      </c>
      <c r="E410" s="61"/>
      <c r="F410" s="61"/>
      <c r="G410" s="61"/>
      <c r="H410" s="61"/>
      <c r="I410" s="61"/>
      <c r="J410" s="62" t="s">
        <v>882</v>
      </c>
    </row>
    <row r="411" spans="1:10" s="17" customFormat="1">
      <c r="A411" s="62" t="s">
        <v>883</v>
      </c>
      <c r="B411" s="63" t="s">
        <v>11</v>
      </c>
      <c r="C411" s="61" t="s">
        <v>11</v>
      </c>
      <c r="D411" s="61" t="s">
        <v>881</v>
      </c>
      <c r="E411" s="61"/>
      <c r="F411" s="61"/>
      <c r="G411" s="61"/>
      <c r="H411" s="61"/>
      <c r="I411" s="61"/>
      <c r="J411" s="62" t="s">
        <v>884</v>
      </c>
    </row>
    <row r="412" spans="1:10" s="17" customFormat="1">
      <c r="A412" s="62" t="s">
        <v>885</v>
      </c>
      <c r="B412" s="63" t="s">
        <v>11</v>
      </c>
      <c r="C412" s="61" t="s">
        <v>11</v>
      </c>
      <c r="D412" s="61" t="s">
        <v>881</v>
      </c>
      <c r="E412" s="61"/>
      <c r="F412" s="61"/>
      <c r="G412" s="61"/>
      <c r="H412" s="61"/>
      <c r="I412" s="61"/>
      <c r="J412" s="62" t="s">
        <v>886</v>
      </c>
    </row>
    <row r="413" spans="1:10" s="17" customFormat="1">
      <c r="A413" s="62" t="s">
        <v>887</v>
      </c>
      <c r="B413" s="63" t="s">
        <v>11</v>
      </c>
      <c r="C413" s="61" t="s">
        <v>11</v>
      </c>
      <c r="D413" s="61" t="s">
        <v>881</v>
      </c>
      <c r="E413" s="61"/>
      <c r="F413" s="61"/>
      <c r="G413" s="61"/>
      <c r="H413" s="61"/>
      <c r="I413" s="61"/>
      <c r="J413" s="62" t="s">
        <v>888</v>
      </c>
    </row>
    <row r="414" spans="1:10" s="17" customFormat="1">
      <c r="A414" s="62" t="s">
        <v>889</v>
      </c>
      <c r="B414" s="63" t="s">
        <v>11</v>
      </c>
      <c r="C414" s="61" t="s">
        <v>11</v>
      </c>
      <c r="D414" s="61" t="s">
        <v>881</v>
      </c>
      <c r="E414" s="61"/>
      <c r="F414" s="61"/>
      <c r="G414" s="61"/>
      <c r="H414" s="61"/>
      <c r="I414" s="61"/>
      <c r="J414" s="62" t="s">
        <v>890</v>
      </c>
    </row>
    <row r="415" spans="1:10" s="17" customFormat="1">
      <c r="A415" s="62" t="s">
        <v>891</v>
      </c>
      <c r="B415" s="63" t="s">
        <v>11</v>
      </c>
      <c r="C415" s="61" t="s">
        <v>11</v>
      </c>
      <c r="D415" s="61" t="s">
        <v>881</v>
      </c>
      <c r="E415" s="61"/>
      <c r="F415" s="61"/>
      <c r="G415" s="61"/>
      <c r="H415" s="61"/>
      <c r="I415" s="61"/>
      <c r="J415" s="62" t="s">
        <v>892</v>
      </c>
    </row>
    <row r="416" spans="1:10" s="17" customFormat="1">
      <c r="A416" s="62" t="s">
        <v>893</v>
      </c>
      <c r="B416" s="63" t="s">
        <v>11</v>
      </c>
      <c r="C416" s="61" t="s">
        <v>85</v>
      </c>
      <c r="D416" s="61"/>
      <c r="E416" s="61"/>
      <c r="F416" s="61" t="s">
        <v>86</v>
      </c>
      <c r="G416" s="61" t="s">
        <v>86</v>
      </c>
      <c r="I416" s="61" t="s">
        <v>894</v>
      </c>
      <c r="J416" s="17" t="s">
        <v>895</v>
      </c>
    </row>
    <row r="417" spans="1:10" s="17" customFormat="1">
      <c r="A417" s="62" t="s">
        <v>896</v>
      </c>
      <c r="B417" s="63" t="s">
        <v>11</v>
      </c>
      <c r="C417" s="63" t="s">
        <v>11</v>
      </c>
      <c r="D417" s="61"/>
      <c r="E417" s="61"/>
      <c r="F417" s="61"/>
      <c r="G417" s="61"/>
      <c r="H417" s="61"/>
      <c r="I417" s="61"/>
      <c r="J417" s="62" t="s">
        <v>897</v>
      </c>
    </row>
    <row r="418" spans="1:10" s="17" customFormat="1">
      <c r="A418" s="62" t="s">
        <v>898</v>
      </c>
      <c r="B418" s="63" t="s">
        <v>11</v>
      </c>
      <c r="C418" s="63" t="s">
        <v>11</v>
      </c>
      <c r="D418" s="61"/>
      <c r="E418" s="61"/>
      <c r="F418" s="61"/>
      <c r="G418" s="61"/>
      <c r="H418" s="61"/>
      <c r="I418" s="61"/>
      <c r="J418" s="62" t="s">
        <v>899</v>
      </c>
    </row>
    <row r="419" spans="1:10" s="17" customFormat="1">
      <c r="A419" s="62" t="s">
        <v>900</v>
      </c>
      <c r="B419" s="63" t="s">
        <v>11</v>
      </c>
      <c r="C419" s="63" t="s">
        <v>11</v>
      </c>
      <c r="D419" s="61"/>
      <c r="E419" s="61"/>
      <c r="F419" s="61"/>
      <c r="G419" s="61"/>
      <c r="H419" s="61"/>
      <c r="I419" s="61"/>
      <c r="J419" s="62" t="s">
        <v>901</v>
      </c>
    </row>
    <row r="420" spans="1:10" s="17" customFormat="1">
      <c r="A420" s="62" t="s">
        <v>902</v>
      </c>
      <c r="B420" s="63" t="s">
        <v>11</v>
      </c>
      <c r="C420" s="63" t="s">
        <v>11</v>
      </c>
      <c r="D420" s="61"/>
      <c r="E420" s="61"/>
      <c r="F420" s="61"/>
      <c r="G420" s="61"/>
      <c r="H420" s="61"/>
      <c r="I420" s="61"/>
      <c r="J420" s="62" t="s">
        <v>903</v>
      </c>
    </row>
    <row r="421" spans="1:10" s="17" customFormat="1">
      <c r="A421" s="62" t="s">
        <v>904</v>
      </c>
      <c r="B421" s="63" t="s">
        <v>11</v>
      </c>
      <c r="C421" s="63" t="s">
        <v>11</v>
      </c>
      <c r="D421" s="61"/>
      <c r="E421" s="61"/>
      <c r="F421" s="61"/>
      <c r="G421" s="61"/>
      <c r="H421" s="61"/>
      <c r="I421" s="61"/>
      <c r="J421" s="62" t="s">
        <v>905</v>
      </c>
    </row>
    <row r="422" spans="1:10" s="17" customFormat="1">
      <c r="A422" s="62" t="s">
        <v>906</v>
      </c>
      <c r="B422" s="63" t="s">
        <v>11</v>
      </c>
      <c r="C422" s="61" t="s">
        <v>85</v>
      </c>
      <c r="D422" s="61" t="s">
        <v>907</v>
      </c>
      <c r="E422" s="61"/>
      <c r="F422" s="61" t="s">
        <v>86</v>
      </c>
      <c r="G422" s="61" t="s">
        <v>86</v>
      </c>
      <c r="I422" s="61" t="s">
        <v>908</v>
      </c>
      <c r="J422" s="17" t="s">
        <v>453</v>
      </c>
    </row>
    <row r="423" spans="1:10" s="17" customFormat="1">
      <c r="A423" s="62" t="s">
        <v>909</v>
      </c>
      <c r="B423" s="63" t="s">
        <v>11</v>
      </c>
      <c r="C423" s="63" t="s">
        <v>11</v>
      </c>
      <c r="D423" s="61"/>
      <c r="E423" s="61"/>
      <c r="F423" s="61"/>
      <c r="G423" s="61"/>
      <c r="H423" s="61"/>
      <c r="I423" s="61"/>
      <c r="J423" s="62" t="s">
        <v>910</v>
      </c>
    </row>
    <row r="424" spans="1:10" s="17" customFormat="1">
      <c r="A424" s="62" t="s">
        <v>911</v>
      </c>
      <c r="B424" s="63" t="s">
        <v>11</v>
      </c>
      <c r="C424" s="63" t="s">
        <v>11</v>
      </c>
      <c r="D424" s="61"/>
      <c r="E424" s="61"/>
      <c r="F424" s="61"/>
      <c r="G424" s="61"/>
      <c r="H424" s="61"/>
      <c r="I424" s="61"/>
      <c r="J424" s="62" t="s">
        <v>912</v>
      </c>
    </row>
    <row r="425" spans="1:10" s="17" customFormat="1">
      <c r="A425" s="62" t="s">
        <v>913</v>
      </c>
      <c r="B425" s="63" t="s">
        <v>11</v>
      </c>
      <c r="C425" s="63" t="s">
        <v>11</v>
      </c>
      <c r="D425" s="61"/>
      <c r="E425" s="61"/>
      <c r="F425" s="61"/>
      <c r="G425" s="61"/>
      <c r="H425" s="61"/>
      <c r="I425" s="61"/>
      <c r="J425" s="62" t="s">
        <v>914</v>
      </c>
    </row>
    <row r="426" spans="1:10" s="17" customFormat="1">
      <c r="A426" s="62" t="s">
        <v>915</v>
      </c>
      <c r="B426" s="63" t="s">
        <v>11</v>
      </c>
      <c r="C426" s="63" t="s">
        <v>11</v>
      </c>
      <c r="D426" s="61"/>
      <c r="E426" s="61"/>
      <c r="F426" s="61"/>
      <c r="G426" s="61"/>
      <c r="H426" s="61"/>
      <c r="I426" s="61"/>
      <c r="J426" s="62" t="s">
        <v>916</v>
      </c>
    </row>
    <row r="427" spans="1:10" s="17" customFormat="1">
      <c r="A427" s="62" t="s">
        <v>917</v>
      </c>
      <c r="B427" s="63" t="s">
        <v>11</v>
      </c>
      <c r="C427" s="63" t="s">
        <v>11</v>
      </c>
      <c r="D427" s="61"/>
      <c r="E427" s="61"/>
      <c r="F427" s="61"/>
      <c r="G427" s="61"/>
      <c r="H427" s="61"/>
      <c r="I427" s="61"/>
      <c r="J427" s="62" t="s">
        <v>918</v>
      </c>
    </row>
    <row r="428" spans="1:10" s="17" customFormat="1">
      <c r="A428" s="62" t="s">
        <v>919</v>
      </c>
      <c r="B428" s="63" t="s">
        <v>11</v>
      </c>
      <c r="C428" s="63" t="s">
        <v>11</v>
      </c>
      <c r="D428" s="61"/>
      <c r="E428" s="61"/>
      <c r="F428" s="61"/>
      <c r="G428" s="61"/>
      <c r="H428" s="61"/>
      <c r="I428" s="61"/>
      <c r="J428" s="62" t="s">
        <v>914</v>
      </c>
    </row>
    <row r="429" spans="1:10" s="17" customFormat="1">
      <c r="A429" s="62" t="s">
        <v>920</v>
      </c>
      <c r="B429" s="63" t="s">
        <v>11</v>
      </c>
      <c r="C429" s="63" t="s">
        <v>11</v>
      </c>
      <c r="D429" s="61"/>
      <c r="E429" s="61"/>
      <c r="F429" s="61"/>
      <c r="G429" s="61"/>
      <c r="H429" s="61"/>
      <c r="I429" s="61"/>
      <c r="J429" s="62" t="s">
        <v>921</v>
      </c>
    </row>
    <row r="430" spans="1:10" s="17" customFormat="1" hidden="1">
      <c r="A430" s="62" t="s">
        <v>922</v>
      </c>
      <c r="B430" s="63" t="s">
        <v>14</v>
      </c>
      <c r="C430" s="61" t="s">
        <v>14</v>
      </c>
      <c r="D430" s="61" t="s">
        <v>923</v>
      </c>
      <c r="E430" s="61" t="s">
        <v>14</v>
      </c>
      <c r="F430" s="61"/>
      <c r="G430" s="61"/>
      <c r="H430" s="61"/>
      <c r="I430" s="61"/>
      <c r="J430" s="62" t="s">
        <v>924</v>
      </c>
    </row>
    <row r="431" spans="1:10" s="17" customFormat="1" hidden="1">
      <c r="A431" s="62" t="s">
        <v>925</v>
      </c>
      <c r="B431" s="63" t="s">
        <v>14</v>
      </c>
      <c r="C431" s="61" t="s">
        <v>14</v>
      </c>
      <c r="D431" s="61" t="s">
        <v>923</v>
      </c>
      <c r="E431" s="61" t="s">
        <v>14</v>
      </c>
      <c r="F431" s="61"/>
      <c r="G431" s="61"/>
      <c r="H431" s="61"/>
      <c r="I431" s="61"/>
      <c r="J431" s="62" t="s">
        <v>926</v>
      </c>
    </row>
    <row r="432" spans="1:10" s="17" customFormat="1" hidden="1">
      <c r="A432" s="62" t="s">
        <v>927</v>
      </c>
      <c r="B432" s="63" t="s">
        <v>14</v>
      </c>
      <c r="C432" s="61" t="s">
        <v>14</v>
      </c>
      <c r="D432" s="61" t="s">
        <v>923</v>
      </c>
      <c r="E432" s="61" t="s">
        <v>14</v>
      </c>
      <c r="F432" s="61"/>
      <c r="G432" s="61"/>
      <c r="H432" s="61"/>
      <c r="I432" s="61"/>
      <c r="J432" s="62" t="s">
        <v>928</v>
      </c>
    </row>
    <row r="433" spans="1:10" s="17" customFormat="1" hidden="1">
      <c r="A433" s="62" t="s">
        <v>929</v>
      </c>
      <c r="B433" s="63" t="s">
        <v>14</v>
      </c>
      <c r="C433" s="61" t="s">
        <v>14</v>
      </c>
      <c r="D433" s="61" t="s">
        <v>923</v>
      </c>
      <c r="E433" s="61" t="s">
        <v>14</v>
      </c>
      <c r="F433" s="61"/>
      <c r="G433" s="61"/>
      <c r="H433" s="61"/>
      <c r="I433" s="61"/>
      <c r="J433" s="62" t="s">
        <v>930</v>
      </c>
    </row>
    <row r="434" spans="1:10" s="17" customFormat="1" hidden="1">
      <c r="A434" s="62" t="s">
        <v>931</v>
      </c>
      <c r="B434" s="63" t="s">
        <v>14</v>
      </c>
      <c r="C434" s="61" t="s">
        <v>14</v>
      </c>
      <c r="D434" s="61" t="s">
        <v>923</v>
      </c>
      <c r="E434" s="61" t="s">
        <v>14</v>
      </c>
      <c r="F434" s="61"/>
      <c r="G434" s="61"/>
      <c r="H434" s="61"/>
      <c r="I434" s="61"/>
      <c r="J434" s="62" t="s">
        <v>932</v>
      </c>
    </row>
    <row r="435" spans="1:10" s="17" customFormat="1" hidden="1">
      <c r="A435" s="62" t="s">
        <v>933</v>
      </c>
      <c r="B435" s="63" t="s">
        <v>14</v>
      </c>
      <c r="C435" s="61" t="s">
        <v>14</v>
      </c>
      <c r="D435" s="61" t="s">
        <v>923</v>
      </c>
      <c r="E435" s="61" t="s">
        <v>14</v>
      </c>
      <c r="F435" s="61"/>
      <c r="G435" s="61"/>
      <c r="H435" s="61"/>
      <c r="I435" s="61"/>
      <c r="J435" s="62" t="s">
        <v>934</v>
      </c>
    </row>
    <row r="436" spans="1:10" s="17" customFormat="1" hidden="1">
      <c r="A436" s="62" t="s">
        <v>935</v>
      </c>
      <c r="B436" s="63" t="s">
        <v>14</v>
      </c>
      <c r="C436" s="61" t="s">
        <v>14</v>
      </c>
      <c r="D436" s="61" t="s">
        <v>923</v>
      </c>
      <c r="E436" s="61" t="s">
        <v>14</v>
      </c>
      <c r="F436" s="61"/>
      <c r="G436" s="61"/>
      <c r="H436" s="61"/>
      <c r="I436" s="61"/>
      <c r="J436" s="62" t="s">
        <v>936</v>
      </c>
    </row>
    <row r="437" spans="1:10" s="17" customFormat="1">
      <c r="A437" s="62" t="s">
        <v>937</v>
      </c>
      <c r="B437" s="63" t="s">
        <v>11</v>
      </c>
      <c r="C437" s="63" t="s">
        <v>14</v>
      </c>
      <c r="D437" s="61" t="s">
        <v>938</v>
      </c>
      <c r="E437" s="61" t="s">
        <v>14</v>
      </c>
      <c r="F437" s="61"/>
      <c r="G437" s="61"/>
      <c r="H437" s="61"/>
      <c r="I437" s="61"/>
      <c r="J437" s="62" t="s">
        <v>939</v>
      </c>
    </row>
    <row r="438" spans="1:10" s="17" customFormat="1" hidden="1">
      <c r="A438" s="62" t="s">
        <v>940</v>
      </c>
      <c r="B438" s="63" t="s">
        <v>14</v>
      </c>
      <c r="C438" s="61" t="s">
        <v>14</v>
      </c>
      <c r="D438" s="61" t="s">
        <v>923</v>
      </c>
      <c r="E438" s="61" t="s">
        <v>14</v>
      </c>
      <c r="F438" s="61"/>
      <c r="G438" s="61"/>
      <c r="H438" s="61"/>
      <c r="I438" s="61"/>
      <c r="J438" s="62" t="s">
        <v>941</v>
      </c>
    </row>
    <row r="439" spans="1:10" s="17" customFormat="1">
      <c r="A439" s="62" t="s">
        <v>942</v>
      </c>
      <c r="B439" s="63" t="s">
        <v>11</v>
      </c>
      <c r="C439" s="63" t="s">
        <v>11</v>
      </c>
      <c r="D439" s="61"/>
      <c r="E439" s="61"/>
      <c r="F439" s="61"/>
      <c r="G439" s="61"/>
      <c r="H439" s="61"/>
      <c r="I439" s="61"/>
      <c r="J439" s="62" t="s">
        <v>943</v>
      </c>
    </row>
    <row r="440" spans="1:10" s="17" customFormat="1">
      <c r="A440" s="62" t="s">
        <v>944</v>
      </c>
      <c r="B440" s="63" t="s">
        <v>11</v>
      </c>
      <c r="C440" s="63" t="s">
        <v>11</v>
      </c>
      <c r="D440" s="61"/>
      <c r="E440" s="61"/>
      <c r="F440" s="61"/>
      <c r="G440" s="61"/>
      <c r="H440" s="61"/>
      <c r="I440" s="61"/>
      <c r="J440" s="62" t="s">
        <v>945</v>
      </c>
    </row>
    <row r="441" spans="1:10" s="17" customFormat="1">
      <c r="A441" s="62" t="s">
        <v>946</v>
      </c>
      <c r="B441" s="63" t="s">
        <v>11</v>
      </c>
      <c r="C441" s="63" t="s">
        <v>11</v>
      </c>
      <c r="D441" s="61"/>
      <c r="E441" s="61"/>
      <c r="F441" s="61"/>
      <c r="G441" s="61"/>
      <c r="H441" s="61"/>
      <c r="I441" s="61"/>
      <c r="J441" s="62" t="s">
        <v>947</v>
      </c>
    </row>
    <row r="442" spans="1:10" s="17" customFormat="1">
      <c r="A442" s="62" t="s">
        <v>948</v>
      </c>
      <c r="B442" s="63" t="s">
        <v>11</v>
      </c>
      <c r="C442" s="63" t="s">
        <v>11</v>
      </c>
      <c r="D442" s="61"/>
      <c r="E442" s="61"/>
      <c r="F442" s="61"/>
      <c r="G442" s="61"/>
      <c r="H442" s="61"/>
      <c r="I442" s="61"/>
      <c r="J442" s="62" t="s">
        <v>949</v>
      </c>
    </row>
    <row r="443" spans="1:10" s="17" customFormat="1">
      <c r="A443" s="62" t="s">
        <v>950</v>
      </c>
      <c r="B443" s="63" t="s">
        <v>11</v>
      </c>
      <c r="C443" s="63" t="s">
        <v>11</v>
      </c>
      <c r="D443" s="61"/>
      <c r="E443" s="61"/>
      <c r="F443" s="61"/>
      <c r="G443" s="61"/>
      <c r="H443" s="61"/>
      <c r="I443" s="61"/>
      <c r="J443" s="62"/>
    </row>
    <row r="444" spans="1:10" s="17" customFormat="1">
      <c r="A444" s="62" t="s">
        <v>951</v>
      </c>
      <c r="B444" s="63" t="s">
        <v>11</v>
      </c>
      <c r="C444" s="61" t="s">
        <v>11</v>
      </c>
      <c r="D444" s="61"/>
      <c r="E444" s="61"/>
      <c r="F444" s="61"/>
      <c r="G444" s="61"/>
      <c r="H444" s="61"/>
      <c r="I444" s="61"/>
      <c r="J444" s="62" t="s">
        <v>952</v>
      </c>
    </row>
    <row r="445" spans="1:10" s="17" customFormat="1">
      <c r="A445" s="62" t="s">
        <v>953</v>
      </c>
      <c r="B445" s="63" t="s">
        <v>11</v>
      </c>
      <c r="C445" s="63" t="s">
        <v>11</v>
      </c>
      <c r="D445" s="61"/>
      <c r="E445" s="61"/>
      <c r="F445" s="61"/>
      <c r="G445" s="61"/>
      <c r="H445" s="61"/>
      <c r="I445" s="61"/>
      <c r="J445" s="62" t="s">
        <v>954</v>
      </c>
    </row>
    <row r="446" spans="1:10" s="17" customFormat="1">
      <c r="A446" s="62" t="s">
        <v>955</v>
      </c>
      <c r="B446" s="63" t="s">
        <v>11</v>
      </c>
      <c r="C446" s="63" t="s">
        <v>11</v>
      </c>
      <c r="D446" s="61"/>
      <c r="E446" s="61"/>
      <c r="F446" s="61"/>
      <c r="G446" s="61"/>
      <c r="H446" s="61"/>
      <c r="I446" s="61"/>
      <c r="J446" s="62" t="s">
        <v>956</v>
      </c>
    </row>
    <row r="447" spans="1:10" s="17" customFormat="1">
      <c r="A447" s="62" t="s">
        <v>957</v>
      </c>
      <c r="B447" s="63" t="s">
        <v>11</v>
      </c>
      <c r="C447" s="63" t="s">
        <v>11</v>
      </c>
      <c r="D447" s="61" t="s">
        <v>958</v>
      </c>
      <c r="E447" s="61"/>
      <c r="F447" s="61"/>
      <c r="G447" s="61"/>
      <c r="H447" s="61"/>
      <c r="I447" s="61"/>
      <c r="J447" s="62" t="s">
        <v>959</v>
      </c>
    </row>
    <row r="448" spans="1:10" s="17" customFormat="1">
      <c r="A448" s="62" t="s">
        <v>960</v>
      </c>
      <c r="B448" s="63" t="s">
        <v>11</v>
      </c>
      <c r="C448" s="63" t="s">
        <v>11</v>
      </c>
      <c r="D448" s="61"/>
      <c r="E448" s="61"/>
      <c r="F448" s="61"/>
      <c r="G448" s="61"/>
      <c r="H448" s="61"/>
      <c r="I448" s="61"/>
      <c r="J448" s="62" t="s">
        <v>961</v>
      </c>
    </row>
    <row r="449" spans="1:10" s="17" customFormat="1">
      <c r="A449" s="62" t="s">
        <v>962</v>
      </c>
      <c r="B449" s="63" t="s">
        <v>11</v>
      </c>
      <c r="C449" s="63" t="s">
        <v>11</v>
      </c>
      <c r="D449" s="61"/>
      <c r="E449" s="61"/>
      <c r="F449" s="61"/>
      <c r="G449" s="61"/>
      <c r="H449" s="61"/>
      <c r="I449" s="61"/>
      <c r="J449" s="62" t="s">
        <v>963</v>
      </c>
    </row>
    <row r="450" spans="1:10" s="17" customFormat="1">
      <c r="A450" s="62" t="s">
        <v>964</v>
      </c>
      <c r="B450" s="63" t="s">
        <v>11</v>
      </c>
      <c r="C450" s="63" t="s">
        <v>11</v>
      </c>
      <c r="D450" s="61"/>
      <c r="E450" s="61"/>
      <c r="F450" s="61"/>
      <c r="G450" s="61"/>
      <c r="H450" s="61"/>
      <c r="I450" s="61"/>
      <c r="J450" s="62" t="s">
        <v>965</v>
      </c>
    </row>
    <row r="451" spans="1:10" s="17" customFormat="1">
      <c r="A451" s="62" t="s">
        <v>966</v>
      </c>
      <c r="B451" s="63" t="s">
        <v>11</v>
      </c>
      <c r="C451" s="63" t="s">
        <v>11</v>
      </c>
      <c r="D451" s="61"/>
      <c r="E451" s="61"/>
      <c r="F451" s="61"/>
      <c r="G451" s="61"/>
      <c r="H451" s="61"/>
      <c r="I451" s="61"/>
      <c r="J451" s="62" t="s">
        <v>967</v>
      </c>
    </row>
    <row r="452" spans="1:10" s="17" customFormat="1">
      <c r="A452" s="62" t="s">
        <v>968</v>
      </c>
      <c r="B452" s="63" t="s">
        <v>11</v>
      </c>
      <c r="C452" s="63" t="s">
        <v>11</v>
      </c>
      <c r="D452" s="61"/>
      <c r="E452" s="61"/>
      <c r="F452" s="61"/>
      <c r="G452" s="61"/>
      <c r="H452" s="61"/>
      <c r="I452" s="61"/>
      <c r="J452" s="62" t="s">
        <v>969</v>
      </c>
    </row>
    <row r="453" spans="1:10" s="17" customFormat="1">
      <c r="A453" s="62" t="s">
        <v>970</v>
      </c>
      <c r="B453" s="63" t="s">
        <v>11</v>
      </c>
      <c r="C453" s="63" t="s">
        <v>14</v>
      </c>
      <c r="D453" s="61" t="s">
        <v>958</v>
      </c>
      <c r="E453" s="61" t="s">
        <v>14</v>
      </c>
      <c r="F453" s="61"/>
      <c r="G453" s="61"/>
      <c r="H453" s="61"/>
      <c r="I453" s="61"/>
      <c r="J453" s="62" t="s">
        <v>971</v>
      </c>
    </row>
    <row r="454" spans="1:10" s="17" customFormat="1">
      <c r="A454" s="62" t="s">
        <v>972</v>
      </c>
      <c r="B454" s="63" t="s">
        <v>11</v>
      </c>
      <c r="C454" s="61" t="s">
        <v>85</v>
      </c>
      <c r="D454" s="61"/>
      <c r="E454" s="61"/>
      <c r="F454" s="61" t="s">
        <v>86</v>
      </c>
      <c r="G454" s="61" t="s">
        <v>86</v>
      </c>
      <c r="I454" s="61" t="s">
        <v>745</v>
      </c>
      <c r="J454" s="17" t="s">
        <v>973</v>
      </c>
    </row>
    <row r="455" spans="1:10" s="17" customFormat="1">
      <c r="A455" s="62" t="s">
        <v>974</v>
      </c>
      <c r="B455" s="63" t="s">
        <v>11</v>
      </c>
      <c r="C455" s="63" t="s">
        <v>11</v>
      </c>
      <c r="D455" s="61"/>
      <c r="E455" s="61"/>
      <c r="F455" s="61"/>
      <c r="G455" s="61"/>
      <c r="H455" s="61"/>
      <c r="I455" s="61"/>
      <c r="J455" s="62" t="s">
        <v>975</v>
      </c>
    </row>
    <row r="456" spans="1:10" s="17" customFormat="1">
      <c r="A456" s="62" t="s">
        <v>976</v>
      </c>
      <c r="B456" s="63" t="s">
        <v>11</v>
      </c>
      <c r="C456" s="63" t="s">
        <v>11</v>
      </c>
      <c r="D456" s="61"/>
      <c r="E456" s="61"/>
      <c r="F456" s="61"/>
      <c r="G456" s="61"/>
      <c r="H456" s="61"/>
      <c r="I456" s="61"/>
      <c r="J456" s="62" t="s">
        <v>977</v>
      </c>
    </row>
    <row r="457" spans="1:10" s="17" customFormat="1">
      <c r="A457" s="62" t="s">
        <v>978</v>
      </c>
      <c r="B457" s="63" t="s">
        <v>11</v>
      </c>
      <c r="C457" s="63" t="s">
        <v>11</v>
      </c>
      <c r="D457" s="61"/>
      <c r="E457" s="61"/>
      <c r="F457" s="61"/>
      <c r="G457" s="61"/>
      <c r="H457" s="61"/>
      <c r="I457" s="61"/>
      <c r="J457" s="62" t="s">
        <v>979</v>
      </c>
    </row>
    <row r="458" spans="1:10" s="17" customFormat="1">
      <c r="A458" s="62" t="s">
        <v>980</v>
      </c>
      <c r="B458" s="63" t="s">
        <v>11</v>
      </c>
      <c r="C458" s="61" t="s">
        <v>85</v>
      </c>
      <c r="D458" s="61"/>
      <c r="E458" s="61"/>
      <c r="F458" s="61" t="s">
        <v>86</v>
      </c>
      <c r="G458" s="61" t="s">
        <v>86</v>
      </c>
      <c r="I458" s="61" t="s">
        <v>745</v>
      </c>
      <c r="J458" s="17" t="s">
        <v>981</v>
      </c>
    </row>
    <row r="459" spans="1:10" s="17" customFormat="1">
      <c r="A459" s="62" t="s">
        <v>982</v>
      </c>
      <c r="B459" s="63" t="s">
        <v>11</v>
      </c>
      <c r="C459" s="63" t="s">
        <v>11</v>
      </c>
      <c r="D459" s="61"/>
      <c r="E459" s="61"/>
      <c r="F459" s="61"/>
      <c r="G459" s="61"/>
      <c r="H459" s="61"/>
      <c r="I459" s="61"/>
      <c r="J459" s="62" t="s">
        <v>983</v>
      </c>
    </row>
    <row r="460" spans="1:10" s="17" customFormat="1">
      <c r="A460" s="62" t="s">
        <v>984</v>
      </c>
      <c r="B460" s="63" t="s">
        <v>11</v>
      </c>
      <c r="C460" s="61" t="s">
        <v>85</v>
      </c>
      <c r="D460" s="61"/>
      <c r="E460" s="61"/>
      <c r="F460" s="61" t="s">
        <v>86</v>
      </c>
      <c r="G460" s="61" t="s">
        <v>86</v>
      </c>
      <c r="I460" s="61" t="s">
        <v>745</v>
      </c>
      <c r="J460" s="17" t="s">
        <v>985</v>
      </c>
    </row>
    <row r="461" spans="1:10" s="17" customFormat="1">
      <c r="A461" s="62" t="s">
        <v>986</v>
      </c>
      <c r="B461" s="63" t="s">
        <v>11</v>
      </c>
      <c r="C461" s="63" t="s">
        <v>11</v>
      </c>
      <c r="D461" s="61"/>
      <c r="E461" s="61"/>
      <c r="F461" s="61"/>
      <c r="G461" s="61"/>
      <c r="H461" s="61"/>
      <c r="I461" s="61"/>
      <c r="J461" s="62" t="s">
        <v>987</v>
      </c>
    </row>
    <row r="462" spans="1:10" s="17" customFormat="1">
      <c r="A462" s="62" t="s">
        <v>988</v>
      </c>
      <c r="B462" s="63" t="s">
        <v>11</v>
      </c>
      <c r="C462" s="63" t="s">
        <v>11</v>
      </c>
      <c r="D462" s="61"/>
      <c r="E462" s="61"/>
      <c r="F462" s="61"/>
      <c r="G462" s="61"/>
      <c r="H462" s="61"/>
      <c r="I462" s="61"/>
      <c r="J462" s="62" t="s">
        <v>989</v>
      </c>
    </row>
    <row r="463" spans="1:10" s="17" customFormat="1" hidden="1">
      <c r="A463" s="62" t="s">
        <v>990</v>
      </c>
      <c r="B463" s="63" t="s">
        <v>14</v>
      </c>
      <c r="C463" s="61" t="s">
        <v>14</v>
      </c>
      <c r="D463" s="61"/>
      <c r="E463" s="61" t="s">
        <v>14</v>
      </c>
      <c r="F463" s="61"/>
      <c r="G463" s="61"/>
      <c r="H463" s="61"/>
      <c r="I463" s="61"/>
      <c r="J463" s="62" t="s">
        <v>991</v>
      </c>
    </row>
    <row r="464" spans="1:10" s="17" customFormat="1">
      <c r="A464" s="62" t="s">
        <v>992</v>
      </c>
      <c r="B464" s="63" t="s">
        <v>11</v>
      </c>
      <c r="C464" s="61" t="s">
        <v>85</v>
      </c>
      <c r="D464" s="61"/>
      <c r="E464" s="61"/>
      <c r="F464" s="61" t="s">
        <v>86</v>
      </c>
      <c r="G464" s="61" t="s">
        <v>86</v>
      </c>
      <c r="I464" s="61" t="s">
        <v>745</v>
      </c>
      <c r="J464" s="17" t="s">
        <v>993</v>
      </c>
    </row>
    <row r="465" spans="1:10" s="17" customFormat="1" hidden="1">
      <c r="A465" s="62" t="s">
        <v>994</v>
      </c>
      <c r="B465" s="63" t="s">
        <v>14</v>
      </c>
      <c r="C465" s="63" t="s">
        <v>14</v>
      </c>
      <c r="D465" s="61" t="s">
        <v>995</v>
      </c>
      <c r="E465" s="61" t="s">
        <v>14</v>
      </c>
      <c r="F465" s="61"/>
      <c r="G465" s="61"/>
      <c r="H465" s="61"/>
      <c r="I465" s="61"/>
      <c r="J465" s="62" t="s">
        <v>996</v>
      </c>
    </row>
    <row r="466" spans="1:10" s="17" customFormat="1" hidden="1">
      <c r="A466" s="62" t="s">
        <v>997</v>
      </c>
      <c r="B466" s="63" t="s">
        <v>14</v>
      </c>
      <c r="C466" s="61" t="s">
        <v>14</v>
      </c>
      <c r="D466" s="61"/>
      <c r="E466" s="61" t="s">
        <v>14</v>
      </c>
      <c r="F466" s="61"/>
      <c r="G466" s="61"/>
      <c r="H466" s="61"/>
      <c r="I466" s="61"/>
      <c r="J466" s="62" t="s">
        <v>998</v>
      </c>
    </row>
    <row r="467" spans="1:10" s="17" customFormat="1" hidden="1">
      <c r="A467" s="62" t="s">
        <v>999</v>
      </c>
      <c r="B467" s="63" t="s">
        <v>14</v>
      </c>
      <c r="C467" s="63" t="s">
        <v>14</v>
      </c>
      <c r="D467" s="61" t="s">
        <v>1000</v>
      </c>
      <c r="E467" s="61" t="s">
        <v>14</v>
      </c>
      <c r="F467" s="61"/>
      <c r="G467" s="61"/>
      <c r="H467" s="61"/>
      <c r="I467" s="61"/>
      <c r="J467" s="62" t="s">
        <v>1001</v>
      </c>
    </row>
    <row r="468" spans="1:10" s="17" customFormat="1" hidden="1">
      <c r="A468" s="62" t="s">
        <v>1002</v>
      </c>
      <c r="B468" s="63" t="s">
        <v>14</v>
      </c>
      <c r="C468" s="63" t="s">
        <v>14</v>
      </c>
      <c r="D468" s="61" t="s">
        <v>1003</v>
      </c>
      <c r="E468" s="61" t="s">
        <v>14</v>
      </c>
      <c r="F468" s="61"/>
      <c r="G468" s="61"/>
      <c r="H468" s="61"/>
      <c r="I468" s="61"/>
      <c r="J468" s="62" t="s">
        <v>1004</v>
      </c>
    </row>
    <row r="469" spans="1:10" s="17" customFormat="1" hidden="1">
      <c r="A469" s="62" t="s">
        <v>1005</v>
      </c>
      <c r="B469" s="63" t="s">
        <v>14</v>
      </c>
      <c r="C469" s="63" t="s">
        <v>14</v>
      </c>
      <c r="D469" s="61" t="s">
        <v>1003</v>
      </c>
      <c r="E469" s="61" t="s">
        <v>14</v>
      </c>
      <c r="F469" s="61"/>
      <c r="G469" s="61"/>
      <c r="H469" s="61"/>
      <c r="I469" s="61"/>
      <c r="J469" s="62" t="s">
        <v>1006</v>
      </c>
    </row>
    <row r="470" spans="1:10" s="17" customFormat="1" hidden="1">
      <c r="A470" s="62" t="s">
        <v>1007</v>
      </c>
      <c r="B470" s="63" t="s">
        <v>14</v>
      </c>
      <c r="C470" s="63" t="s">
        <v>14</v>
      </c>
      <c r="D470" s="61" t="s">
        <v>1003</v>
      </c>
      <c r="E470" s="61" t="s">
        <v>14</v>
      </c>
      <c r="F470" s="61"/>
      <c r="G470" s="61"/>
      <c r="H470" s="61"/>
      <c r="I470" s="61"/>
      <c r="J470" s="62" t="s">
        <v>1008</v>
      </c>
    </row>
    <row r="471" spans="1:10" s="17" customFormat="1" hidden="1">
      <c r="A471" s="62" t="s">
        <v>1009</v>
      </c>
      <c r="B471" s="63" t="s">
        <v>14</v>
      </c>
      <c r="C471" s="63" t="s">
        <v>14</v>
      </c>
      <c r="D471" s="61" t="s">
        <v>1003</v>
      </c>
      <c r="E471" s="61" t="s">
        <v>14</v>
      </c>
      <c r="F471" s="61"/>
      <c r="G471" s="61"/>
      <c r="H471" s="61"/>
      <c r="I471" s="61"/>
      <c r="J471" s="62" t="s">
        <v>1010</v>
      </c>
    </row>
    <row r="472" spans="1:10" s="17" customFormat="1" hidden="1">
      <c r="A472" s="62" t="s">
        <v>1011</v>
      </c>
      <c r="B472" s="63" t="s">
        <v>14</v>
      </c>
      <c r="C472" s="63" t="s">
        <v>14</v>
      </c>
      <c r="D472" s="61" t="s">
        <v>1003</v>
      </c>
      <c r="E472" s="61" t="s">
        <v>14</v>
      </c>
      <c r="F472" s="61"/>
      <c r="G472" s="61"/>
      <c r="H472" s="61"/>
      <c r="I472" s="61"/>
      <c r="J472" s="62" t="s">
        <v>1012</v>
      </c>
    </row>
    <row r="473" spans="1:10" s="17" customFormat="1" hidden="1">
      <c r="A473" s="62" t="s">
        <v>1013</v>
      </c>
      <c r="B473" s="63" t="s">
        <v>14</v>
      </c>
      <c r="C473" s="63" t="s">
        <v>14</v>
      </c>
      <c r="D473" s="61" t="s">
        <v>1003</v>
      </c>
      <c r="E473" s="61" t="s">
        <v>14</v>
      </c>
      <c r="F473" s="61"/>
      <c r="G473" s="61"/>
      <c r="H473" s="61"/>
      <c r="I473" s="61"/>
      <c r="J473" s="62" t="s">
        <v>1014</v>
      </c>
    </row>
    <row r="474" spans="1:10" s="17" customFormat="1" hidden="1">
      <c r="A474" s="62" t="s">
        <v>1015</v>
      </c>
      <c r="B474" s="63" t="s">
        <v>14</v>
      </c>
      <c r="C474" s="61" t="s">
        <v>14</v>
      </c>
      <c r="D474" s="61"/>
      <c r="E474" s="61" t="s">
        <v>14</v>
      </c>
      <c r="F474" s="61"/>
      <c r="G474" s="61"/>
      <c r="H474" s="61"/>
      <c r="I474" s="61"/>
      <c r="J474" s="62" t="s">
        <v>1016</v>
      </c>
    </row>
    <row r="475" spans="1:10" s="17" customFormat="1" hidden="1">
      <c r="A475" s="62" t="s">
        <v>1017</v>
      </c>
      <c r="B475" s="63" t="s">
        <v>14</v>
      </c>
      <c r="C475" s="63" t="s">
        <v>14</v>
      </c>
      <c r="D475" s="61" t="s">
        <v>1003</v>
      </c>
      <c r="E475" s="61" t="s">
        <v>14</v>
      </c>
      <c r="F475" s="61"/>
      <c r="G475" s="61"/>
      <c r="H475" s="61"/>
      <c r="I475" s="61"/>
      <c r="J475" s="62" t="s">
        <v>1018</v>
      </c>
    </row>
    <row r="476" spans="1:10" s="17" customFormat="1" hidden="1">
      <c r="A476" s="62" t="s">
        <v>1019</v>
      </c>
      <c r="B476" s="63" t="s">
        <v>14</v>
      </c>
      <c r="C476" s="63" t="s">
        <v>14</v>
      </c>
      <c r="D476" s="61" t="s">
        <v>1003</v>
      </c>
      <c r="E476" s="61" t="s">
        <v>14</v>
      </c>
      <c r="F476" s="61"/>
      <c r="G476" s="61"/>
      <c r="H476" s="61"/>
      <c r="I476" s="61"/>
      <c r="J476" s="62" t="s">
        <v>1020</v>
      </c>
    </row>
    <row r="477" spans="1:10" s="17" customFormat="1" hidden="1">
      <c r="A477" s="62" t="s">
        <v>1021</v>
      </c>
      <c r="B477" s="63" t="s">
        <v>14</v>
      </c>
      <c r="C477" s="63" t="s">
        <v>14</v>
      </c>
      <c r="D477" s="61" t="s">
        <v>1003</v>
      </c>
      <c r="E477" s="61" t="s">
        <v>14</v>
      </c>
      <c r="F477" s="61"/>
      <c r="G477" s="61"/>
      <c r="H477" s="61"/>
      <c r="I477" s="61"/>
      <c r="J477" s="62" t="s">
        <v>1022</v>
      </c>
    </row>
    <row r="478" spans="1:10" s="17" customFormat="1" hidden="1">
      <c r="A478" s="62" t="s">
        <v>1023</v>
      </c>
      <c r="B478" s="63" t="s">
        <v>14</v>
      </c>
      <c r="C478" s="63" t="s">
        <v>14</v>
      </c>
      <c r="D478" s="61" t="s">
        <v>1003</v>
      </c>
      <c r="E478" s="61" t="s">
        <v>14</v>
      </c>
      <c r="F478" s="61"/>
      <c r="G478" s="61"/>
      <c r="H478" s="61"/>
      <c r="I478" s="61"/>
      <c r="J478" s="62" t="s">
        <v>1024</v>
      </c>
    </row>
    <row r="479" spans="1:10" s="17" customFormat="1" hidden="1">
      <c r="A479" s="62" t="s">
        <v>1025</v>
      </c>
      <c r="B479" s="63" t="s">
        <v>14</v>
      </c>
      <c r="C479" s="61" t="s">
        <v>14</v>
      </c>
      <c r="D479" s="61"/>
      <c r="E479" s="61" t="s">
        <v>14</v>
      </c>
      <c r="F479" s="61"/>
      <c r="G479" s="61"/>
      <c r="H479" s="61"/>
      <c r="I479" s="61"/>
      <c r="J479" s="62" t="s">
        <v>1026</v>
      </c>
    </row>
    <row r="480" spans="1:10" s="17" customFormat="1" hidden="1">
      <c r="A480" s="62" t="s">
        <v>1027</v>
      </c>
      <c r="B480" s="63" t="s">
        <v>14</v>
      </c>
      <c r="C480" s="63" t="s">
        <v>14</v>
      </c>
      <c r="D480" s="61" t="s">
        <v>1028</v>
      </c>
      <c r="E480" s="61" t="s">
        <v>14</v>
      </c>
      <c r="F480" s="61"/>
      <c r="G480" s="61"/>
      <c r="H480" s="61"/>
      <c r="I480" s="61"/>
      <c r="J480" s="62" t="s">
        <v>1029</v>
      </c>
    </row>
    <row r="481" spans="1:10" s="17" customFormat="1" hidden="1">
      <c r="A481" s="62" t="s">
        <v>1030</v>
      </c>
      <c r="B481" s="63" t="s">
        <v>14</v>
      </c>
      <c r="C481" s="63" t="s">
        <v>14</v>
      </c>
      <c r="D481" s="61" t="s">
        <v>1028</v>
      </c>
      <c r="E481" s="61" t="s">
        <v>14</v>
      </c>
      <c r="F481" s="61"/>
      <c r="G481" s="61"/>
      <c r="H481" s="61"/>
      <c r="I481" s="61"/>
      <c r="J481" s="62" t="s">
        <v>1031</v>
      </c>
    </row>
    <row r="482" spans="1:10" s="17" customFormat="1" hidden="1">
      <c r="A482" s="62" t="s">
        <v>1032</v>
      </c>
      <c r="B482" s="63" t="s">
        <v>14</v>
      </c>
      <c r="C482" s="63" t="s">
        <v>14</v>
      </c>
      <c r="D482" s="61" t="s">
        <v>1000</v>
      </c>
      <c r="E482" s="61" t="s">
        <v>14</v>
      </c>
      <c r="F482" s="61"/>
      <c r="G482" s="61"/>
      <c r="H482" s="61"/>
      <c r="I482" s="61"/>
      <c r="J482" s="62" t="s">
        <v>1033</v>
      </c>
    </row>
    <row r="483" spans="1:10" s="17" customFormat="1" hidden="1">
      <c r="A483" s="62" t="s">
        <v>1034</v>
      </c>
      <c r="B483" s="63" t="s">
        <v>14</v>
      </c>
      <c r="C483" s="63" t="s">
        <v>14</v>
      </c>
      <c r="D483" s="61" t="s">
        <v>1035</v>
      </c>
      <c r="E483" s="61" t="s">
        <v>14</v>
      </c>
      <c r="F483" s="61"/>
      <c r="G483" s="61"/>
      <c r="H483" s="61"/>
      <c r="I483" s="61"/>
      <c r="J483" s="62" t="s">
        <v>1036</v>
      </c>
    </row>
    <row r="484" spans="1:10" s="17" customFormat="1" hidden="1">
      <c r="A484" s="62" t="s">
        <v>1037</v>
      </c>
      <c r="B484" s="63" t="s">
        <v>14</v>
      </c>
      <c r="C484" s="63" t="s">
        <v>14</v>
      </c>
      <c r="D484" s="61" t="s">
        <v>995</v>
      </c>
      <c r="E484" s="61" t="s">
        <v>14</v>
      </c>
      <c r="F484" s="61"/>
      <c r="G484" s="61"/>
      <c r="H484" s="61"/>
      <c r="I484" s="61"/>
      <c r="J484" s="62" t="s">
        <v>1038</v>
      </c>
    </row>
    <row r="485" spans="1:10" s="17" customFormat="1" hidden="1">
      <c r="A485" s="62" t="s">
        <v>1039</v>
      </c>
      <c r="B485" s="63" t="s">
        <v>14</v>
      </c>
      <c r="C485" s="63" t="s">
        <v>14</v>
      </c>
      <c r="D485" s="61" t="s">
        <v>995</v>
      </c>
      <c r="E485" s="61" t="s">
        <v>14</v>
      </c>
      <c r="F485" s="61"/>
      <c r="G485" s="61"/>
      <c r="H485" s="61"/>
      <c r="I485" s="61"/>
      <c r="J485" s="62" t="s">
        <v>1040</v>
      </c>
    </row>
    <row r="486" spans="1:10" s="17" customFormat="1" hidden="1">
      <c r="A486" s="62" t="s">
        <v>1041</v>
      </c>
      <c r="B486" s="63" t="s">
        <v>14</v>
      </c>
      <c r="C486" s="63" t="s">
        <v>14</v>
      </c>
      <c r="D486" s="61" t="s">
        <v>1035</v>
      </c>
      <c r="E486" s="61" t="s">
        <v>14</v>
      </c>
      <c r="F486" s="61"/>
      <c r="G486" s="61"/>
      <c r="H486" s="61"/>
      <c r="I486" s="61"/>
      <c r="J486" s="62" t="s">
        <v>1042</v>
      </c>
    </row>
    <row r="487" spans="1:10" s="17" customFormat="1" hidden="1">
      <c r="A487" s="62" t="s">
        <v>1043</v>
      </c>
      <c r="B487" s="63" t="s">
        <v>14</v>
      </c>
      <c r="C487" s="63" t="s">
        <v>14</v>
      </c>
      <c r="D487" s="61" t="s">
        <v>1035</v>
      </c>
      <c r="E487" s="61" t="s">
        <v>14</v>
      </c>
      <c r="F487" s="61"/>
      <c r="G487" s="61"/>
      <c r="H487" s="61"/>
      <c r="I487" s="61"/>
      <c r="J487" s="62" t="s">
        <v>1044</v>
      </c>
    </row>
    <row r="488" spans="1:10" s="17" customFormat="1" hidden="1">
      <c r="A488" s="62" t="s">
        <v>1045</v>
      </c>
      <c r="B488" s="63" t="s">
        <v>14</v>
      </c>
      <c r="C488" s="63" t="s">
        <v>14</v>
      </c>
      <c r="D488" s="61" t="s">
        <v>1035</v>
      </c>
      <c r="E488" s="61" t="s">
        <v>14</v>
      </c>
      <c r="F488" s="61"/>
      <c r="G488" s="61"/>
      <c r="H488" s="61"/>
      <c r="I488" s="61"/>
      <c r="J488" s="62" t="s">
        <v>1046</v>
      </c>
    </row>
    <row r="489" spans="1:10" s="17" customFormat="1">
      <c r="A489" s="62" t="s">
        <v>1047</v>
      </c>
      <c r="B489" s="63" t="s">
        <v>11</v>
      </c>
      <c r="C489" s="63" t="s">
        <v>11</v>
      </c>
      <c r="D489" s="61"/>
      <c r="E489" s="61"/>
      <c r="F489" s="61"/>
      <c r="G489" s="61"/>
      <c r="H489" s="61"/>
      <c r="I489" s="61"/>
      <c r="J489" s="62" t="s">
        <v>1048</v>
      </c>
    </row>
    <row r="490" spans="1:10" s="17" customFormat="1">
      <c r="A490" s="62" t="s">
        <v>1049</v>
      </c>
      <c r="B490" s="63" t="s">
        <v>11</v>
      </c>
      <c r="C490" s="63" t="s">
        <v>11</v>
      </c>
      <c r="D490" s="61"/>
      <c r="E490" s="61"/>
      <c r="F490" s="61"/>
      <c r="G490" s="61"/>
      <c r="H490" s="61"/>
      <c r="I490" s="61"/>
      <c r="J490" s="62" t="s">
        <v>1050</v>
      </c>
    </row>
    <row r="491" spans="1:10" s="17" customFormat="1">
      <c r="A491" s="62" t="s">
        <v>1051</v>
      </c>
      <c r="B491" s="63" t="s">
        <v>11</v>
      </c>
      <c r="C491" s="63" t="s">
        <v>11</v>
      </c>
      <c r="D491" s="61"/>
      <c r="E491" s="61"/>
      <c r="F491" s="61"/>
      <c r="G491" s="61"/>
      <c r="H491" s="61"/>
      <c r="I491" s="61"/>
      <c r="J491" s="62" t="s">
        <v>1052</v>
      </c>
    </row>
    <row r="492" spans="1:10" s="17" customFormat="1">
      <c r="A492" s="62" t="s">
        <v>1053</v>
      </c>
      <c r="B492" s="63" t="s">
        <v>11</v>
      </c>
      <c r="C492" s="63" t="s">
        <v>11</v>
      </c>
      <c r="D492" s="61"/>
      <c r="E492" s="61"/>
      <c r="F492" s="61"/>
      <c r="G492" s="61"/>
      <c r="H492" s="61"/>
      <c r="I492" s="61"/>
      <c r="J492" s="62" t="s">
        <v>1054</v>
      </c>
    </row>
    <row r="493" spans="1:10" s="17" customFormat="1">
      <c r="A493" s="62" t="s">
        <v>1055</v>
      </c>
      <c r="B493" s="63" t="s">
        <v>11</v>
      </c>
      <c r="C493" s="63" t="s">
        <v>11</v>
      </c>
      <c r="D493" s="61"/>
      <c r="E493" s="61"/>
      <c r="F493" s="61"/>
      <c r="G493" s="61"/>
      <c r="H493" s="61"/>
      <c r="I493" s="61"/>
      <c r="J493" s="62" t="s">
        <v>1056</v>
      </c>
    </row>
    <row r="494" spans="1:10" s="17" customFormat="1">
      <c r="A494" s="62" t="s">
        <v>1057</v>
      </c>
      <c r="B494" s="63" t="s">
        <v>11</v>
      </c>
      <c r="C494" s="63" t="s">
        <v>11</v>
      </c>
      <c r="D494" s="61"/>
      <c r="E494" s="61"/>
      <c r="F494" s="61"/>
      <c r="G494" s="61"/>
      <c r="H494" s="61"/>
      <c r="I494" s="61"/>
      <c r="J494" s="62" t="s">
        <v>1058</v>
      </c>
    </row>
    <row r="495" spans="1:10" s="17" customFormat="1">
      <c r="A495" s="62" t="s">
        <v>1059</v>
      </c>
      <c r="B495" s="63" t="s">
        <v>11</v>
      </c>
      <c r="C495" s="63" t="s">
        <v>11</v>
      </c>
      <c r="D495" s="61"/>
      <c r="E495" s="61"/>
      <c r="F495" s="61"/>
      <c r="G495" s="61"/>
      <c r="H495" s="61"/>
      <c r="I495" s="61"/>
      <c r="J495" s="62" t="s">
        <v>1060</v>
      </c>
    </row>
    <row r="496" spans="1:10" s="17" customFormat="1">
      <c r="A496" s="62" t="s">
        <v>1061</v>
      </c>
      <c r="B496" s="63" t="s">
        <v>11</v>
      </c>
      <c r="C496" s="63" t="s">
        <v>11</v>
      </c>
      <c r="D496" s="61"/>
      <c r="E496" s="61"/>
      <c r="F496" s="61"/>
      <c r="G496" s="61"/>
      <c r="H496" s="61"/>
      <c r="I496" s="61"/>
      <c r="J496" s="62" t="s">
        <v>1062</v>
      </c>
    </row>
    <row r="497" spans="1:10" s="17" customFormat="1">
      <c r="A497" s="62" t="s">
        <v>1063</v>
      </c>
      <c r="B497" s="63" t="s">
        <v>11</v>
      </c>
      <c r="C497" s="61" t="s">
        <v>85</v>
      </c>
      <c r="D497" s="61"/>
      <c r="E497" s="61"/>
      <c r="F497" s="61" t="s">
        <v>86</v>
      </c>
      <c r="G497" s="61" t="s">
        <v>86</v>
      </c>
      <c r="I497" s="61" t="s">
        <v>745</v>
      </c>
      <c r="J497" s="17" t="s">
        <v>1064</v>
      </c>
    </row>
    <row r="498" spans="1:10" s="17" customFormat="1">
      <c r="A498" s="62" t="s">
        <v>1065</v>
      </c>
      <c r="B498" s="63" t="s">
        <v>11</v>
      </c>
      <c r="C498" s="63" t="s">
        <v>11</v>
      </c>
      <c r="D498" s="61"/>
      <c r="E498" s="61"/>
      <c r="F498" s="61"/>
      <c r="G498" s="61"/>
      <c r="H498" s="61"/>
      <c r="I498" s="61"/>
      <c r="J498" s="62" t="s">
        <v>1066</v>
      </c>
    </row>
    <row r="499" spans="1:10" s="17" customFormat="1">
      <c r="A499" s="62" t="s">
        <v>1067</v>
      </c>
      <c r="B499" s="63" t="s">
        <v>11</v>
      </c>
      <c r="C499" s="61" t="s">
        <v>85</v>
      </c>
      <c r="D499" s="61"/>
      <c r="E499" s="61"/>
      <c r="F499" s="61" t="s">
        <v>86</v>
      </c>
      <c r="G499" s="61" t="s">
        <v>86</v>
      </c>
      <c r="I499" s="61" t="s">
        <v>745</v>
      </c>
      <c r="J499" s="17" t="s">
        <v>1068</v>
      </c>
    </row>
    <row r="500" spans="1:10" s="17" customFormat="1">
      <c r="A500" s="62" t="s">
        <v>1069</v>
      </c>
      <c r="B500" s="63" t="s">
        <v>11</v>
      </c>
      <c r="C500" s="63" t="s">
        <v>11</v>
      </c>
      <c r="D500" s="61"/>
      <c r="E500" s="61"/>
      <c r="F500" s="61"/>
      <c r="G500" s="61"/>
      <c r="H500" s="61"/>
      <c r="I500" s="61"/>
      <c r="J500" s="62" t="s">
        <v>1070</v>
      </c>
    </row>
    <row r="501" spans="1:10" s="17" customFormat="1" hidden="1">
      <c r="A501" s="62" t="s">
        <v>1071</v>
      </c>
      <c r="B501" s="63" t="s">
        <v>14</v>
      </c>
      <c r="C501" s="63" t="s">
        <v>14</v>
      </c>
      <c r="D501" s="61"/>
      <c r="E501" s="61" t="s">
        <v>14</v>
      </c>
      <c r="F501" s="61"/>
      <c r="G501" s="61"/>
      <c r="H501" s="61" t="s">
        <v>504</v>
      </c>
      <c r="I501" s="61"/>
      <c r="J501" s="62" t="s">
        <v>1100</v>
      </c>
    </row>
    <row r="502" spans="1:10" s="17" customFormat="1">
      <c r="A502" s="62" t="s">
        <v>1072</v>
      </c>
      <c r="B502" s="63" t="s">
        <v>11</v>
      </c>
      <c r="C502" s="63" t="s">
        <v>11</v>
      </c>
      <c r="D502" s="61"/>
      <c r="E502" s="61"/>
      <c r="F502" s="61"/>
      <c r="G502" s="61"/>
      <c r="H502" s="61"/>
      <c r="I502" s="61"/>
      <c r="J502" s="62" t="s">
        <v>1073</v>
      </c>
    </row>
    <row r="503" spans="1:10" s="17" customFormat="1">
      <c r="A503" s="62" t="s">
        <v>1074</v>
      </c>
      <c r="B503" s="63" t="s">
        <v>11</v>
      </c>
      <c r="C503" s="63" t="s">
        <v>11</v>
      </c>
      <c r="D503" s="61"/>
      <c r="E503" s="61"/>
      <c r="F503" s="61"/>
      <c r="G503" s="61"/>
      <c r="H503" s="61"/>
      <c r="I503" s="61"/>
      <c r="J503" s="62" t="s">
        <v>1075</v>
      </c>
    </row>
    <row r="504" spans="1:10" s="17" customFormat="1">
      <c r="A504" s="62" t="s">
        <v>1076</v>
      </c>
      <c r="B504" s="63" t="s">
        <v>11</v>
      </c>
      <c r="C504" s="61" t="s">
        <v>85</v>
      </c>
      <c r="D504" s="61"/>
      <c r="E504" s="61"/>
      <c r="F504" s="61" t="s">
        <v>86</v>
      </c>
      <c r="G504" s="61" t="s">
        <v>86</v>
      </c>
      <c r="I504" s="61" t="s">
        <v>1077</v>
      </c>
      <c r="J504" s="17" t="s">
        <v>1078</v>
      </c>
    </row>
    <row r="505" spans="1:10" s="17" customFormat="1">
      <c r="A505" s="62" t="s">
        <v>1079</v>
      </c>
      <c r="B505" s="63" t="s">
        <v>11</v>
      </c>
      <c r="C505" s="61" t="s">
        <v>85</v>
      </c>
      <c r="D505" s="61"/>
      <c r="E505" s="61"/>
      <c r="F505" s="61" t="s">
        <v>86</v>
      </c>
      <c r="G505" s="61" t="s">
        <v>86</v>
      </c>
      <c r="I505" s="61" t="s">
        <v>1077</v>
      </c>
      <c r="J505" s="17" t="s">
        <v>1080</v>
      </c>
    </row>
    <row r="506" spans="1:10" s="17" customFormat="1">
      <c r="A506" s="62" t="s">
        <v>1081</v>
      </c>
      <c r="B506" s="63" t="s">
        <v>11</v>
      </c>
      <c r="C506" s="61" t="s">
        <v>85</v>
      </c>
      <c r="D506" s="61" t="s">
        <v>1082</v>
      </c>
      <c r="E506" s="61"/>
      <c r="F506" s="61" t="s">
        <v>86</v>
      </c>
      <c r="G506" s="61" t="s">
        <v>86</v>
      </c>
      <c r="I506" s="61" t="s">
        <v>1077</v>
      </c>
      <c r="J506" s="17" t="s">
        <v>1083</v>
      </c>
    </row>
    <row r="507" spans="1:10" s="17" customFormat="1">
      <c r="A507" s="62" t="s">
        <v>1084</v>
      </c>
      <c r="B507" s="63" t="s">
        <v>11</v>
      </c>
      <c r="C507" s="61" t="s">
        <v>85</v>
      </c>
      <c r="D507" s="61" t="s">
        <v>1082</v>
      </c>
      <c r="E507" s="61"/>
      <c r="F507" s="61" t="s">
        <v>86</v>
      </c>
      <c r="G507" s="61" t="s">
        <v>86</v>
      </c>
      <c r="I507" s="61" t="s">
        <v>1077</v>
      </c>
      <c r="J507" s="17" t="s">
        <v>1788</v>
      </c>
    </row>
    <row r="508" spans="1:10" s="17" customFormat="1">
      <c r="A508" s="62" t="s">
        <v>1086</v>
      </c>
      <c r="B508" s="63" t="s">
        <v>11</v>
      </c>
      <c r="C508" s="61" t="s">
        <v>85</v>
      </c>
      <c r="D508" s="61" t="s">
        <v>1082</v>
      </c>
      <c r="E508" s="61"/>
      <c r="F508" s="61" t="s">
        <v>86</v>
      </c>
      <c r="G508" s="61" t="s">
        <v>86</v>
      </c>
      <c r="I508" s="61" t="s">
        <v>1077</v>
      </c>
      <c r="J508" s="17" t="s">
        <v>1087</v>
      </c>
    </row>
    <row r="509" spans="1:10" s="17" customFormat="1">
      <c r="A509" s="62" t="s">
        <v>1088</v>
      </c>
      <c r="B509" s="63" t="s">
        <v>11</v>
      </c>
      <c r="C509" s="61" t="s">
        <v>11</v>
      </c>
      <c r="D509" s="61"/>
      <c r="E509" s="61"/>
      <c r="F509" s="61"/>
      <c r="G509" s="61"/>
      <c r="H509" s="61"/>
      <c r="I509" s="61"/>
      <c r="J509" s="62" t="s">
        <v>1089</v>
      </c>
    </row>
    <row r="510" spans="1:10" s="17" customFormat="1">
      <c r="A510" s="62" t="s">
        <v>1090</v>
      </c>
      <c r="B510" s="63" t="s">
        <v>11</v>
      </c>
      <c r="C510" s="63" t="s">
        <v>11</v>
      </c>
      <c r="D510" s="61"/>
      <c r="E510" s="61"/>
      <c r="F510" s="61"/>
      <c r="G510" s="61"/>
      <c r="H510" s="61"/>
      <c r="I510" s="61"/>
      <c r="J510" s="62" t="s">
        <v>1091</v>
      </c>
    </row>
    <row r="511" spans="1:10" s="17" customFormat="1">
      <c r="A511" s="62" t="s">
        <v>1092</v>
      </c>
      <c r="B511" s="63" t="s">
        <v>11</v>
      </c>
      <c r="C511" s="63" t="s">
        <v>11</v>
      </c>
      <c r="D511" s="61"/>
      <c r="E511" s="61"/>
      <c r="F511" s="61"/>
      <c r="G511" s="61"/>
      <c r="H511" s="61"/>
      <c r="I511" s="61"/>
      <c r="J511" s="62" t="s">
        <v>1091</v>
      </c>
    </row>
    <row r="512" spans="1:10" s="17" customFormat="1">
      <c r="A512" s="62" t="s">
        <v>1093</v>
      </c>
      <c r="B512" s="63" t="s">
        <v>11</v>
      </c>
      <c r="C512" s="63" t="s">
        <v>11</v>
      </c>
      <c r="D512" s="61"/>
      <c r="E512" s="61"/>
      <c r="F512" s="61"/>
      <c r="G512" s="61"/>
      <c r="H512" s="61"/>
      <c r="I512" s="61"/>
      <c r="J512" s="62" t="s">
        <v>1094</v>
      </c>
    </row>
    <row r="513" spans="1:10" s="17" customFormat="1">
      <c r="A513" s="62" t="s">
        <v>1095</v>
      </c>
      <c r="B513" s="63" t="s">
        <v>11</v>
      </c>
      <c r="C513" s="63" t="s">
        <v>11</v>
      </c>
      <c r="D513" s="61"/>
      <c r="E513" s="61"/>
      <c r="F513" s="61"/>
      <c r="G513" s="61"/>
      <c r="H513" s="61"/>
      <c r="I513" s="61"/>
      <c r="J513" s="62" t="s">
        <v>1096</v>
      </c>
    </row>
    <row r="514" spans="1:10" s="17" customFormat="1">
      <c r="A514" s="62" t="s">
        <v>1097</v>
      </c>
      <c r="B514" s="63" t="s">
        <v>11</v>
      </c>
      <c r="C514" s="63" t="s">
        <v>11</v>
      </c>
      <c r="D514" s="61"/>
      <c r="E514" s="61"/>
      <c r="F514" s="61"/>
      <c r="G514" s="61"/>
      <c r="H514" s="61"/>
      <c r="I514" s="61"/>
      <c r="J514" s="62" t="s">
        <v>1098</v>
      </c>
    </row>
    <row r="515" spans="1:10" s="17" customFormat="1" hidden="1">
      <c r="A515" s="62" t="s">
        <v>1099</v>
      </c>
      <c r="B515" s="63" t="s">
        <v>14</v>
      </c>
      <c r="C515" s="63" t="s">
        <v>14</v>
      </c>
      <c r="D515" s="61"/>
      <c r="E515" s="61" t="s">
        <v>14</v>
      </c>
      <c r="F515" s="61"/>
      <c r="G515" s="61"/>
      <c r="H515" s="61" t="s">
        <v>504</v>
      </c>
      <c r="I515" s="61"/>
      <c r="J515" s="62" t="s">
        <v>1100</v>
      </c>
    </row>
    <row r="516" spans="1:10" s="17" customFormat="1">
      <c r="A516" s="62" t="s">
        <v>1101</v>
      </c>
      <c r="B516" s="63" t="s">
        <v>11</v>
      </c>
      <c r="C516" s="63" t="s">
        <v>11</v>
      </c>
      <c r="D516" s="61"/>
      <c r="E516" s="61"/>
      <c r="F516" s="61"/>
      <c r="G516" s="61"/>
      <c r="H516" s="61"/>
      <c r="I516" s="61"/>
      <c r="J516" s="62" t="s">
        <v>1102</v>
      </c>
    </row>
    <row r="517" spans="1:10" s="17" customFormat="1" hidden="1">
      <c r="A517" s="62" t="s">
        <v>1103</v>
      </c>
      <c r="B517" s="63" t="s">
        <v>14</v>
      </c>
      <c r="C517" s="63" t="s">
        <v>14</v>
      </c>
      <c r="D517" s="61" t="s">
        <v>1104</v>
      </c>
      <c r="E517" s="61" t="s">
        <v>14</v>
      </c>
      <c r="F517" s="61"/>
      <c r="G517" s="61"/>
      <c r="H517" s="61"/>
      <c r="I517" s="61"/>
      <c r="J517" s="62" t="s">
        <v>1105</v>
      </c>
    </row>
    <row r="518" spans="1:10" s="17" customFormat="1">
      <c r="A518" s="62" t="s">
        <v>1106</v>
      </c>
      <c r="B518" s="63" t="s">
        <v>11</v>
      </c>
      <c r="C518" s="63" t="s">
        <v>11</v>
      </c>
      <c r="D518" s="61"/>
      <c r="E518" s="61"/>
      <c r="F518" s="61"/>
      <c r="G518" s="61"/>
      <c r="H518" s="61"/>
      <c r="I518" s="61"/>
      <c r="J518" s="62" t="s">
        <v>1107</v>
      </c>
    </row>
    <row r="519" spans="1:10" s="17" customFormat="1">
      <c r="A519" s="62" t="s">
        <v>1108</v>
      </c>
      <c r="B519" s="63" t="s">
        <v>11</v>
      </c>
      <c r="C519" s="63" t="s">
        <v>11</v>
      </c>
      <c r="D519" s="61"/>
      <c r="E519" s="61"/>
      <c r="F519" s="61"/>
      <c r="G519" s="61"/>
      <c r="H519" s="61"/>
      <c r="I519" s="61"/>
      <c r="J519" s="62" t="s">
        <v>1109</v>
      </c>
    </row>
    <row r="520" spans="1:10" s="17" customFormat="1">
      <c r="A520" s="62" t="s">
        <v>1110</v>
      </c>
      <c r="B520" s="63" t="s">
        <v>11</v>
      </c>
      <c r="C520" s="61" t="s">
        <v>85</v>
      </c>
      <c r="D520" s="61"/>
      <c r="E520" s="61"/>
      <c r="F520" s="61" t="s">
        <v>86</v>
      </c>
      <c r="G520" s="61" t="s">
        <v>86</v>
      </c>
      <c r="I520" s="61" t="s">
        <v>745</v>
      </c>
      <c r="J520" s="17" t="s">
        <v>1111</v>
      </c>
    </row>
    <row r="521" spans="1:10" s="17" customFormat="1">
      <c r="A521" s="62" t="s">
        <v>1112</v>
      </c>
      <c r="B521" s="63" t="s">
        <v>11</v>
      </c>
      <c r="C521" s="63" t="s">
        <v>11</v>
      </c>
      <c r="D521" s="61"/>
      <c r="E521" s="61"/>
      <c r="F521" s="61"/>
      <c r="G521" s="61"/>
      <c r="H521" s="61"/>
      <c r="I521" s="61"/>
      <c r="J521" s="62" t="s">
        <v>1113</v>
      </c>
    </row>
    <row r="522" spans="1:10" s="17" customFormat="1">
      <c r="A522" s="62" t="s">
        <v>1114</v>
      </c>
      <c r="B522" s="63" t="s">
        <v>11</v>
      </c>
      <c r="C522" s="63" t="s">
        <v>11</v>
      </c>
      <c r="D522" s="61"/>
      <c r="E522" s="61"/>
      <c r="F522" s="61"/>
      <c r="G522" s="61"/>
      <c r="H522" s="61"/>
      <c r="I522" s="61"/>
      <c r="J522" s="62" t="s">
        <v>1115</v>
      </c>
    </row>
    <row r="523" spans="1:10" s="17" customFormat="1">
      <c r="A523" s="62" t="s">
        <v>1116</v>
      </c>
      <c r="B523" s="63" t="s">
        <v>11</v>
      </c>
      <c r="C523" s="63" t="s">
        <v>11</v>
      </c>
      <c r="D523" s="61"/>
      <c r="E523" s="61"/>
      <c r="F523" s="61"/>
      <c r="G523" s="61"/>
      <c r="H523" s="61"/>
      <c r="I523" s="61"/>
      <c r="J523" s="62" t="s">
        <v>1117</v>
      </c>
    </row>
    <row r="524" spans="1:10" s="17" customFormat="1" hidden="1">
      <c r="A524" s="62" t="s">
        <v>1118</v>
      </c>
      <c r="B524" s="63" t="s">
        <v>14</v>
      </c>
      <c r="C524" s="61" t="s">
        <v>14</v>
      </c>
      <c r="D524" s="61" t="s">
        <v>1119</v>
      </c>
      <c r="E524" s="61" t="s">
        <v>14</v>
      </c>
      <c r="F524" s="61"/>
      <c r="G524" s="61"/>
      <c r="H524" s="61"/>
      <c r="I524" s="61"/>
      <c r="J524" s="62" t="s">
        <v>1120</v>
      </c>
    </row>
    <row r="525" spans="1:10" s="17" customFormat="1" hidden="1">
      <c r="A525" s="62" t="s">
        <v>1121</v>
      </c>
      <c r="B525" s="63" t="s">
        <v>14</v>
      </c>
      <c r="C525" s="61" t="s">
        <v>14</v>
      </c>
      <c r="D525" s="61"/>
      <c r="E525" s="61" t="s">
        <v>14</v>
      </c>
      <c r="F525" s="61"/>
      <c r="G525" s="61"/>
      <c r="H525" s="61"/>
      <c r="I525" s="61"/>
      <c r="J525" s="62" t="s">
        <v>1122</v>
      </c>
    </row>
    <row r="526" spans="1:10" s="17" customFormat="1">
      <c r="A526" s="62" t="s">
        <v>1123</v>
      </c>
      <c r="B526" s="63" t="s">
        <v>11</v>
      </c>
      <c r="C526" s="61" t="s">
        <v>85</v>
      </c>
      <c r="D526" s="61"/>
      <c r="E526" s="61"/>
      <c r="F526" s="61" t="s">
        <v>11</v>
      </c>
      <c r="G526" s="61" t="s">
        <v>86</v>
      </c>
      <c r="H526" s="61"/>
      <c r="I526" s="61"/>
      <c r="J526" s="62" t="s">
        <v>1124</v>
      </c>
    </row>
    <row r="527" spans="1:10" s="17" customFormat="1">
      <c r="A527" s="62" t="s">
        <v>1125</v>
      </c>
      <c r="B527" s="63" t="s">
        <v>11</v>
      </c>
      <c r="C527" s="63" t="s">
        <v>11</v>
      </c>
      <c r="D527" s="61"/>
      <c r="E527" s="61"/>
      <c r="F527" s="61"/>
      <c r="G527" s="61"/>
      <c r="H527" s="61"/>
      <c r="I527" s="61"/>
      <c r="J527" s="62" t="s">
        <v>1126</v>
      </c>
    </row>
    <row r="528" spans="1:10" s="17" customFormat="1">
      <c r="A528" s="62" t="s">
        <v>1127</v>
      </c>
      <c r="B528" s="63" t="s">
        <v>11</v>
      </c>
      <c r="C528" s="61" t="s">
        <v>85</v>
      </c>
      <c r="D528" s="61"/>
      <c r="E528" s="61"/>
      <c r="F528" s="61" t="s">
        <v>11</v>
      </c>
      <c r="G528" s="61" t="s">
        <v>86</v>
      </c>
      <c r="H528" s="61"/>
      <c r="I528" s="61"/>
      <c r="J528" s="62" t="s">
        <v>1128</v>
      </c>
    </row>
    <row r="529" spans="1:10" s="17" customFormat="1">
      <c r="A529" s="62" t="s">
        <v>1129</v>
      </c>
      <c r="B529" s="63" t="s">
        <v>11</v>
      </c>
      <c r="C529" s="61" t="s">
        <v>14</v>
      </c>
      <c r="D529" s="61"/>
      <c r="E529" s="61"/>
      <c r="F529" s="61"/>
      <c r="G529" s="61" t="s">
        <v>504</v>
      </c>
      <c r="H529" s="61"/>
      <c r="I529" s="61"/>
      <c r="J529" s="62" t="s">
        <v>1130</v>
      </c>
    </row>
    <row r="530" spans="1:10" s="17" customFormat="1">
      <c r="A530" s="62" t="s">
        <v>1131</v>
      </c>
      <c r="B530" s="63" t="s">
        <v>11</v>
      </c>
      <c r="C530" s="61" t="s">
        <v>14</v>
      </c>
      <c r="D530" s="61"/>
      <c r="E530" s="61"/>
      <c r="F530" s="61"/>
      <c r="G530" s="61" t="s">
        <v>504</v>
      </c>
      <c r="H530" s="61"/>
      <c r="I530" s="61"/>
      <c r="J530" s="62" t="s">
        <v>1132</v>
      </c>
    </row>
    <row r="531" spans="1:10" s="17" customFormat="1">
      <c r="A531" s="62" t="s">
        <v>1133</v>
      </c>
      <c r="B531" s="63" t="s">
        <v>11</v>
      </c>
      <c r="C531" s="61" t="s">
        <v>14</v>
      </c>
      <c r="D531" s="61"/>
      <c r="E531" s="61"/>
      <c r="F531" s="61"/>
      <c r="G531" s="61" t="s">
        <v>504</v>
      </c>
      <c r="H531" s="61"/>
      <c r="I531" s="61"/>
      <c r="J531" s="62" t="s">
        <v>1134</v>
      </c>
    </row>
    <row r="532" spans="1:10" s="17" customFormat="1">
      <c r="A532" s="62" t="s">
        <v>1135</v>
      </c>
      <c r="B532" s="63" t="s">
        <v>11</v>
      </c>
      <c r="C532" s="61" t="s">
        <v>14</v>
      </c>
      <c r="D532" s="61"/>
      <c r="E532" s="61"/>
      <c r="F532" s="61"/>
      <c r="G532" s="61" t="s">
        <v>504</v>
      </c>
      <c r="H532" s="61"/>
      <c r="I532" s="61"/>
      <c r="J532" s="62" t="s">
        <v>1136</v>
      </c>
    </row>
    <row r="533" spans="1:10" s="17" customFormat="1">
      <c r="A533" s="62" t="s">
        <v>1137</v>
      </c>
      <c r="B533" s="63" t="s">
        <v>11</v>
      </c>
      <c r="C533" s="61" t="s">
        <v>14</v>
      </c>
      <c r="D533" s="61"/>
      <c r="E533" s="61"/>
      <c r="F533" s="61"/>
      <c r="G533" s="61" t="s">
        <v>504</v>
      </c>
      <c r="H533" s="61"/>
      <c r="I533" s="61"/>
      <c r="J533" s="62" t="s">
        <v>1138</v>
      </c>
    </row>
    <row r="534" spans="1:10" s="17" customFormat="1">
      <c r="A534" s="62" t="s">
        <v>1139</v>
      </c>
      <c r="B534" s="63" t="s">
        <v>11</v>
      </c>
      <c r="C534" s="61" t="s">
        <v>14</v>
      </c>
      <c r="D534" s="61"/>
      <c r="E534" s="61"/>
      <c r="F534" s="61"/>
      <c r="G534" s="61" t="s">
        <v>504</v>
      </c>
      <c r="H534" s="61"/>
      <c r="I534" s="61"/>
      <c r="J534" s="62" t="s">
        <v>1140</v>
      </c>
    </row>
    <row r="535" spans="1:10" s="17" customFormat="1">
      <c r="A535" s="62" t="s">
        <v>1141</v>
      </c>
      <c r="B535" s="63" t="s">
        <v>11</v>
      </c>
      <c r="C535" s="61" t="s">
        <v>14</v>
      </c>
      <c r="D535" s="61"/>
      <c r="E535" s="61"/>
      <c r="F535" s="61"/>
      <c r="G535" s="61" t="s">
        <v>504</v>
      </c>
      <c r="H535" s="61"/>
      <c r="I535" s="61"/>
      <c r="J535" s="62" t="s">
        <v>1142</v>
      </c>
    </row>
    <row r="536" spans="1:10" s="17" customFormat="1">
      <c r="A536" s="62" t="s">
        <v>1143</v>
      </c>
      <c r="B536" s="63" t="s">
        <v>11</v>
      </c>
      <c r="C536" s="61" t="s">
        <v>14</v>
      </c>
      <c r="D536" s="61"/>
      <c r="E536" s="61"/>
      <c r="F536" s="61"/>
      <c r="G536" s="61" t="s">
        <v>504</v>
      </c>
      <c r="H536" s="61"/>
      <c r="I536" s="61"/>
      <c r="J536" s="62" t="s">
        <v>1144</v>
      </c>
    </row>
    <row r="537" spans="1:10" s="17" customFormat="1">
      <c r="A537" s="62" t="s">
        <v>1145</v>
      </c>
      <c r="B537" s="63" t="s">
        <v>11</v>
      </c>
      <c r="C537" s="61" t="s">
        <v>14</v>
      </c>
      <c r="D537" s="61"/>
      <c r="E537" s="61"/>
      <c r="F537" s="61"/>
      <c r="G537" s="61" t="s">
        <v>504</v>
      </c>
      <c r="H537" s="61"/>
      <c r="I537" s="61"/>
      <c r="J537" s="62" t="s">
        <v>1146</v>
      </c>
    </row>
    <row r="538" spans="1:10" s="17" customFormat="1">
      <c r="A538" s="62" t="s">
        <v>1147</v>
      </c>
      <c r="B538" s="63" t="s">
        <v>11</v>
      </c>
      <c r="C538" s="61" t="s">
        <v>14</v>
      </c>
      <c r="D538" s="61"/>
      <c r="E538" s="61"/>
      <c r="F538" s="61"/>
      <c r="G538" s="61" t="s">
        <v>504</v>
      </c>
      <c r="H538" s="61"/>
      <c r="I538" s="61"/>
      <c r="J538" s="62" t="s">
        <v>1148</v>
      </c>
    </row>
    <row r="539" spans="1:10" s="17" customFormat="1">
      <c r="A539" s="62" t="s">
        <v>1149</v>
      </c>
      <c r="B539" s="63" t="s">
        <v>11</v>
      </c>
      <c r="C539" s="61" t="s">
        <v>14</v>
      </c>
      <c r="D539" s="61"/>
      <c r="E539" s="61"/>
      <c r="F539" s="61"/>
      <c r="G539" s="61" t="s">
        <v>504</v>
      </c>
      <c r="H539" s="61"/>
      <c r="I539" s="61"/>
      <c r="J539" s="62" t="s">
        <v>1150</v>
      </c>
    </row>
    <row r="540" spans="1:10" s="17" customFormat="1">
      <c r="A540" s="62" t="s">
        <v>1151</v>
      </c>
      <c r="B540" s="63" t="s">
        <v>11</v>
      </c>
      <c r="C540" s="61" t="s">
        <v>14</v>
      </c>
      <c r="D540" s="61" t="s">
        <v>1152</v>
      </c>
      <c r="E540" s="61"/>
      <c r="F540" s="61"/>
      <c r="G540" s="61" t="s">
        <v>504</v>
      </c>
      <c r="H540" s="61"/>
      <c r="I540" s="61"/>
      <c r="J540" s="62" t="s">
        <v>1153</v>
      </c>
    </row>
    <row r="541" spans="1:10" s="17" customFormat="1">
      <c r="A541" s="62" t="s">
        <v>1154</v>
      </c>
      <c r="B541" s="63" t="s">
        <v>11</v>
      </c>
      <c r="C541" s="61" t="s">
        <v>14</v>
      </c>
      <c r="D541" s="61" t="s">
        <v>1152</v>
      </c>
      <c r="E541" s="61"/>
      <c r="F541" s="61"/>
      <c r="G541" s="61" t="s">
        <v>504</v>
      </c>
      <c r="H541" s="61"/>
      <c r="I541" s="61"/>
      <c r="J541" s="62" t="s">
        <v>1155</v>
      </c>
    </row>
    <row r="542" spans="1:10" s="17" customFormat="1">
      <c r="A542" s="62" t="s">
        <v>1156</v>
      </c>
      <c r="B542" s="63" t="s">
        <v>11</v>
      </c>
      <c r="C542" s="61" t="s">
        <v>14</v>
      </c>
      <c r="D542" s="61" t="s">
        <v>1152</v>
      </c>
      <c r="E542" s="61"/>
      <c r="F542" s="61"/>
      <c r="G542" s="61" t="s">
        <v>504</v>
      </c>
      <c r="H542" s="61"/>
      <c r="I542" s="61"/>
      <c r="J542" s="62" t="s">
        <v>1157</v>
      </c>
    </row>
    <row r="543" spans="1:10" s="17" customFormat="1">
      <c r="A543" s="62" t="s">
        <v>1158</v>
      </c>
      <c r="B543" s="63" t="s">
        <v>11</v>
      </c>
      <c r="C543" s="61" t="s">
        <v>14</v>
      </c>
      <c r="D543" s="61" t="s">
        <v>1152</v>
      </c>
      <c r="E543" s="61"/>
      <c r="F543" s="61"/>
      <c r="G543" s="61" t="s">
        <v>504</v>
      </c>
      <c r="H543" s="61"/>
      <c r="I543" s="61"/>
      <c r="J543" s="62" t="s">
        <v>1159</v>
      </c>
    </row>
    <row r="544" spans="1:10" s="17" customFormat="1">
      <c r="A544" s="62" t="s">
        <v>1160</v>
      </c>
      <c r="B544" s="63" t="s">
        <v>11</v>
      </c>
      <c r="C544" s="61" t="s">
        <v>14</v>
      </c>
      <c r="D544" s="61" t="s">
        <v>1152</v>
      </c>
      <c r="E544" s="61"/>
      <c r="F544" s="61"/>
      <c r="G544" s="61" t="s">
        <v>504</v>
      </c>
      <c r="H544" s="61"/>
      <c r="I544" s="61"/>
      <c r="J544" s="62" t="s">
        <v>1161</v>
      </c>
    </row>
    <row r="545" spans="1:10" s="17" customFormat="1">
      <c r="A545" s="62" t="s">
        <v>1162</v>
      </c>
      <c r="B545" s="63" t="s">
        <v>11</v>
      </c>
      <c r="C545" s="61" t="s">
        <v>14</v>
      </c>
      <c r="D545" s="61" t="s">
        <v>1152</v>
      </c>
      <c r="E545" s="61"/>
      <c r="F545" s="61"/>
      <c r="G545" s="61" t="s">
        <v>504</v>
      </c>
      <c r="H545" s="61"/>
      <c r="I545" s="61"/>
      <c r="J545" s="62" t="s">
        <v>1163</v>
      </c>
    </row>
    <row r="546" spans="1:10" s="17" customFormat="1">
      <c r="A546" s="62" t="s">
        <v>1164</v>
      </c>
      <c r="B546" s="63" t="s">
        <v>11</v>
      </c>
      <c r="C546" s="61" t="s">
        <v>14</v>
      </c>
      <c r="D546" s="61" t="s">
        <v>1152</v>
      </c>
      <c r="E546" s="61"/>
      <c r="F546" s="61"/>
      <c r="G546" s="61" t="s">
        <v>504</v>
      </c>
      <c r="H546" s="61"/>
      <c r="I546" s="61"/>
      <c r="J546" s="62" t="s">
        <v>1165</v>
      </c>
    </row>
    <row r="547" spans="1:10" s="17" customFormat="1">
      <c r="A547" s="62" t="s">
        <v>1166</v>
      </c>
      <c r="B547" s="63" t="s">
        <v>11</v>
      </c>
      <c r="C547" s="61" t="s">
        <v>14</v>
      </c>
      <c r="D547" s="61" t="s">
        <v>1152</v>
      </c>
      <c r="E547" s="61"/>
      <c r="F547" s="61"/>
      <c r="G547" s="61" t="s">
        <v>504</v>
      </c>
      <c r="H547" s="61"/>
      <c r="I547" s="61"/>
      <c r="J547" s="62" t="s">
        <v>1167</v>
      </c>
    </row>
    <row r="548" spans="1:10" s="17" customFormat="1">
      <c r="A548" s="62" t="s">
        <v>1168</v>
      </c>
      <c r="B548" s="63" t="s">
        <v>11</v>
      </c>
      <c r="C548" s="61" t="s">
        <v>14</v>
      </c>
      <c r="D548" s="61" t="s">
        <v>1152</v>
      </c>
      <c r="E548" s="61"/>
      <c r="F548" s="61"/>
      <c r="G548" s="61" t="s">
        <v>504</v>
      </c>
      <c r="H548" s="61"/>
      <c r="I548" s="61"/>
      <c r="J548" s="62" t="s">
        <v>1169</v>
      </c>
    </row>
    <row r="549" spans="1:10" s="17" customFormat="1" hidden="1">
      <c r="A549" s="62" t="s">
        <v>1170</v>
      </c>
      <c r="B549" s="63" t="s">
        <v>14</v>
      </c>
      <c r="C549" s="63" t="s">
        <v>14</v>
      </c>
      <c r="D549" s="61" t="s">
        <v>1028</v>
      </c>
      <c r="E549" s="61" t="s">
        <v>14</v>
      </c>
      <c r="F549" s="61"/>
      <c r="G549" s="61"/>
      <c r="H549" s="61"/>
      <c r="I549" s="61"/>
      <c r="J549" s="62" t="s">
        <v>1171</v>
      </c>
    </row>
    <row r="550" spans="1:10" s="17" customFormat="1" hidden="1">
      <c r="A550" s="62" t="s">
        <v>1172</v>
      </c>
      <c r="B550" s="63" t="s">
        <v>14</v>
      </c>
      <c r="C550" s="63" t="s">
        <v>14</v>
      </c>
      <c r="D550" s="61" t="s">
        <v>1028</v>
      </c>
      <c r="E550" s="61" t="s">
        <v>14</v>
      </c>
      <c r="F550" s="61"/>
      <c r="G550" s="61"/>
      <c r="H550" s="61" t="s">
        <v>504</v>
      </c>
      <c r="I550" s="61"/>
      <c r="J550" s="62" t="s">
        <v>1173</v>
      </c>
    </row>
    <row r="551" spans="1:10" s="17" customFormat="1" hidden="1">
      <c r="A551" s="62" t="s">
        <v>1174</v>
      </c>
      <c r="B551" s="63" t="s">
        <v>14</v>
      </c>
      <c r="C551" s="63" t="s">
        <v>14</v>
      </c>
      <c r="D551" s="61" t="s">
        <v>1028</v>
      </c>
      <c r="E551" s="61" t="s">
        <v>14</v>
      </c>
      <c r="F551" s="61"/>
      <c r="G551" s="61"/>
      <c r="H551" s="61" t="s">
        <v>504</v>
      </c>
      <c r="I551" s="61"/>
      <c r="J551" s="62" t="s">
        <v>1175</v>
      </c>
    </row>
    <row r="552" spans="1:10" s="17" customFormat="1" hidden="1">
      <c r="A552" s="62" t="s">
        <v>1176</v>
      </c>
      <c r="B552" s="63" t="s">
        <v>14</v>
      </c>
      <c r="C552" s="63" t="s">
        <v>14</v>
      </c>
      <c r="D552" s="61" t="s">
        <v>1028</v>
      </c>
      <c r="E552" s="61" t="s">
        <v>14</v>
      </c>
      <c r="F552" s="61"/>
      <c r="G552" s="61"/>
      <c r="H552" s="61"/>
      <c r="I552" s="61"/>
      <c r="J552" s="62" t="s">
        <v>1177</v>
      </c>
    </row>
    <row r="553" spans="1:10" s="17" customFormat="1" hidden="1">
      <c r="A553" s="62" t="s">
        <v>1178</v>
      </c>
      <c r="B553" s="63" t="s">
        <v>14</v>
      </c>
      <c r="C553" s="63" t="s">
        <v>14</v>
      </c>
      <c r="D553" s="61" t="s">
        <v>1028</v>
      </c>
      <c r="E553" s="61" t="s">
        <v>14</v>
      </c>
      <c r="F553" s="61"/>
      <c r="G553" s="61"/>
      <c r="H553" s="61" t="s">
        <v>504</v>
      </c>
      <c r="I553" s="61"/>
      <c r="J553" s="62" t="s">
        <v>1179</v>
      </c>
    </row>
    <row r="554" spans="1:10" s="17" customFormat="1" hidden="1">
      <c r="A554" s="62" t="s">
        <v>1180</v>
      </c>
      <c r="B554" s="63" t="s">
        <v>14</v>
      </c>
      <c r="C554" s="63" t="s">
        <v>14</v>
      </c>
      <c r="D554" s="61" t="s">
        <v>1028</v>
      </c>
      <c r="E554" s="61" t="s">
        <v>14</v>
      </c>
      <c r="F554" s="61"/>
      <c r="G554" s="61"/>
      <c r="H554" s="61"/>
      <c r="I554" s="61"/>
      <c r="J554" s="62" t="s">
        <v>1181</v>
      </c>
    </row>
    <row r="555" spans="1:10" s="17" customFormat="1" hidden="1">
      <c r="A555" s="62" t="s">
        <v>1182</v>
      </c>
      <c r="B555" s="63" t="s">
        <v>14</v>
      </c>
      <c r="C555" s="63" t="s">
        <v>14</v>
      </c>
      <c r="D555" s="61" t="s">
        <v>1028</v>
      </c>
      <c r="E555" s="61" t="s">
        <v>14</v>
      </c>
      <c r="F555" s="61"/>
      <c r="G555" s="61"/>
      <c r="H555" s="61"/>
      <c r="I555" s="61"/>
      <c r="J555" s="62" t="s">
        <v>132</v>
      </c>
    </row>
    <row r="556" spans="1:10" s="17" customFormat="1" hidden="1">
      <c r="A556" s="62" t="s">
        <v>1183</v>
      </c>
      <c r="B556" s="63" t="s">
        <v>14</v>
      </c>
      <c r="C556" s="63" t="s">
        <v>14</v>
      </c>
      <c r="D556" s="61" t="s">
        <v>1028</v>
      </c>
      <c r="E556" s="61" t="s">
        <v>14</v>
      </c>
      <c r="F556" s="61"/>
      <c r="G556" s="61"/>
      <c r="H556" s="61"/>
      <c r="I556" s="61"/>
      <c r="J556" s="62" t="s">
        <v>1184</v>
      </c>
    </row>
    <row r="557" spans="1:10" s="17" customFormat="1" hidden="1">
      <c r="A557" s="62" t="s">
        <v>1185</v>
      </c>
      <c r="B557" s="63" t="s">
        <v>14</v>
      </c>
      <c r="C557" s="61" t="s">
        <v>14</v>
      </c>
      <c r="D557" s="61"/>
      <c r="E557" s="61" t="s">
        <v>14</v>
      </c>
      <c r="F557" s="61"/>
      <c r="G557" s="61"/>
      <c r="H557" s="61"/>
      <c r="I557" s="61"/>
      <c r="J557" s="62" t="s">
        <v>1186</v>
      </c>
    </row>
    <row r="558" spans="1:10" s="17" customFormat="1" hidden="1">
      <c r="A558" s="62" t="s">
        <v>1187</v>
      </c>
      <c r="B558" s="63" t="s">
        <v>14</v>
      </c>
      <c r="C558" s="63" t="s">
        <v>14</v>
      </c>
      <c r="D558" s="61" t="s">
        <v>1028</v>
      </c>
      <c r="E558" s="61" t="s">
        <v>14</v>
      </c>
      <c r="F558" s="61"/>
      <c r="G558" s="61"/>
      <c r="H558" s="61"/>
      <c r="I558" s="61"/>
      <c r="J558" s="62" t="s">
        <v>1188</v>
      </c>
    </row>
    <row r="559" spans="1:10" s="17" customFormat="1" hidden="1">
      <c r="A559" s="62" t="s">
        <v>1189</v>
      </c>
      <c r="B559" s="63" t="s">
        <v>14</v>
      </c>
      <c r="C559" s="61" t="s">
        <v>14</v>
      </c>
      <c r="D559" s="61"/>
      <c r="E559" s="61" t="s">
        <v>14</v>
      </c>
      <c r="F559" s="61"/>
      <c r="G559" s="61"/>
      <c r="H559" s="61"/>
      <c r="I559" s="61"/>
      <c r="J559" s="62" t="s">
        <v>1190</v>
      </c>
    </row>
    <row r="560" spans="1:10" s="17" customFormat="1" hidden="1">
      <c r="A560" s="62" t="s">
        <v>1191</v>
      </c>
      <c r="B560" s="63" t="s">
        <v>14</v>
      </c>
      <c r="C560" s="63" t="s">
        <v>14</v>
      </c>
      <c r="D560" s="61" t="s">
        <v>1028</v>
      </c>
      <c r="E560" s="61" t="s">
        <v>14</v>
      </c>
      <c r="F560" s="61"/>
      <c r="G560" s="61"/>
      <c r="H560" s="61"/>
      <c r="I560" s="61"/>
      <c r="J560" s="62" t="s">
        <v>1192</v>
      </c>
    </row>
    <row r="561" spans="1:10" s="17" customFormat="1">
      <c r="A561" s="62" t="s">
        <v>1193</v>
      </c>
      <c r="B561" s="63" t="s">
        <v>11</v>
      </c>
      <c r="C561" s="63" t="s">
        <v>11</v>
      </c>
      <c r="D561" s="61"/>
      <c r="E561" s="61"/>
      <c r="F561" s="61"/>
      <c r="G561" s="61"/>
      <c r="H561" s="61"/>
      <c r="I561" s="61"/>
      <c r="J561" s="62" t="s">
        <v>1194</v>
      </c>
    </row>
    <row r="562" spans="1:10" s="17" customFormat="1" hidden="1">
      <c r="A562" s="62" t="s">
        <v>1195</v>
      </c>
      <c r="B562" s="63" t="s">
        <v>14</v>
      </c>
      <c r="C562" s="61" t="s">
        <v>14</v>
      </c>
      <c r="D562" s="61"/>
      <c r="E562" s="61" t="s">
        <v>14</v>
      </c>
      <c r="F562" s="61"/>
      <c r="G562" s="61"/>
      <c r="H562" s="61"/>
      <c r="I562" s="61"/>
      <c r="J562" s="62" t="s">
        <v>1196</v>
      </c>
    </row>
    <row r="563" spans="1:10" s="17" customFormat="1" hidden="1">
      <c r="A563" s="62" t="s">
        <v>1197</v>
      </c>
      <c r="B563" s="63" t="s">
        <v>14</v>
      </c>
      <c r="C563" s="63" t="s">
        <v>14</v>
      </c>
      <c r="D563" s="61" t="s">
        <v>1198</v>
      </c>
      <c r="E563" s="61" t="s">
        <v>14</v>
      </c>
      <c r="F563" s="61"/>
      <c r="G563" s="61"/>
      <c r="H563" s="61"/>
      <c r="I563" s="61"/>
      <c r="J563" s="62" t="s">
        <v>1199</v>
      </c>
    </row>
    <row r="564" spans="1:10" s="17" customFormat="1" hidden="1">
      <c r="A564" s="62" t="s">
        <v>1200</v>
      </c>
      <c r="B564" s="63" t="s">
        <v>14</v>
      </c>
      <c r="C564" s="63" t="s">
        <v>14</v>
      </c>
      <c r="D564" s="61" t="s">
        <v>1028</v>
      </c>
      <c r="E564" s="61" t="s">
        <v>14</v>
      </c>
      <c r="F564" s="61"/>
      <c r="G564" s="61"/>
      <c r="H564" s="61"/>
      <c r="I564" s="61"/>
      <c r="J564" s="62" t="s">
        <v>1201</v>
      </c>
    </row>
    <row r="565" spans="1:10" s="17" customFormat="1">
      <c r="A565" s="62" t="s">
        <v>1202</v>
      </c>
      <c r="B565" s="63" t="s">
        <v>11</v>
      </c>
      <c r="C565" s="61" t="s">
        <v>85</v>
      </c>
      <c r="D565" s="61" t="s">
        <v>1203</v>
      </c>
      <c r="E565" s="61"/>
      <c r="F565" s="61" t="s">
        <v>11</v>
      </c>
      <c r="G565" s="61" t="s">
        <v>86</v>
      </c>
      <c r="H565" s="61"/>
      <c r="I565" s="61"/>
      <c r="J565" s="62" t="s">
        <v>1204</v>
      </c>
    </row>
    <row r="566" spans="1:10" s="17" customFormat="1">
      <c r="A566" s="62" t="s">
        <v>1205</v>
      </c>
      <c r="B566" s="63" t="s">
        <v>11</v>
      </c>
      <c r="C566" s="61" t="s">
        <v>85</v>
      </c>
      <c r="D566" s="61" t="s">
        <v>1206</v>
      </c>
      <c r="E566" s="61"/>
      <c r="F566" s="61" t="s">
        <v>11</v>
      </c>
      <c r="G566" s="61" t="s">
        <v>86</v>
      </c>
      <c r="H566" s="61"/>
      <c r="I566" s="61"/>
      <c r="J566" s="62" t="s">
        <v>1207</v>
      </c>
    </row>
    <row r="567" spans="1:10" s="17" customFormat="1">
      <c r="A567" s="62" t="s">
        <v>1208</v>
      </c>
      <c r="B567" s="63" t="s">
        <v>11</v>
      </c>
      <c r="C567" s="61" t="s">
        <v>85</v>
      </c>
      <c r="D567" s="61" t="s">
        <v>1206</v>
      </c>
      <c r="E567" s="61"/>
      <c r="F567" s="61" t="s">
        <v>11</v>
      </c>
      <c r="G567" s="61" t="s">
        <v>86</v>
      </c>
      <c r="H567" s="61"/>
      <c r="I567" s="61"/>
      <c r="J567" s="62" t="s">
        <v>1209</v>
      </c>
    </row>
    <row r="568" spans="1:10" s="17" customFormat="1">
      <c r="A568" s="62" t="s">
        <v>1210</v>
      </c>
      <c r="B568" s="63" t="s">
        <v>11</v>
      </c>
      <c r="C568" s="61" t="s">
        <v>85</v>
      </c>
      <c r="D568" s="61" t="s">
        <v>1206</v>
      </c>
      <c r="E568" s="61"/>
      <c r="F568" s="61" t="s">
        <v>11</v>
      </c>
      <c r="G568" s="61" t="s">
        <v>86</v>
      </c>
      <c r="H568" s="61"/>
      <c r="I568" s="61"/>
      <c r="J568" s="62" t="s">
        <v>1211</v>
      </c>
    </row>
    <row r="569" spans="1:10" s="17" customFormat="1">
      <c r="A569" s="62" t="s">
        <v>1212</v>
      </c>
      <c r="B569" s="63" t="s">
        <v>11</v>
      </c>
      <c r="C569" s="61" t="s">
        <v>85</v>
      </c>
      <c r="D569" s="61" t="s">
        <v>1206</v>
      </c>
      <c r="E569" s="61"/>
      <c r="F569" s="61" t="s">
        <v>11</v>
      </c>
      <c r="G569" s="61" t="s">
        <v>86</v>
      </c>
      <c r="H569" s="61"/>
      <c r="I569" s="61"/>
      <c r="J569" s="62" t="s">
        <v>1213</v>
      </c>
    </row>
    <row r="570" spans="1:10" s="17" customFormat="1" hidden="1">
      <c r="A570" s="62" t="s">
        <v>1214</v>
      </c>
      <c r="B570" s="63" t="s">
        <v>14</v>
      </c>
      <c r="C570" s="63" t="s">
        <v>14</v>
      </c>
      <c r="D570" s="61" t="s">
        <v>1215</v>
      </c>
      <c r="E570" s="61" t="s">
        <v>14</v>
      </c>
      <c r="F570" s="61"/>
      <c r="G570" s="61"/>
      <c r="H570" s="61"/>
      <c r="I570" s="61"/>
      <c r="J570" s="62" t="s">
        <v>1216</v>
      </c>
    </row>
    <row r="571" spans="1:10" s="17" customFormat="1" hidden="1">
      <c r="A571" s="62" t="s">
        <v>1217</v>
      </c>
      <c r="B571" s="63" t="s">
        <v>14</v>
      </c>
      <c r="C571" s="63" t="s">
        <v>14</v>
      </c>
      <c r="D571" s="61" t="s">
        <v>1215</v>
      </c>
      <c r="E571" s="61" t="s">
        <v>14</v>
      </c>
      <c r="F571" s="61"/>
      <c r="G571" s="61"/>
      <c r="H571" s="61"/>
      <c r="I571" s="61"/>
      <c r="J571" s="62" t="s">
        <v>1218</v>
      </c>
    </row>
    <row r="572" spans="1:10" s="17" customFormat="1" hidden="1">
      <c r="A572" s="62" t="s">
        <v>1219</v>
      </c>
      <c r="B572" s="63" t="s">
        <v>14</v>
      </c>
      <c r="C572" s="63" t="s">
        <v>14</v>
      </c>
      <c r="D572" s="61" t="s">
        <v>1215</v>
      </c>
      <c r="E572" s="61" t="s">
        <v>14</v>
      </c>
      <c r="F572" s="61"/>
      <c r="G572" s="61"/>
      <c r="H572" s="61"/>
      <c r="I572" s="61"/>
      <c r="J572" s="62" t="s">
        <v>1220</v>
      </c>
    </row>
    <row r="573" spans="1:10" s="17" customFormat="1" hidden="1">
      <c r="A573" s="62" t="s">
        <v>1221</v>
      </c>
      <c r="B573" s="63" t="s">
        <v>14</v>
      </c>
      <c r="C573" s="63" t="s">
        <v>14</v>
      </c>
      <c r="D573" s="61" t="s">
        <v>1215</v>
      </c>
      <c r="E573" s="61" t="s">
        <v>14</v>
      </c>
      <c r="F573" s="61"/>
      <c r="G573" s="61"/>
      <c r="H573" s="61"/>
      <c r="I573" s="61"/>
      <c r="J573" s="62" t="s">
        <v>1222</v>
      </c>
    </row>
    <row r="574" spans="1:10" s="17" customFormat="1" hidden="1">
      <c r="A574" s="62" t="s">
        <v>1223</v>
      </c>
      <c r="B574" s="63" t="s">
        <v>14</v>
      </c>
      <c r="C574" s="63" t="s">
        <v>14</v>
      </c>
      <c r="D574" s="61" t="s">
        <v>1215</v>
      </c>
      <c r="E574" s="61" t="s">
        <v>14</v>
      </c>
      <c r="F574" s="61"/>
      <c r="G574" s="61"/>
      <c r="H574" s="61"/>
      <c r="I574" s="61"/>
      <c r="J574" s="62" t="s">
        <v>1224</v>
      </c>
    </row>
    <row r="575" spans="1:10" s="17" customFormat="1" hidden="1">
      <c r="A575" s="62" t="s">
        <v>1225</v>
      </c>
      <c r="B575" s="63" t="s">
        <v>14</v>
      </c>
      <c r="C575" s="61" t="s">
        <v>14</v>
      </c>
      <c r="D575" s="61"/>
      <c r="E575" s="61" t="s">
        <v>14</v>
      </c>
      <c r="F575" s="61"/>
      <c r="G575" s="61"/>
      <c r="H575" s="61"/>
      <c r="I575" s="61"/>
      <c r="J575" s="62" t="s">
        <v>1226</v>
      </c>
    </row>
    <row r="576" spans="1:10" s="17" customFormat="1">
      <c r="A576" s="62" t="s">
        <v>1227</v>
      </c>
      <c r="B576" s="63" t="s">
        <v>11</v>
      </c>
      <c r="C576" s="63" t="s">
        <v>11</v>
      </c>
      <c r="D576" s="61"/>
      <c r="E576" s="61"/>
      <c r="F576" s="61"/>
      <c r="G576" s="61"/>
      <c r="H576" s="61"/>
      <c r="I576" s="61"/>
      <c r="J576" s="62" t="s">
        <v>1228</v>
      </c>
    </row>
    <row r="577" spans="1:10" s="17" customFormat="1">
      <c r="A577" s="62" t="s">
        <v>1229</v>
      </c>
      <c r="B577" s="63" t="s">
        <v>11</v>
      </c>
      <c r="C577" s="63" t="s">
        <v>11</v>
      </c>
      <c r="D577" s="61"/>
      <c r="E577" s="61"/>
      <c r="F577" s="61"/>
      <c r="G577" s="61"/>
      <c r="H577" s="61"/>
      <c r="I577" s="61"/>
      <c r="J577" s="62" t="s">
        <v>1230</v>
      </c>
    </row>
    <row r="578" spans="1:10" s="17" customFormat="1">
      <c r="A578" s="62" t="s">
        <v>1231</v>
      </c>
      <c r="B578" s="63" t="s">
        <v>11</v>
      </c>
      <c r="C578" s="63" t="s">
        <v>11</v>
      </c>
      <c r="D578" s="61"/>
      <c r="E578" s="61"/>
      <c r="F578" s="61"/>
      <c r="G578" s="61"/>
      <c r="H578" s="61"/>
      <c r="I578" s="61"/>
      <c r="J578" s="62" t="s">
        <v>1232</v>
      </c>
    </row>
    <row r="579" spans="1:10" s="17" customFormat="1">
      <c r="A579" s="62" t="s">
        <v>1233</v>
      </c>
      <c r="B579" s="63" t="s">
        <v>11</v>
      </c>
      <c r="C579" s="63" t="s">
        <v>11</v>
      </c>
      <c r="D579" s="61"/>
      <c r="E579" s="61"/>
      <c r="F579" s="61"/>
      <c r="G579" s="61"/>
      <c r="H579" s="61"/>
      <c r="I579" s="61"/>
      <c r="J579" s="62" t="s">
        <v>1234</v>
      </c>
    </row>
    <row r="580" spans="1:10" s="17" customFormat="1">
      <c r="A580" s="62" t="s">
        <v>1235</v>
      </c>
      <c r="B580" s="63" t="s">
        <v>11</v>
      </c>
      <c r="C580" s="63" t="s">
        <v>11</v>
      </c>
      <c r="D580" s="61"/>
      <c r="E580" s="61"/>
      <c r="F580" s="61"/>
      <c r="G580" s="61"/>
      <c r="H580" s="61"/>
      <c r="I580" s="61"/>
      <c r="J580" s="62" t="s">
        <v>1236</v>
      </c>
    </row>
    <row r="581" spans="1:10" s="17" customFormat="1">
      <c r="A581" s="62" t="s">
        <v>1237</v>
      </c>
      <c r="B581" s="63" t="s">
        <v>11</v>
      </c>
      <c r="C581" s="63" t="s">
        <v>11</v>
      </c>
      <c r="D581" s="61"/>
      <c r="E581" s="61"/>
      <c r="F581" s="61"/>
      <c r="G581" s="61"/>
      <c r="H581" s="61"/>
      <c r="I581" s="61"/>
      <c r="J581" s="62" t="s">
        <v>1238</v>
      </c>
    </row>
    <row r="582" spans="1:10" s="17" customFormat="1">
      <c r="A582" s="62" t="s">
        <v>1239</v>
      </c>
      <c r="B582" s="63" t="s">
        <v>11</v>
      </c>
      <c r="C582" s="63" t="s">
        <v>11</v>
      </c>
      <c r="D582" s="61"/>
      <c r="E582" s="61"/>
      <c r="F582" s="61"/>
      <c r="G582" s="61"/>
      <c r="H582" s="61"/>
      <c r="I582" s="61"/>
      <c r="J582" s="62" t="s">
        <v>1240</v>
      </c>
    </row>
    <row r="583" spans="1:10" s="17" customFormat="1">
      <c r="A583" s="62" t="s">
        <v>1241</v>
      </c>
      <c r="B583" s="63" t="s">
        <v>11</v>
      </c>
      <c r="C583" s="61" t="s">
        <v>14</v>
      </c>
      <c r="D583" s="61"/>
      <c r="E583" s="61"/>
      <c r="F583" s="61"/>
      <c r="G583" s="61" t="s">
        <v>504</v>
      </c>
      <c r="H583" s="61"/>
      <c r="I583" s="61"/>
      <c r="J583" s="62" t="s">
        <v>1242</v>
      </c>
    </row>
    <row r="584" spans="1:10" s="17" customFormat="1">
      <c r="A584" s="62" t="s">
        <v>1243</v>
      </c>
      <c r="B584" s="63" t="s">
        <v>11</v>
      </c>
      <c r="C584" s="63" t="s">
        <v>11</v>
      </c>
      <c r="D584" s="61"/>
      <c r="E584" s="61"/>
      <c r="F584" s="61"/>
      <c r="G584" s="61"/>
      <c r="H584" s="61"/>
      <c r="I584" s="61"/>
      <c r="J584" s="62" t="s">
        <v>1244</v>
      </c>
    </row>
    <row r="585" spans="1:10" s="17" customFormat="1">
      <c r="A585" s="62" t="s">
        <v>1245</v>
      </c>
      <c r="B585" s="63" t="s">
        <v>11</v>
      </c>
      <c r="C585" s="63" t="s">
        <v>11</v>
      </c>
      <c r="D585" s="61"/>
      <c r="E585" s="61"/>
      <c r="F585" s="61"/>
      <c r="G585" s="61"/>
      <c r="H585" s="61"/>
      <c r="I585" s="61"/>
      <c r="J585" s="62" t="s">
        <v>1246</v>
      </c>
    </row>
    <row r="586" spans="1:10" s="17" customFormat="1">
      <c r="A586" s="62" t="s">
        <v>1247</v>
      </c>
      <c r="B586" s="63" t="s">
        <v>11</v>
      </c>
      <c r="C586" s="61" t="s">
        <v>14</v>
      </c>
      <c r="D586" s="61"/>
      <c r="E586" s="61"/>
      <c r="F586" s="61"/>
      <c r="G586" s="61" t="s">
        <v>504</v>
      </c>
      <c r="H586" s="61"/>
      <c r="I586" s="61"/>
      <c r="J586" s="62" t="s">
        <v>1248</v>
      </c>
    </row>
    <row r="587" spans="1:10" s="17" customFormat="1">
      <c r="A587" s="62" t="s">
        <v>1249</v>
      </c>
      <c r="B587" s="63" t="s">
        <v>11</v>
      </c>
      <c r="C587" s="63" t="s">
        <v>11</v>
      </c>
      <c r="D587" s="61"/>
      <c r="E587" s="61"/>
      <c r="F587" s="61"/>
      <c r="G587" s="61"/>
      <c r="H587" s="61"/>
      <c r="I587" s="61"/>
      <c r="J587" s="62" t="s">
        <v>1250</v>
      </c>
    </row>
    <row r="588" spans="1:10" s="17" customFormat="1">
      <c r="A588" s="62" t="s">
        <v>1251</v>
      </c>
      <c r="B588" s="63" t="s">
        <v>11</v>
      </c>
      <c r="C588" s="63" t="s">
        <v>11</v>
      </c>
      <c r="D588" s="61"/>
      <c r="E588" s="61"/>
      <c r="F588" s="61"/>
      <c r="G588" s="61"/>
      <c r="H588" s="61"/>
      <c r="I588" s="61"/>
      <c r="J588" s="62" t="s">
        <v>1252</v>
      </c>
    </row>
    <row r="589" spans="1:10" s="17" customFormat="1">
      <c r="A589" s="62" t="s">
        <v>1253</v>
      </c>
      <c r="B589" s="63" t="s">
        <v>11</v>
      </c>
      <c r="C589" s="61" t="s">
        <v>14</v>
      </c>
      <c r="D589" s="61"/>
      <c r="E589" s="61"/>
      <c r="F589" s="61"/>
      <c r="G589" s="61" t="s">
        <v>504</v>
      </c>
      <c r="H589" s="61"/>
      <c r="I589" s="61"/>
      <c r="J589" s="62" t="s">
        <v>1248</v>
      </c>
    </row>
    <row r="590" spans="1:10" s="17" customFormat="1">
      <c r="A590" s="62" t="s">
        <v>1254</v>
      </c>
      <c r="B590" s="63" t="s">
        <v>11</v>
      </c>
      <c r="C590" s="63" t="s">
        <v>11</v>
      </c>
      <c r="D590" s="61"/>
      <c r="E590" s="61"/>
      <c r="F590" s="61"/>
      <c r="G590" s="61"/>
      <c r="H590" s="61"/>
      <c r="I590" s="61"/>
      <c r="J590" s="62" t="s">
        <v>1255</v>
      </c>
    </row>
    <row r="591" spans="1:10" s="17" customFormat="1">
      <c r="A591" s="62" t="s">
        <v>1256</v>
      </c>
      <c r="B591" s="63" t="s">
        <v>11</v>
      </c>
      <c r="C591" s="63" t="s">
        <v>11</v>
      </c>
      <c r="D591" s="61"/>
      <c r="E591" s="61"/>
      <c r="F591" s="61"/>
      <c r="G591" s="61"/>
      <c r="H591" s="61"/>
      <c r="I591" s="61"/>
      <c r="J591" s="62" t="s">
        <v>1257</v>
      </c>
    </row>
    <row r="592" spans="1:10" s="17" customFormat="1">
      <c r="A592" s="62" t="s">
        <v>1258</v>
      </c>
      <c r="B592" s="63" t="s">
        <v>11</v>
      </c>
      <c r="C592" s="63" t="s">
        <v>11</v>
      </c>
      <c r="D592" s="61"/>
      <c r="E592" s="61"/>
      <c r="F592" s="61"/>
      <c r="G592" s="61"/>
      <c r="H592" s="61"/>
      <c r="I592" s="61"/>
      <c r="J592" s="62" t="s">
        <v>1259</v>
      </c>
    </row>
    <row r="593" spans="1:10" s="17" customFormat="1">
      <c r="A593" s="62" t="s">
        <v>1260</v>
      </c>
      <c r="B593" s="63" t="s">
        <v>11</v>
      </c>
      <c r="C593" s="63" t="s">
        <v>11</v>
      </c>
      <c r="D593" s="61"/>
      <c r="E593" s="61"/>
      <c r="F593" s="61"/>
      <c r="G593" s="61"/>
      <c r="H593" s="61"/>
      <c r="I593" s="61"/>
      <c r="J593" s="62" t="s">
        <v>1261</v>
      </c>
    </row>
    <row r="594" spans="1:10" s="17" customFormat="1">
      <c r="A594" s="62" t="s">
        <v>1262</v>
      </c>
      <c r="B594" s="63" t="s">
        <v>11</v>
      </c>
      <c r="C594" s="63" t="s">
        <v>11</v>
      </c>
      <c r="D594" s="61"/>
      <c r="E594" s="61"/>
      <c r="F594" s="61"/>
      <c r="G594" s="61"/>
      <c r="H594" s="61"/>
      <c r="I594" s="61"/>
      <c r="J594" s="62" t="s">
        <v>1263</v>
      </c>
    </row>
    <row r="595" spans="1:10" s="17" customFormat="1">
      <c r="A595" s="62" t="s">
        <v>1264</v>
      </c>
      <c r="B595" s="63" t="s">
        <v>11</v>
      </c>
      <c r="C595" s="63" t="s">
        <v>11</v>
      </c>
      <c r="D595" s="61"/>
      <c r="E595" s="61"/>
      <c r="F595" s="61"/>
      <c r="G595" s="61"/>
      <c r="H595" s="61"/>
      <c r="I595" s="61"/>
      <c r="J595" s="62" t="s">
        <v>1265</v>
      </c>
    </row>
    <row r="596" spans="1:10" s="17" customFormat="1">
      <c r="A596" s="62" t="s">
        <v>1266</v>
      </c>
      <c r="B596" s="63" t="s">
        <v>11</v>
      </c>
      <c r="C596" s="63" t="s">
        <v>11</v>
      </c>
      <c r="D596" s="61"/>
      <c r="E596" s="61"/>
      <c r="F596" s="61"/>
      <c r="G596" s="61"/>
      <c r="H596" s="61"/>
      <c r="I596" s="61"/>
      <c r="J596" s="62" t="s">
        <v>1267</v>
      </c>
    </row>
    <row r="597" spans="1:10" s="17" customFormat="1">
      <c r="A597" s="62" t="s">
        <v>1268</v>
      </c>
      <c r="B597" s="63" t="s">
        <v>11</v>
      </c>
      <c r="C597" s="63" t="s">
        <v>11</v>
      </c>
      <c r="D597" s="61"/>
      <c r="E597" s="61"/>
      <c r="F597" s="61"/>
      <c r="G597" s="61"/>
      <c r="H597" s="61"/>
      <c r="I597" s="61"/>
      <c r="J597" s="62" t="s">
        <v>1269</v>
      </c>
    </row>
    <row r="598" spans="1:10" s="17" customFormat="1">
      <c r="A598" s="62" t="s">
        <v>1270</v>
      </c>
      <c r="B598" s="63" t="s">
        <v>11</v>
      </c>
      <c r="C598" s="61" t="s">
        <v>14</v>
      </c>
      <c r="D598" s="61" t="s">
        <v>503</v>
      </c>
      <c r="E598" s="61"/>
      <c r="F598" s="61"/>
      <c r="G598" s="61" t="s">
        <v>504</v>
      </c>
      <c r="H598" s="61"/>
      <c r="I598" s="61"/>
      <c r="J598" s="62" t="s">
        <v>1271</v>
      </c>
    </row>
    <row r="599" spans="1:10" s="17" customFormat="1">
      <c r="A599" s="62" t="s">
        <v>1272</v>
      </c>
      <c r="B599" s="63" t="s">
        <v>11</v>
      </c>
      <c r="C599" s="63" t="s">
        <v>11</v>
      </c>
      <c r="D599" s="61"/>
      <c r="E599" s="61"/>
      <c r="F599" s="61"/>
      <c r="G599" s="61"/>
      <c r="H599" s="61"/>
      <c r="I599" s="61"/>
      <c r="J599" s="62" t="s">
        <v>1273</v>
      </c>
    </row>
    <row r="600" spans="1:10" s="17" customFormat="1">
      <c r="A600" s="62" t="s">
        <v>1274</v>
      </c>
      <c r="B600" s="63" t="s">
        <v>11</v>
      </c>
      <c r="C600" s="63" t="s">
        <v>11</v>
      </c>
      <c r="D600" s="61"/>
      <c r="E600" s="61"/>
      <c r="F600" s="61"/>
      <c r="G600" s="61"/>
      <c r="H600" s="61"/>
      <c r="I600" s="61"/>
      <c r="J600" s="62" t="s">
        <v>1275</v>
      </c>
    </row>
    <row r="601" spans="1:10" s="17" customFormat="1">
      <c r="A601" s="62" t="s">
        <v>1276</v>
      </c>
      <c r="B601" s="63" t="s">
        <v>11</v>
      </c>
      <c r="C601" s="63" t="s">
        <v>11</v>
      </c>
      <c r="D601" s="61"/>
      <c r="E601" s="61"/>
      <c r="F601" s="61"/>
      <c r="G601" s="61"/>
      <c r="H601" s="61"/>
      <c r="I601" s="61"/>
      <c r="J601" s="62" t="s">
        <v>1277</v>
      </c>
    </row>
    <row r="602" spans="1:10" s="17" customFormat="1">
      <c r="A602" s="62" t="s">
        <v>1278</v>
      </c>
      <c r="B602" s="63" t="s">
        <v>11</v>
      </c>
      <c r="C602" s="63" t="s">
        <v>11</v>
      </c>
      <c r="D602" s="61"/>
      <c r="E602" s="61"/>
      <c r="F602" s="61"/>
      <c r="G602" s="61"/>
      <c r="H602" s="61"/>
      <c r="I602" s="61"/>
      <c r="J602" s="62" t="s">
        <v>1279</v>
      </c>
    </row>
    <row r="603" spans="1:10" s="17" customFormat="1">
      <c r="A603" s="62" t="s">
        <v>1280</v>
      </c>
      <c r="B603" s="63" t="s">
        <v>11</v>
      </c>
      <c r="C603" s="63" t="s">
        <v>11</v>
      </c>
      <c r="D603" s="61"/>
      <c r="E603" s="61"/>
      <c r="F603" s="61"/>
      <c r="G603" s="61"/>
      <c r="H603" s="61"/>
      <c r="I603" s="61"/>
      <c r="J603" s="62" t="s">
        <v>1281</v>
      </c>
    </row>
    <row r="604" spans="1:10" s="17" customFormat="1">
      <c r="A604" s="62" t="s">
        <v>1282</v>
      </c>
      <c r="B604" s="63" t="s">
        <v>11</v>
      </c>
      <c r="C604" s="63" t="s">
        <v>11</v>
      </c>
      <c r="D604" s="61"/>
      <c r="E604" s="61"/>
      <c r="F604" s="61"/>
      <c r="G604" s="61"/>
      <c r="H604" s="61"/>
      <c r="I604" s="61"/>
      <c r="J604" s="62" t="s">
        <v>1283</v>
      </c>
    </row>
    <row r="605" spans="1:10" s="17" customFormat="1">
      <c r="A605" s="62" t="s">
        <v>1284</v>
      </c>
      <c r="B605" s="63" t="s">
        <v>11</v>
      </c>
      <c r="C605" s="63" t="s">
        <v>11</v>
      </c>
      <c r="D605" s="61"/>
      <c r="E605" s="61"/>
      <c r="F605" s="61"/>
      <c r="G605" s="61"/>
      <c r="H605" s="61"/>
      <c r="I605" s="61"/>
      <c r="J605" s="62" t="s">
        <v>1285</v>
      </c>
    </row>
    <row r="606" spans="1:10" s="17" customFormat="1">
      <c r="A606" s="62" t="s">
        <v>1286</v>
      </c>
      <c r="B606" s="63" t="s">
        <v>11</v>
      </c>
      <c r="C606" s="63" t="s">
        <v>11</v>
      </c>
      <c r="D606" s="61"/>
      <c r="E606" s="61"/>
      <c r="F606" s="61"/>
      <c r="G606" s="61"/>
      <c r="H606" s="61"/>
      <c r="I606" s="61"/>
      <c r="J606" s="62" t="s">
        <v>1287</v>
      </c>
    </row>
    <row r="607" spans="1:10" s="17" customFormat="1">
      <c r="A607" s="62" t="s">
        <v>1288</v>
      </c>
      <c r="B607" s="63" t="s">
        <v>11</v>
      </c>
      <c r="C607" s="63" t="s">
        <v>11</v>
      </c>
      <c r="D607" s="61"/>
      <c r="E607" s="61"/>
      <c r="F607" s="61"/>
      <c r="G607" s="61"/>
      <c r="H607" s="61"/>
      <c r="I607" s="61"/>
      <c r="J607" s="62" t="s">
        <v>1289</v>
      </c>
    </row>
    <row r="608" spans="1:10" s="17" customFormat="1">
      <c r="A608" s="62" t="s">
        <v>1290</v>
      </c>
      <c r="B608" s="63" t="s">
        <v>11</v>
      </c>
      <c r="C608" s="63" t="s">
        <v>11</v>
      </c>
      <c r="D608" s="61"/>
      <c r="E608" s="61"/>
      <c r="F608" s="61"/>
      <c r="G608" s="61"/>
      <c r="H608" s="61"/>
      <c r="I608" s="61"/>
      <c r="J608" s="62" t="s">
        <v>1291</v>
      </c>
    </row>
    <row r="609" spans="1:10" s="17" customFormat="1">
      <c r="A609" s="62" t="s">
        <v>1292</v>
      </c>
      <c r="B609" s="63" t="s">
        <v>11</v>
      </c>
      <c r="C609" s="63" t="s">
        <v>11</v>
      </c>
      <c r="D609" s="61"/>
      <c r="E609" s="61"/>
      <c r="F609" s="61"/>
      <c r="G609" s="61"/>
      <c r="H609" s="61"/>
      <c r="I609" s="61"/>
      <c r="J609" s="62" t="s">
        <v>1293</v>
      </c>
    </row>
    <row r="610" spans="1:10" s="17" customFormat="1">
      <c r="A610" s="62" t="s">
        <v>1294</v>
      </c>
      <c r="B610" s="63" t="s">
        <v>11</v>
      </c>
      <c r="C610" s="63" t="s">
        <v>11</v>
      </c>
      <c r="D610" s="61"/>
      <c r="E610" s="61"/>
      <c r="F610" s="61"/>
      <c r="G610" s="61"/>
      <c r="H610" s="61"/>
      <c r="I610" s="61"/>
      <c r="J610" s="62" t="s">
        <v>1295</v>
      </c>
    </row>
    <row r="611" spans="1:10" s="17" customFormat="1">
      <c r="A611" s="62" t="s">
        <v>1296</v>
      </c>
      <c r="B611" s="63" t="s">
        <v>11</v>
      </c>
      <c r="C611" s="61" t="s">
        <v>85</v>
      </c>
      <c r="D611" s="61" t="s">
        <v>1297</v>
      </c>
      <c r="E611" s="61"/>
      <c r="F611" s="61" t="s">
        <v>11</v>
      </c>
      <c r="G611" s="61" t="s">
        <v>86</v>
      </c>
      <c r="H611" s="61"/>
      <c r="I611" s="61"/>
      <c r="J611" s="62" t="s">
        <v>1298</v>
      </c>
    </row>
    <row r="612" spans="1:10" s="17" customFormat="1">
      <c r="A612" s="62" t="s">
        <v>1299</v>
      </c>
      <c r="B612" s="63" t="s">
        <v>11</v>
      </c>
      <c r="C612" s="61" t="s">
        <v>85</v>
      </c>
      <c r="D612" s="61" t="s">
        <v>1297</v>
      </c>
      <c r="E612" s="61"/>
      <c r="F612" s="61" t="s">
        <v>11</v>
      </c>
      <c r="G612" s="61" t="s">
        <v>86</v>
      </c>
      <c r="H612" s="61"/>
      <c r="I612" s="61"/>
      <c r="J612" s="62" t="s">
        <v>1300</v>
      </c>
    </row>
    <row r="613" spans="1:10" s="17" customFormat="1">
      <c r="A613" s="62" t="s">
        <v>1301</v>
      </c>
      <c r="B613" s="63" t="s">
        <v>11</v>
      </c>
      <c r="C613" s="61" t="s">
        <v>85</v>
      </c>
      <c r="D613" s="61" t="s">
        <v>1297</v>
      </c>
      <c r="E613" s="61"/>
      <c r="F613" s="61" t="s">
        <v>11</v>
      </c>
      <c r="G613" s="61" t="s">
        <v>86</v>
      </c>
      <c r="H613" s="61"/>
      <c r="I613" s="61"/>
      <c r="J613" s="62" t="s">
        <v>1302</v>
      </c>
    </row>
    <row r="614" spans="1:10" s="17" customFormat="1">
      <c r="A614" s="62" t="s">
        <v>1303</v>
      </c>
      <c r="B614" s="63" t="s">
        <v>11</v>
      </c>
      <c r="C614" s="61" t="s">
        <v>85</v>
      </c>
      <c r="D614" s="61" t="s">
        <v>1297</v>
      </c>
      <c r="E614" s="61"/>
      <c r="F614" s="61" t="s">
        <v>11</v>
      </c>
      <c r="G614" s="61" t="s">
        <v>86</v>
      </c>
      <c r="H614" s="61"/>
      <c r="I614" s="61"/>
      <c r="J614" s="62" t="s">
        <v>1304</v>
      </c>
    </row>
    <row r="615" spans="1:10" s="17" customFormat="1">
      <c r="A615" s="62" t="s">
        <v>1305</v>
      </c>
      <c r="B615" s="63" t="s">
        <v>11</v>
      </c>
      <c r="C615" s="61" t="s">
        <v>85</v>
      </c>
      <c r="D615" s="61" t="s">
        <v>1297</v>
      </c>
      <c r="E615" s="61"/>
      <c r="F615" s="61" t="s">
        <v>11</v>
      </c>
      <c r="G615" s="61" t="s">
        <v>86</v>
      </c>
      <c r="H615" s="61"/>
      <c r="I615" s="61"/>
      <c r="J615" s="62" t="s">
        <v>1306</v>
      </c>
    </row>
    <row r="616" spans="1:10" s="17" customFormat="1">
      <c r="A616" s="62" t="s">
        <v>1307</v>
      </c>
      <c r="B616" s="63" t="s">
        <v>11</v>
      </c>
      <c r="C616" s="61" t="s">
        <v>85</v>
      </c>
      <c r="D616" s="61" t="s">
        <v>1297</v>
      </c>
      <c r="E616" s="61"/>
      <c r="F616" s="61" t="s">
        <v>11</v>
      </c>
      <c r="G616" s="61" t="s">
        <v>86</v>
      </c>
      <c r="H616" s="61"/>
      <c r="I616" s="61"/>
      <c r="J616" s="62" t="s">
        <v>1308</v>
      </c>
    </row>
    <row r="617" spans="1:10" s="17" customFormat="1">
      <c r="A617" s="62" t="s">
        <v>1309</v>
      </c>
      <c r="B617" s="63" t="s">
        <v>11</v>
      </c>
      <c r="C617" s="61" t="s">
        <v>85</v>
      </c>
      <c r="D617" s="61" t="s">
        <v>1297</v>
      </c>
      <c r="E617" s="61"/>
      <c r="F617" s="61" t="s">
        <v>11</v>
      </c>
      <c r="G617" s="61" t="s">
        <v>86</v>
      </c>
      <c r="H617" s="61"/>
      <c r="I617" s="61"/>
      <c r="J617" s="62" t="s">
        <v>1310</v>
      </c>
    </row>
    <row r="618" spans="1:10" s="17" customFormat="1">
      <c r="A618" s="62" t="s">
        <v>1311</v>
      </c>
      <c r="B618" s="63" t="s">
        <v>11</v>
      </c>
      <c r="C618" s="61" t="s">
        <v>85</v>
      </c>
      <c r="D618" s="61" t="s">
        <v>1297</v>
      </c>
      <c r="E618" s="61"/>
      <c r="F618" s="61" t="s">
        <v>11</v>
      </c>
      <c r="G618" s="61" t="s">
        <v>86</v>
      </c>
      <c r="H618" s="61"/>
      <c r="I618" s="61"/>
      <c r="J618" s="62" t="s">
        <v>1312</v>
      </c>
    </row>
    <row r="619" spans="1:10" s="17" customFormat="1">
      <c r="A619" s="62" t="s">
        <v>1313</v>
      </c>
      <c r="B619" s="63" t="s">
        <v>11</v>
      </c>
      <c r="C619" s="61" t="s">
        <v>85</v>
      </c>
      <c r="D619" s="61" t="s">
        <v>1297</v>
      </c>
      <c r="E619" s="61"/>
      <c r="F619" s="61" t="s">
        <v>11</v>
      </c>
      <c r="G619" s="61" t="s">
        <v>86</v>
      </c>
      <c r="H619" s="61"/>
      <c r="I619" s="61"/>
      <c r="J619" s="62" t="s">
        <v>1314</v>
      </c>
    </row>
    <row r="620" spans="1:10" s="17" customFormat="1">
      <c r="A620" s="62" t="s">
        <v>1315</v>
      </c>
      <c r="B620" s="63" t="s">
        <v>11</v>
      </c>
      <c r="C620" s="61" t="s">
        <v>85</v>
      </c>
      <c r="D620" s="61" t="s">
        <v>1297</v>
      </c>
      <c r="E620" s="61"/>
      <c r="F620" s="61" t="s">
        <v>11</v>
      </c>
      <c r="G620" s="61" t="s">
        <v>86</v>
      </c>
      <c r="H620" s="61"/>
      <c r="I620" s="61"/>
      <c r="J620" s="62" t="s">
        <v>1316</v>
      </c>
    </row>
    <row r="621" spans="1:10" s="17" customFormat="1">
      <c r="A621" s="62" t="s">
        <v>1317</v>
      </c>
      <c r="B621" s="63" t="s">
        <v>11</v>
      </c>
      <c r="C621" s="61" t="s">
        <v>85</v>
      </c>
      <c r="D621" s="61" t="s">
        <v>1297</v>
      </c>
      <c r="E621" s="61"/>
      <c r="F621" s="61" t="s">
        <v>11</v>
      </c>
      <c r="G621" s="61" t="s">
        <v>86</v>
      </c>
      <c r="H621" s="61"/>
      <c r="I621" s="61"/>
      <c r="J621" s="62" t="s">
        <v>1318</v>
      </c>
    </row>
    <row r="622" spans="1:10" s="17" customFormat="1">
      <c r="A622" s="62" t="s">
        <v>1319</v>
      </c>
      <c r="B622" s="63" t="s">
        <v>11</v>
      </c>
      <c r="C622" s="61" t="s">
        <v>85</v>
      </c>
      <c r="D622" s="61" t="s">
        <v>1297</v>
      </c>
      <c r="E622" s="61"/>
      <c r="F622" s="61" t="s">
        <v>11</v>
      </c>
      <c r="G622" s="61" t="s">
        <v>86</v>
      </c>
      <c r="H622" s="61"/>
      <c r="I622" s="61"/>
      <c r="J622" s="62" t="s">
        <v>1320</v>
      </c>
    </row>
    <row r="623" spans="1:10" s="17" customFormat="1">
      <c r="A623" s="62" t="s">
        <v>1321</v>
      </c>
      <c r="B623" s="63" t="s">
        <v>11</v>
      </c>
      <c r="C623" s="61" t="s">
        <v>85</v>
      </c>
      <c r="D623" s="61" t="s">
        <v>1297</v>
      </c>
      <c r="E623" s="61"/>
      <c r="F623" s="61" t="s">
        <v>11</v>
      </c>
      <c r="G623" s="61" t="s">
        <v>86</v>
      </c>
      <c r="H623" s="61"/>
      <c r="I623" s="61"/>
      <c r="J623" s="62" t="s">
        <v>1322</v>
      </c>
    </row>
    <row r="624" spans="1:10" s="17" customFormat="1">
      <c r="A624" s="62" t="s">
        <v>1323</v>
      </c>
      <c r="B624" s="63" t="s">
        <v>11</v>
      </c>
      <c r="C624" s="61" t="s">
        <v>85</v>
      </c>
      <c r="D624" s="61" t="s">
        <v>1297</v>
      </c>
      <c r="E624" s="61"/>
      <c r="F624" s="61" t="s">
        <v>11</v>
      </c>
      <c r="G624" s="61" t="s">
        <v>86</v>
      </c>
      <c r="H624" s="61"/>
      <c r="I624" s="61"/>
      <c r="J624" s="62" t="s">
        <v>1324</v>
      </c>
    </row>
    <row r="625" spans="1:10" s="17" customFormat="1">
      <c r="A625" s="62" t="s">
        <v>1325</v>
      </c>
      <c r="B625" s="63" t="s">
        <v>11</v>
      </c>
      <c r="C625" s="61" t="s">
        <v>85</v>
      </c>
      <c r="D625" s="61" t="s">
        <v>1297</v>
      </c>
      <c r="E625" s="61"/>
      <c r="F625" s="61" t="s">
        <v>11</v>
      </c>
      <c r="G625" s="61" t="s">
        <v>86</v>
      </c>
      <c r="H625" s="61"/>
      <c r="I625" s="61"/>
      <c r="J625" s="62" t="s">
        <v>1326</v>
      </c>
    </row>
    <row r="626" spans="1:10" s="17" customFormat="1">
      <c r="A626" s="62" t="s">
        <v>1327</v>
      </c>
      <c r="B626" s="63" t="s">
        <v>11</v>
      </c>
      <c r="C626" s="61" t="s">
        <v>85</v>
      </c>
      <c r="D626" s="61" t="s">
        <v>1297</v>
      </c>
      <c r="E626" s="61"/>
      <c r="F626" s="61" t="s">
        <v>11</v>
      </c>
      <c r="G626" s="61" t="s">
        <v>86</v>
      </c>
      <c r="H626" s="61"/>
      <c r="I626" s="61"/>
      <c r="J626" s="62" t="s">
        <v>1328</v>
      </c>
    </row>
    <row r="627" spans="1:10" s="17" customFormat="1">
      <c r="A627" s="62" t="s">
        <v>1329</v>
      </c>
      <c r="B627" s="63" t="s">
        <v>11</v>
      </c>
      <c r="C627" s="61" t="s">
        <v>85</v>
      </c>
      <c r="D627" s="61" t="s">
        <v>1297</v>
      </c>
      <c r="E627" s="61"/>
      <c r="F627" s="61" t="s">
        <v>11</v>
      </c>
      <c r="G627" s="61" t="s">
        <v>86</v>
      </c>
      <c r="H627" s="61"/>
      <c r="I627" s="61"/>
      <c r="J627" s="62" t="s">
        <v>1330</v>
      </c>
    </row>
    <row r="628" spans="1:10" s="17" customFormat="1">
      <c r="A628" s="62" t="s">
        <v>1331</v>
      </c>
      <c r="B628" s="63" t="s">
        <v>11</v>
      </c>
      <c r="C628" s="61" t="s">
        <v>85</v>
      </c>
      <c r="D628" s="61" t="s">
        <v>1297</v>
      </c>
      <c r="E628" s="61"/>
      <c r="F628" s="61" t="s">
        <v>11</v>
      </c>
      <c r="G628" s="61" t="s">
        <v>86</v>
      </c>
      <c r="H628" s="61"/>
      <c r="I628" s="61"/>
      <c r="J628" s="62" t="s">
        <v>1332</v>
      </c>
    </row>
    <row r="629" spans="1:10" s="17" customFormat="1">
      <c r="A629" s="62" t="s">
        <v>1333</v>
      </c>
      <c r="B629" s="63" t="s">
        <v>11</v>
      </c>
      <c r="C629" s="61" t="s">
        <v>85</v>
      </c>
      <c r="D629" s="61" t="s">
        <v>1297</v>
      </c>
      <c r="E629" s="61"/>
      <c r="F629" s="61" t="s">
        <v>11</v>
      </c>
      <c r="G629" s="61" t="s">
        <v>86</v>
      </c>
      <c r="H629" s="61"/>
      <c r="I629" s="61"/>
      <c r="J629" s="62" t="s">
        <v>1334</v>
      </c>
    </row>
    <row r="630" spans="1:10" s="17" customFormat="1">
      <c r="A630" s="62" t="s">
        <v>1335</v>
      </c>
      <c r="B630" s="63" t="s">
        <v>11</v>
      </c>
      <c r="C630" s="61" t="s">
        <v>85</v>
      </c>
      <c r="D630" s="61" t="s">
        <v>1297</v>
      </c>
      <c r="E630" s="61"/>
      <c r="F630" s="61" t="s">
        <v>11</v>
      </c>
      <c r="G630" s="61" t="s">
        <v>86</v>
      </c>
      <c r="H630" s="61"/>
      <c r="I630" s="61"/>
      <c r="J630" s="62" t="s">
        <v>1336</v>
      </c>
    </row>
    <row r="631" spans="1:10" s="17" customFormat="1">
      <c r="A631" s="62" t="s">
        <v>1337</v>
      </c>
      <c r="B631" s="63" t="s">
        <v>11</v>
      </c>
      <c r="C631" s="61" t="s">
        <v>85</v>
      </c>
      <c r="D631" s="61" t="s">
        <v>1297</v>
      </c>
      <c r="E631" s="61"/>
      <c r="F631" s="61" t="s">
        <v>11</v>
      </c>
      <c r="G631" s="61" t="s">
        <v>86</v>
      </c>
      <c r="H631" s="61"/>
      <c r="I631" s="61"/>
      <c r="J631" s="62" t="s">
        <v>1338</v>
      </c>
    </row>
    <row r="632" spans="1:10" s="17" customFormat="1">
      <c r="A632" s="62" t="s">
        <v>1339</v>
      </c>
      <c r="B632" s="63" t="s">
        <v>11</v>
      </c>
      <c r="C632" s="61" t="s">
        <v>85</v>
      </c>
      <c r="D632" s="61" t="s">
        <v>1297</v>
      </c>
      <c r="E632" s="61"/>
      <c r="F632" s="61" t="s">
        <v>11</v>
      </c>
      <c r="G632" s="61" t="s">
        <v>86</v>
      </c>
      <c r="H632" s="61"/>
      <c r="I632" s="61"/>
      <c r="J632" s="62" t="s">
        <v>1340</v>
      </c>
    </row>
    <row r="633" spans="1:10" s="17" customFormat="1">
      <c r="A633" s="62" t="s">
        <v>1341</v>
      </c>
      <c r="B633" s="63" t="s">
        <v>11</v>
      </c>
      <c r="C633" s="61" t="s">
        <v>85</v>
      </c>
      <c r="D633" s="61" t="s">
        <v>1297</v>
      </c>
      <c r="E633" s="61"/>
      <c r="F633" s="61" t="s">
        <v>11</v>
      </c>
      <c r="G633" s="61" t="s">
        <v>86</v>
      </c>
      <c r="H633" s="61"/>
      <c r="I633" s="61"/>
      <c r="J633" s="62" t="s">
        <v>1342</v>
      </c>
    </row>
    <row r="634" spans="1:10" s="17" customFormat="1">
      <c r="A634" s="62" t="s">
        <v>1343</v>
      </c>
      <c r="B634" s="63" t="s">
        <v>11</v>
      </c>
      <c r="C634" s="61" t="s">
        <v>85</v>
      </c>
      <c r="D634" s="61" t="s">
        <v>1297</v>
      </c>
      <c r="E634" s="61"/>
      <c r="F634" s="61" t="s">
        <v>11</v>
      </c>
      <c r="G634" s="61" t="s">
        <v>86</v>
      </c>
      <c r="H634" s="61"/>
      <c r="I634" s="61"/>
      <c r="J634" s="62" t="s">
        <v>1344</v>
      </c>
    </row>
    <row r="635" spans="1:10" s="17" customFormat="1">
      <c r="A635" s="62" t="s">
        <v>1345</v>
      </c>
      <c r="B635" s="63" t="s">
        <v>11</v>
      </c>
      <c r="C635" s="61" t="s">
        <v>85</v>
      </c>
      <c r="D635" s="61" t="s">
        <v>1297</v>
      </c>
      <c r="E635" s="61"/>
      <c r="F635" s="61" t="s">
        <v>11</v>
      </c>
      <c r="G635" s="61" t="s">
        <v>86</v>
      </c>
      <c r="H635" s="61"/>
      <c r="I635" s="61"/>
      <c r="J635" s="62" t="s">
        <v>1346</v>
      </c>
    </row>
    <row r="636" spans="1:10" s="17" customFormat="1">
      <c r="A636" s="62" t="s">
        <v>1347</v>
      </c>
      <c r="B636" s="63" t="s">
        <v>11</v>
      </c>
      <c r="C636" s="61" t="s">
        <v>85</v>
      </c>
      <c r="D636" s="61" t="s">
        <v>1297</v>
      </c>
      <c r="E636" s="61"/>
      <c r="F636" s="61" t="s">
        <v>11</v>
      </c>
      <c r="G636" s="61" t="s">
        <v>86</v>
      </c>
      <c r="H636" s="61"/>
      <c r="I636" s="61"/>
      <c r="J636" s="62" t="s">
        <v>1348</v>
      </c>
    </row>
    <row r="637" spans="1:10" s="17" customFormat="1">
      <c r="A637" s="62" t="s">
        <v>1349</v>
      </c>
      <c r="B637" s="63" t="s">
        <v>11</v>
      </c>
      <c r="C637" s="61" t="s">
        <v>14</v>
      </c>
      <c r="D637" s="61"/>
      <c r="E637" s="61"/>
      <c r="F637" s="61" t="s">
        <v>11</v>
      </c>
      <c r="G637" s="61" t="s">
        <v>14</v>
      </c>
      <c r="H637" s="61"/>
      <c r="I637" s="61"/>
      <c r="J637" s="62" t="s">
        <v>1350</v>
      </c>
    </row>
    <row r="638" spans="1:10" s="17" customFormat="1">
      <c r="A638" s="62" t="s">
        <v>1351</v>
      </c>
      <c r="B638" s="63" t="s">
        <v>11</v>
      </c>
      <c r="C638" s="61" t="s">
        <v>14</v>
      </c>
      <c r="D638" s="61" t="s">
        <v>1352</v>
      </c>
      <c r="E638" s="61"/>
      <c r="F638" s="61"/>
      <c r="G638" s="61" t="s">
        <v>504</v>
      </c>
      <c r="H638" s="61"/>
      <c r="I638" s="61"/>
      <c r="J638" s="62" t="s">
        <v>1353</v>
      </c>
    </row>
    <row r="639" spans="1:10" s="17" customFormat="1">
      <c r="A639" s="62" t="s">
        <v>1354</v>
      </c>
      <c r="B639" s="63" t="s">
        <v>11</v>
      </c>
      <c r="C639" s="63" t="s">
        <v>11</v>
      </c>
      <c r="D639" s="61"/>
      <c r="E639" s="61"/>
      <c r="F639" s="61"/>
      <c r="G639" s="61"/>
      <c r="H639" s="61"/>
      <c r="I639" s="61"/>
      <c r="J639" s="62" t="s">
        <v>1355</v>
      </c>
    </row>
    <row r="640" spans="1:10" s="17" customFormat="1">
      <c r="A640" s="62" t="s">
        <v>1356</v>
      </c>
      <c r="B640" s="63" t="s">
        <v>11</v>
      </c>
      <c r="C640" s="61" t="s">
        <v>85</v>
      </c>
      <c r="D640" s="61" t="s">
        <v>1352</v>
      </c>
      <c r="E640" s="61"/>
      <c r="F640" s="61" t="s">
        <v>11</v>
      </c>
      <c r="G640" s="61" t="s">
        <v>86</v>
      </c>
      <c r="H640" s="61"/>
      <c r="I640" s="61"/>
      <c r="J640" s="62" t="s">
        <v>1357</v>
      </c>
    </row>
    <row r="641" spans="1:10" s="17" customFormat="1">
      <c r="A641" s="62" t="s">
        <v>1358</v>
      </c>
      <c r="B641" s="63" t="s">
        <v>11</v>
      </c>
      <c r="C641" s="61" t="s">
        <v>85</v>
      </c>
      <c r="D641" s="61" t="s">
        <v>1352</v>
      </c>
      <c r="E641" s="61"/>
      <c r="F641" s="61" t="s">
        <v>11</v>
      </c>
      <c r="G641" s="61" t="s">
        <v>86</v>
      </c>
      <c r="H641" s="61"/>
      <c r="I641" s="61"/>
      <c r="J641" s="62" t="s">
        <v>1359</v>
      </c>
    </row>
    <row r="642" spans="1:10" s="17" customFormat="1">
      <c r="A642" s="62" t="s">
        <v>1360</v>
      </c>
      <c r="B642" s="63" t="s">
        <v>11</v>
      </c>
      <c r="C642" s="63" t="s">
        <v>11</v>
      </c>
      <c r="D642" s="61" t="s">
        <v>1352</v>
      </c>
      <c r="E642" s="61"/>
      <c r="F642" s="61"/>
      <c r="G642" s="61"/>
      <c r="H642" s="61"/>
      <c r="I642" s="61"/>
      <c r="J642" s="62" t="s">
        <v>1361</v>
      </c>
    </row>
    <row r="643" spans="1:10" s="17" customFormat="1">
      <c r="A643" s="62" t="s">
        <v>1362</v>
      </c>
      <c r="B643" s="63" t="s">
        <v>11</v>
      </c>
      <c r="C643" s="61" t="s">
        <v>85</v>
      </c>
      <c r="D643" s="61"/>
      <c r="E643" s="61"/>
      <c r="F643" s="61" t="s">
        <v>11</v>
      </c>
      <c r="G643" s="61" t="s">
        <v>86</v>
      </c>
      <c r="I643" s="61"/>
      <c r="J643" s="17" t="s">
        <v>1363</v>
      </c>
    </row>
    <row r="644" spans="1:10" s="17" customFormat="1" hidden="1">
      <c r="A644" s="62" t="s">
        <v>1364</v>
      </c>
      <c r="B644" s="63" t="s">
        <v>14</v>
      </c>
      <c r="C644" s="63" t="s">
        <v>14</v>
      </c>
      <c r="D644" s="61" t="s">
        <v>1365</v>
      </c>
      <c r="E644" s="61" t="s">
        <v>14</v>
      </c>
      <c r="F644" s="61"/>
      <c r="G644" s="61"/>
      <c r="H644" s="61"/>
      <c r="I644" s="61"/>
      <c r="J644" s="62" t="s">
        <v>1366</v>
      </c>
    </row>
    <row r="645" spans="1:10" s="17" customFormat="1">
      <c r="A645" s="62" t="s">
        <v>1367</v>
      </c>
      <c r="B645" s="63" t="s">
        <v>11</v>
      </c>
      <c r="C645" s="63" t="s">
        <v>11</v>
      </c>
      <c r="D645" s="61"/>
      <c r="E645" s="61"/>
      <c r="F645" s="61"/>
      <c r="G645" s="61"/>
      <c r="H645" s="61"/>
      <c r="I645" s="61"/>
      <c r="J645" s="62" t="s">
        <v>1368</v>
      </c>
    </row>
    <row r="646" spans="1:10" s="17" customFormat="1">
      <c r="A646" s="62" t="s">
        <v>1369</v>
      </c>
      <c r="B646" s="63" t="s">
        <v>11</v>
      </c>
      <c r="C646" s="63" t="s">
        <v>11</v>
      </c>
      <c r="D646" s="61"/>
      <c r="E646" s="61"/>
      <c r="F646" s="61"/>
      <c r="G646" s="61"/>
      <c r="H646" s="61"/>
      <c r="I646" s="61"/>
      <c r="J646" s="62" t="s">
        <v>1370</v>
      </c>
    </row>
    <row r="647" spans="1:10" s="17" customFormat="1">
      <c r="A647" s="62" t="s">
        <v>1371</v>
      </c>
      <c r="B647" s="63" t="s">
        <v>11</v>
      </c>
      <c r="C647" s="63" t="s">
        <v>11</v>
      </c>
      <c r="D647" s="61"/>
      <c r="E647" s="61"/>
      <c r="F647" s="61"/>
      <c r="G647" s="61"/>
      <c r="H647" s="61"/>
      <c r="I647" s="61"/>
      <c r="J647" s="62" t="s">
        <v>1372</v>
      </c>
    </row>
    <row r="648" spans="1:10" s="17" customFormat="1">
      <c r="A648" s="62" t="s">
        <v>1373</v>
      </c>
      <c r="B648" s="63" t="s">
        <v>11</v>
      </c>
      <c r="C648" s="63" t="s">
        <v>11</v>
      </c>
      <c r="D648" s="61"/>
      <c r="E648" s="61"/>
      <c r="F648" s="61"/>
      <c r="G648" s="61"/>
      <c r="H648" s="61"/>
      <c r="I648" s="61"/>
      <c r="J648" s="62" t="s">
        <v>1374</v>
      </c>
    </row>
    <row r="649" spans="1:10" s="17" customFormat="1">
      <c r="A649" s="62" t="s">
        <v>1375</v>
      </c>
      <c r="B649" s="63" t="s">
        <v>11</v>
      </c>
      <c r="C649" s="63" t="s">
        <v>11</v>
      </c>
      <c r="D649" s="61"/>
      <c r="E649" s="61"/>
      <c r="F649" s="61"/>
      <c r="G649" s="61"/>
      <c r="H649" s="61"/>
      <c r="I649" s="61"/>
      <c r="J649" s="62" t="s">
        <v>1376</v>
      </c>
    </row>
    <row r="650" spans="1:10" s="17" customFormat="1">
      <c r="A650" s="62" t="s">
        <v>1377</v>
      </c>
      <c r="B650" s="63" t="s">
        <v>11</v>
      </c>
      <c r="C650" s="61" t="s">
        <v>85</v>
      </c>
      <c r="D650" s="61" t="s">
        <v>1378</v>
      </c>
      <c r="E650" s="61"/>
      <c r="F650" s="61" t="s">
        <v>86</v>
      </c>
      <c r="G650" s="61" t="s">
        <v>86</v>
      </c>
      <c r="I650" s="61" t="s">
        <v>745</v>
      </c>
      <c r="J650" s="17" t="s">
        <v>1379</v>
      </c>
    </row>
    <row r="651" spans="1:10" s="17" customFormat="1">
      <c r="A651" s="62" t="s">
        <v>1380</v>
      </c>
      <c r="B651" s="63" t="s">
        <v>11</v>
      </c>
      <c r="C651" s="63" t="s">
        <v>11</v>
      </c>
      <c r="D651" s="61"/>
      <c r="E651" s="61"/>
      <c r="F651" s="61"/>
      <c r="G651" s="61"/>
      <c r="H651" s="61"/>
      <c r="I651" s="61"/>
      <c r="J651" s="62" t="s">
        <v>1381</v>
      </c>
    </row>
    <row r="652" spans="1:10" s="17" customFormat="1">
      <c r="A652" s="62" t="s">
        <v>1382</v>
      </c>
      <c r="B652" s="63" t="s">
        <v>11</v>
      </c>
      <c r="C652" s="63" t="s">
        <v>14</v>
      </c>
      <c r="D652" s="61" t="s">
        <v>1383</v>
      </c>
      <c r="E652" s="61" t="s">
        <v>14</v>
      </c>
      <c r="F652" s="61"/>
      <c r="G652" s="61"/>
      <c r="H652" s="61"/>
      <c r="I652" s="61"/>
      <c r="J652" s="62" t="s">
        <v>1384</v>
      </c>
    </row>
    <row r="653" spans="1:10" s="17" customFormat="1">
      <c r="A653" s="62" t="s">
        <v>1385</v>
      </c>
      <c r="B653" s="63" t="s">
        <v>11</v>
      </c>
      <c r="C653" s="61" t="s">
        <v>85</v>
      </c>
      <c r="D653" s="61"/>
      <c r="E653" s="61"/>
      <c r="F653" s="61" t="s">
        <v>86</v>
      </c>
      <c r="G653" s="61" t="s">
        <v>86</v>
      </c>
      <c r="I653" s="61" t="s">
        <v>878</v>
      </c>
      <c r="J653" s="17" t="s">
        <v>1386</v>
      </c>
    </row>
    <row r="654" spans="1:10" s="17" customFormat="1">
      <c r="A654" s="62" t="s">
        <v>1387</v>
      </c>
      <c r="B654" s="63" t="s">
        <v>11</v>
      </c>
      <c r="C654" s="61" t="s">
        <v>85</v>
      </c>
      <c r="D654" s="61"/>
      <c r="E654" s="61"/>
      <c r="F654" s="61" t="s">
        <v>86</v>
      </c>
      <c r="G654" s="61" t="s">
        <v>86</v>
      </c>
      <c r="I654" s="61" t="s">
        <v>878</v>
      </c>
      <c r="J654" s="17" t="s">
        <v>1388</v>
      </c>
    </row>
    <row r="655" spans="1:10" s="17" customFormat="1">
      <c r="A655" s="62" t="s">
        <v>1389</v>
      </c>
      <c r="B655" s="63" t="s">
        <v>11</v>
      </c>
      <c r="C655" s="61" t="s">
        <v>85</v>
      </c>
      <c r="D655" s="61"/>
      <c r="E655" s="61"/>
      <c r="F655" s="61" t="s">
        <v>86</v>
      </c>
      <c r="G655" s="61" t="s">
        <v>86</v>
      </c>
      <c r="I655" s="61" t="s">
        <v>878</v>
      </c>
      <c r="J655" s="17" t="s">
        <v>1390</v>
      </c>
    </row>
    <row r="656" spans="1:10" s="17" customFormat="1">
      <c r="A656" s="62" t="s">
        <v>1391</v>
      </c>
      <c r="B656" s="63" t="s">
        <v>11</v>
      </c>
      <c r="C656" s="61" t="s">
        <v>85</v>
      </c>
      <c r="D656" s="61"/>
      <c r="E656" s="61"/>
      <c r="F656" s="61" t="s">
        <v>86</v>
      </c>
      <c r="G656" s="61" t="s">
        <v>86</v>
      </c>
      <c r="I656" s="61" t="s">
        <v>878</v>
      </c>
      <c r="J656" s="17" t="s">
        <v>1392</v>
      </c>
    </row>
    <row r="657" spans="1:10" s="17" customFormat="1">
      <c r="A657" s="62" t="s">
        <v>1393</v>
      </c>
      <c r="B657" s="63" t="s">
        <v>11</v>
      </c>
      <c r="C657" s="61" t="s">
        <v>85</v>
      </c>
      <c r="D657" s="61" t="s">
        <v>1394</v>
      </c>
      <c r="E657" s="61"/>
      <c r="F657" s="61" t="s">
        <v>86</v>
      </c>
      <c r="G657" s="61" t="s">
        <v>86</v>
      </c>
      <c r="I657" s="61" t="s">
        <v>878</v>
      </c>
      <c r="J657" s="17" t="s">
        <v>1395</v>
      </c>
    </row>
    <row r="658" spans="1:10" s="17" customFormat="1">
      <c r="A658" s="62" t="s">
        <v>1396</v>
      </c>
      <c r="B658" s="63" t="s">
        <v>11</v>
      </c>
      <c r="C658" s="61" t="s">
        <v>85</v>
      </c>
      <c r="D658" s="61"/>
      <c r="E658" s="61"/>
      <c r="F658" s="61" t="s">
        <v>86</v>
      </c>
      <c r="G658" s="61" t="s">
        <v>86</v>
      </c>
      <c r="H658" s="61"/>
      <c r="I658" s="61" t="s">
        <v>878</v>
      </c>
      <c r="J658" s="62" t="s">
        <v>1388</v>
      </c>
    </row>
    <row r="659" spans="1:10" s="17" customFormat="1" hidden="1">
      <c r="A659" s="62" t="s">
        <v>1397</v>
      </c>
      <c r="B659" s="63" t="s">
        <v>14</v>
      </c>
      <c r="C659" s="63" t="s">
        <v>14</v>
      </c>
      <c r="D659" s="61" t="s">
        <v>1398</v>
      </c>
      <c r="E659" s="61" t="s">
        <v>14</v>
      </c>
      <c r="F659" s="61"/>
      <c r="G659" s="61"/>
      <c r="H659" s="61"/>
      <c r="I659" s="61"/>
      <c r="J659" s="62" t="s">
        <v>1399</v>
      </c>
    </row>
    <row r="660" spans="1:10" s="17" customFormat="1" hidden="1">
      <c r="A660" s="62" t="s">
        <v>1400</v>
      </c>
      <c r="B660" s="63" t="s">
        <v>14</v>
      </c>
      <c r="C660" s="63" t="s">
        <v>14</v>
      </c>
      <c r="D660" s="61" t="s">
        <v>1398</v>
      </c>
      <c r="E660" s="61" t="s">
        <v>14</v>
      </c>
      <c r="F660" s="61"/>
      <c r="G660" s="61"/>
      <c r="H660" s="61"/>
      <c r="I660" s="61"/>
      <c r="J660" s="62" t="s">
        <v>1401</v>
      </c>
    </row>
    <row r="661" spans="1:10" s="17" customFormat="1" hidden="1">
      <c r="A661" s="62" t="s">
        <v>1402</v>
      </c>
      <c r="B661" s="63" t="s">
        <v>14</v>
      </c>
      <c r="C661" s="63" t="s">
        <v>14</v>
      </c>
      <c r="D661" s="61"/>
      <c r="E661" s="61" t="s">
        <v>14</v>
      </c>
      <c r="F661" s="61"/>
      <c r="G661" s="61"/>
      <c r="H661" s="61" t="s">
        <v>504</v>
      </c>
      <c r="I661" s="61"/>
      <c r="J661" s="62" t="s">
        <v>1100</v>
      </c>
    </row>
    <row r="662" spans="1:10">
      <c r="A662" s="43"/>
      <c r="B662" s="55"/>
    </row>
    <row r="663" spans="1:10">
      <c r="B663" s="56"/>
    </row>
    <row r="1048576" spans="5:5">
      <c r="E1048576" s="61"/>
    </row>
  </sheetData>
  <autoFilter ref="A1:J661" xr:uid="{FB5D8292-5EC0-4E6D-824E-40C1A8BACE1C}">
    <filterColumn colId="1">
      <filters>
        <filter val="Nein"/>
      </filters>
    </filterColumn>
    <sortState xmlns:xlrd2="http://schemas.microsoft.com/office/spreadsheetml/2017/richdata2" ref="A2:J661">
      <sortCondition ref="A1:A661"/>
    </sortState>
  </autoFilter>
  <pageMargins left="0.7" right="0.7" top="0.78740157499999996" bottom="0.78740157499999996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2FC7-979F-45D1-9ED4-B35C0CF1DB1A}">
  <dimension ref="A1:E7"/>
  <sheetViews>
    <sheetView workbookViewId="0">
      <selection activeCell="A14" sqref="A14"/>
    </sheetView>
  </sheetViews>
  <sheetFormatPr defaultColWidth="9.140625" defaultRowHeight="12.75"/>
  <cols>
    <col min="1" max="1" width="41" bestFit="1" customWidth="1"/>
    <col min="2" max="2" width="26.5703125" bestFit="1" customWidth="1"/>
    <col min="3" max="3" width="5.140625" bestFit="1" customWidth="1"/>
    <col min="4" max="4" width="6" bestFit="1" customWidth="1"/>
    <col min="5" max="5" width="15.85546875" bestFit="1" customWidth="1"/>
    <col min="6" max="6" width="6.28515625" bestFit="1" customWidth="1"/>
    <col min="7" max="8" width="15.85546875" bestFit="1" customWidth="1"/>
    <col min="9" max="9" width="6.28515625" bestFit="1" customWidth="1"/>
    <col min="10" max="10" width="14.85546875" bestFit="1" customWidth="1"/>
    <col min="11" max="11" width="15.85546875" bestFit="1" customWidth="1"/>
    <col min="12" max="12" width="7.5703125" bestFit="1" customWidth="1"/>
    <col min="13" max="13" width="14.28515625" bestFit="1" customWidth="1"/>
    <col min="14" max="14" width="8.140625" bestFit="1" customWidth="1"/>
    <col min="15" max="15" width="6.28515625" bestFit="1" customWidth="1"/>
    <col min="16" max="17" width="14.85546875" bestFit="1" customWidth="1"/>
    <col min="18" max="18" width="15.85546875" bestFit="1" customWidth="1"/>
    <col min="19" max="19" width="6.28515625" bestFit="1" customWidth="1"/>
    <col min="20" max="21" width="14.85546875" bestFit="1" customWidth="1"/>
    <col min="22" max="24" width="15.85546875" bestFit="1" customWidth="1"/>
  </cols>
  <sheetData>
    <row r="1" spans="1:5">
      <c r="A1" s="64" t="s">
        <v>4</v>
      </c>
      <c r="B1" t="s">
        <v>2148</v>
      </c>
    </row>
    <row r="2" spans="1:5">
      <c r="A2" s="64" t="s">
        <v>5</v>
      </c>
      <c r="B2" t="s">
        <v>2148</v>
      </c>
    </row>
    <row r="3" spans="1:5">
      <c r="A3" s="64" t="s">
        <v>6</v>
      </c>
      <c r="B3" t="s">
        <v>2148</v>
      </c>
    </row>
    <row r="5" spans="1:5">
      <c r="B5" s="64" t="s">
        <v>2</v>
      </c>
    </row>
    <row r="6" spans="1:5">
      <c r="B6" t="s">
        <v>14</v>
      </c>
      <c r="C6" t="s">
        <v>11</v>
      </c>
      <c r="D6" t="s">
        <v>85</v>
      </c>
      <c r="E6" t="s">
        <v>2141</v>
      </c>
    </row>
    <row r="7" spans="1:5">
      <c r="A7" t="s">
        <v>2145</v>
      </c>
      <c r="B7">
        <v>265</v>
      </c>
      <c r="C7">
        <v>328</v>
      </c>
      <c r="D7">
        <v>67</v>
      </c>
      <c r="E7">
        <v>660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A8A94472CBF743AFA812F25FAB7016" ma:contentTypeVersion="19" ma:contentTypeDescription="Create a new document." ma:contentTypeScope="" ma:versionID="cfb1cc485df8a83003f6fd58529ae634">
  <xsd:schema xmlns:xsd="http://www.w3.org/2001/XMLSchema" xmlns:xs="http://www.w3.org/2001/XMLSchema" xmlns:p="http://schemas.microsoft.com/office/2006/metadata/properties" xmlns:ns2="94739971-8ec7-40a4-bfd6-e478fcae625b" xmlns:ns3="ee83ab54-67a6-4fc8-a5f8-d937a1482c0d" targetNamespace="http://schemas.microsoft.com/office/2006/metadata/properties" ma:root="true" ma:fieldsID="9a9518c754f1e585f7e4e1e67a76255f" ns2:_="" ns3:_="">
    <xsd:import namespace="94739971-8ec7-40a4-bfd6-e478fcae625b"/>
    <xsd:import namespace="ee83ab54-67a6-4fc8-a5f8-d937a1482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DatumundUhrzei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39971-8ec7-40a4-bfd6-e478fcae6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0b634ba-8483-4c31-8a72-f1b45ea47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undUhrzeit" ma:index="23" nillable="true" ma:displayName="Datum und Uhrzeit" ma:format="DateOnly" ma:internalName="DatumundUhrzeit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3ab54-67a6-4fc8-a5f8-d937a1482c0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949ee7d-4e7b-4575-aae1-f6d8c9b02392}" ma:internalName="TaxCatchAll" ma:showField="CatchAllData" ma:web="ee83ab54-67a6-4fc8-a5f8-d937a1482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83ab54-67a6-4fc8-a5f8-d937a1482c0d" xsi:nil="true"/>
    <lcf76f155ced4ddcb4097134ff3c332f xmlns="94739971-8ec7-40a4-bfd6-e478fcae625b">
      <Terms xmlns="http://schemas.microsoft.com/office/infopath/2007/PartnerControls"/>
    </lcf76f155ced4ddcb4097134ff3c332f>
    <DatumundUhrzeit xmlns="94739971-8ec7-40a4-bfd6-e478fcae62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7F9BDD-A952-4371-AC99-D2EFC89F09A0}"/>
</file>

<file path=customXml/itemProps2.xml><?xml version="1.0" encoding="utf-8"?>
<ds:datastoreItem xmlns:ds="http://schemas.openxmlformats.org/officeDocument/2006/customXml" ds:itemID="{E3794777-4112-4C7D-87E6-D3A8AFECDE70}"/>
</file>

<file path=customXml/itemProps3.xml><?xml version="1.0" encoding="utf-8"?>
<ds:datastoreItem xmlns:ds="http://schemas.openxmlformats.org/officeDocument/2006/customXml" ds:itemID="{07175792-2F06-4772-AD88-178C6C242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Emde, Christian</dc:creator>
  <cp:keywords/>
  <dc:description/>
  <cp:lastModifiedBy/>
  <cp:revision/>
  <dcterms:created xsi:type="dcterms:W3CDTF">2025-07-30T12:44:32Z</dcterms:created>
  <dcterms:modified xsi:type="dcterms:W3CDTF">2026-04-13T14:26:55Z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933d61-92e5-4ff4-83ee-0077044276e6_Enabled">
    <vt:lpwstr>true</vt:lpwstr>
  </property>
  <property fmtid="{D5CDD505-2E9C-101B-9397-08002B2CF9AE}" pid="3" name="MSIP_Label_c3933d61-92e5-4ff4-83ee-0077044276e6_SetDate">
    <vt:lpwstr>2025-07-30T16:26:47Z</vt:lpwstr>
  </property>
  <property fmtid="{D5CDD505-2E9C-101B-9397-08002B2CF9AE}" pid="4" name="MSIP_Label_c3933d61-92e5-4ff4-83ee-0077044276e6_Method">
    <vt:lpwstr>Privileged</vt:lpwstr>
  </property>
  <property fmtid="{D5CDD505-2E9C-101B-9397-08002B2CF9AE}" pid="5" name="MSIP_Label_c3933d61-92e5-4ff4-83ee-0077044276e6_Name">
    <vt:lpwstr>vb_intern</vt:lpwstr>
  </property>
  <property fmtid="{D5CDD505-2E9C-101B-9397-08002B2CF9AE}" pid="6" name="MSIP_Label_c3933d61-92e5-4ff4-83ee-0077044276e6_SiteId">
    <vt:lpwstr>9186fbbe-fa2f-408b-b116-e9799f388136</vt:lpwstr>
  </property>
  <property fmtid="{D5CDD505-2E9C-101B-9397-08002B2CF9AE}" pid="7" name="MSIP_Label_c3933d61-92e5-4ff4-83ee-0077044276e6_ActionId">
    <vt:lpwstr>d3e18c34-ff89-4058-9103-f6df5934fdd7</vt:lpwstr>
  </property>
  <property fmtid="{D5CDD505-2E9C-101B-9397-08002B2CF9AE}" pid="8" name="MSIP_Label_c3933d61-92e5-4ff4-83ee-0077044276e6_ContentBits">
    <vt:lpwstr>0</vt:lpwstr>
  </property>
  <property fmtid="{D5CDD505-2E9C-101B-9397-08002B2CF9AE}" pid="9" name="MSIP_Label_c3933d61-92e5-4ff4-83ee-0077044276e6_Tag">
    <vt:lpwstr>10, 0, 1, 1</vt:lpwstr>
  </property>
  <property fmtid="{D5CDD505-2E9C-101B-9397-08002B2CF9AE}" pid="10" name="ContentTypeId">
    <vt:lpwstr>0x01010040A8A94472CBF743AFA812F25FAB7016</vt:lpwstr>
  </property>
  <property fmtid="{D5CDD505-2E9C-101B-9397-08002B2CF9AE}" pid="11" name="MediaServiceImageTags">
    <vt:lpwstr/>
  </property>
</Properties>
</file>